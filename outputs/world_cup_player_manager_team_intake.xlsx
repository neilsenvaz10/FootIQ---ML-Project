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f4a09b9859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e76b081ed5d4d3e"/>
    <x:sheet xmlns:r="http://schemas.openxmlformats.org/officeDocument/2006/relationships" name="Seed Profiles" sheetId="2" r:id="Rdfdc72173345403b"/>
    <x:sheet xmlns:r="http://schemas.openxmlformats.org/officeDocument/2006/relationships" name="Player Ratings" sheetId="3" r:id="Rfa5f8da549e64150"/>
    <x:sheet xmlns:r="http://schemas.openxmlformats.org/officeDocument/2006/relationships" name="Team Scoring" sheetId="4" r:id="Rc986d017a46d4fc7"/>
    <x:sheet xmlns:r="http://schemas.openxmlformats.org/officeDocument/2006/relationships" name="Manager Profiles" sheetId="5" r:id="R9dc89e0de8984b8d"/>
    <x:sheet xmlns:r="http://schemas.openxmlformats.org/officeDocument/2006/relationships" name="Formation Profiles" sheetId="6" r:id="Rdeb706432c384860"/>
    <x:sheet xmlns:r="http://schemas.openxmlformats.org/officeDocument/2006/relationships" name="Analyst Review" sheetId="7" r:id="R3b1433b9c9b14d40"/>
    <x:sheet xmlns:r="http://schemas.openxmlformats.org/officeDocument/2006/relationships" name="Model Ready Profiles" sheetId="8" r:id="Rd132d328cd0d4598"/>
    <x:sheet xmlns:r="http://schemas.openxmlformats.org/officeDocument/2006/relationships" name="Source Log" sheetId="9" r:id="R7852352efdff42c0"/>
    <x:sheet xmlns:r="http://schemas.openxmlformats.org/officeDocument/2006/relationships" name="Model Layer Map" sheetId="10" r:id="Rc3e41398c2f6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%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334E68"/>
      </x:patternFill>
    </x:fill>
    <x:fill>
      <x:patternFill patternType="solid">
        <x:fgColor rgb="FF5C2D91"/>
      </x:patternFill>
    </x:fill>
    <x:fill>
      <x:patternFill patternType="solid">
        <x:fgColor rgb="FFB7791F"/>
      </x:patternFill>
    </x:fill>
    <x:fill>
      <x:patternFill patternType="solid">
        <x:fgColor rgb="FF1F4E79"/>
      </x:patternFill>
    </x:fill>
    <x:fill>
      <x:patternFill patternType="solid">
        <x:fgColor rgb="FFFFFBEA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0" fontId="10" fillId="4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0" fontId="14" fillId="4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0"/>
    </x:xf>
    <x:xf numFmtId="0" fontId="12" fillId="0" borderId="0" xfId="0" applyNumberFormat="1" applyFont="1" applyFill="1" applyBorder="1" applyAlignment="1">
      <x:alignment wrapText="0"/>
    </x:xf>
    <x:xf numFmtId="0" fontId="13" fillId="0" borderId="0" xfId="0" applyNumberFormat="1" applyFont="1" applyFill="1" applyBorder="1" applyAlignment="1">
      <x:alignment wrapText="0"/>
    </x:xf>
    <x:xf numFmtId="0" fontId="14" fillId="3" borderId="1" xfId="0" applyNumberFormat="1" applyFont="1" applyFill="1" applyBorder="1" applyAlignment="1">
      <x:alignment wrapText="0"/>
    </x:xf>
    <x:xf numFmtId="0" fontId="12" fillId="0" borderId="1" xfId="0" applyNumberFormat="1" applyFont="1" applyFill="1" applyBorder="1" applyAlignment="1">
      <x:alignment wrapText="0"/>
    </x:xf>
    <x:xf numFmtId="0" fontId="14" fillId="4" borderId="1" xfId="0" applyNumberFormat="1" applyFont="1" applyFill="1" applyBorder="1" applyAlignment="1">
      <x:alignment wrapText="0"/>
    </x:xf>
    <x:xf numFmtId="200" fontId="8" fillId="0" borderId="1" xfId="0" applyNumberFormat="1" applyFont="1" applyFill="1" applyBorder="1"/>
    <x:xf numFmtId="200" fontId="12" fillId="0" borderId="1" xfId="0" applyNumberFormat="1" applyFont="1" applyFill="1" applyBorder="1"/>
    <x:xf numFmtId="200" fontId="12" fillId="0" borderId="1" xfId="0" applyNumberFormat="1" applyFont="1" applyFill="1" applyBorder="1" applyAlignment="1">
      <x:alignment wrapText="0"/>
    </x:xf>
    <x:xf numFmtId="0" fontId="10" fillId="5" borderId="1" xfId="0" applyNumberFormat="1" applyFont="1" applyFill="1" applyBorder="1" applyAlignment="1">
      <x:alignment wrapText="1"/>
    </x:xf>
    <x:xf numFmtId="201" fontId="8" fillId="0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201" fontId="12" fillId="0" borderId="1" xfId="0" applyNumberFormat="1" applyFont="1" applyFill="1" applyBorder="1"/>
    <x:xf numFmtId="0" fontId="14" fillId="5" borderId="1" xfId="0" applyNumberFormat="1" applyFont="1" applyFill="1" applyBorder="1" applyAlignment="1">
      <x:alignment wrapText="0"/>
    </x:xf>
    <x:xf numFmtId="201" fontId="12" fillId="0" borderId="1" xfId="0" applyNumberFormat="1" applyFont="1" applyFill="1" applyBorder="1" applyAlignment="1">
      <x:alignment wrapText="0"/>
    </x:xf>
    <x:xf numFmtId="0" fontId="10" fillId="6" borderId="1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wrapText="1"/>
    </x:xf>
    <x:xf numFmtId="0" fontId="14" fillId="6" borderId="1" xfId="0" applyNumberFormat="1" applyFont="1" applyFill="1" applyBorder="1" applyAlignment="1">
      <x:alignment wrapText="0"/>
    </x:xf>
    <x:xf numFmtId="0" fontId="10" fillId="7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wrapText="1"/>
    </x:xf>
    <x:xf numFmtId="0" fontId="14" fillId="7" borderId="1" xfId="0" applyNumberFormat="1" applyFont="1" applyFill="1" applyBorder="1" applyAlignment="1">
      <x:alignment wrapText="0"/>
    </x:xf>
    <x:xf numFmtId="0" fontId="12" fillId="0" borderId="1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wrapText="0"/>
    </x:xf>
    <x:xf numFmtId="200" fontId="12" fillId="8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c097f71914f3b" /><Relationship Type="http://schemas.openxmlformats.org/officeDocument/2006/relationships/theme" Target="/xl/theme/theme1.xml" Id="Re9998553a6b44813" /><Relationship Type="http://schemas.openxmlformats.org/officeDocument/2006/relationships/sharedStrings" Target="/xl/sharedStrings.xml" Id="R78ac659d40814342" /><Relationship Type="http://schemas.openxmlformats.org/officeDocument/2006/relationships/worksheet" Target="/xl/worksheets/sheet1.xml" Id="R2e76b081ed5d4d3e" /><Relationship Type="http://schemas.openxmlformats.org/officeDocument/2006/relationships/worksheet" Target="/xl/worksheets/sheet2.xml" Id="Rdfdc72173345403b" /><Relationship Type="http://schemas.openxmlformats.org/officeDocument/2006/relationships/worksheet" Target="/xl/worksheets/sheet3.xml" Id="Rfa5f8da549e64150" /><Relationship Type="http://schemas.openxmlformats.org/officeDocument/2006/relationships/worksheet" Target="/xl/worksheets/sheet4.xml" Id="Rc986d017a46d4fc7" /><Relationship Type="http://schemas.openxmlformats.org/officeDocument/2006/relationships/worksheet" Target="/xl/worksheets/sheet5.xml" Id="R9dc89e0de8984b8d" /><Relationship Type="http://schemas.openxmlformats.org/officeDocument/2006/relationships/worksheet" Target="/xl/worksheets/sheet6.xml" Id="Rdeb706432c384860" /><Relationship Type="http://schemas.openxmlformats.org/officeDocument/2006/relationships/worksheet" Target="/xl/worksheets/sheet7.xml" Id="R3b1433b9c9b14d40" /><Relationship Type="http://schemas.openxmlformats.org/officeDocument/2006/relationships/worksheet" Target="/xl/worksheets/sheet8.xml" Id="Rd132d328cd0d4598" /><Relationship Type="http://schemas.openxmlformats.org/officeDocument/2006/relationships/worksheet" Target="/xl/worksheets/sheet9.xml" Id="R7852352efdff42c0" /><Relationship Type="http://schemas.openxmlformats.org/officeDocument/2006/relationships/worksheet" Target="/xl/worksheets/sheet10.xml" Id="Rc3e41398c2f64935" /></Relationships>
</file>

<file path=xl/tables/table1.xml><?xml version="1.0" encoding="utf-8"?>
<x:table xmlns:x="http://schemas.openxmlformats.org/spreadsheetml/2006/main" id="1" name="IntakeWorkflow" displayName="IntakeWorkflow" ref="A5:D10" headerRowCount="1">
  <x:autoFilter ref="A5:D10"/>
  <x:tableColumns count="4">
    <x:tableColumn id="1" name="Step"/>
    <x:tableColumn id="2" name="What to do"/>
    <x:tableColumn id="3" name="Why it matters"/>
    <x:tableColumn id="4" name="Completion gate"/>
  </x:tableColumns>
  <x:tableStyleInfo name="TableStyleMedium2" showRowStripes="1"/>
</x:table>
</file>

<file path=xl/tables/table2.xml><?xml version="1.0" encoding="utf-8"?>
<x:table xmlns:x="http://schemas.openxmlformats.org/spreadsheetml/2006/main" id="2" name="ProductionStandard" displayName="ProductionStandard" ref="A14:B19" headerRowCount="1">
  <x:autoFilter ref="A14:B19"/>
  <x:tableColumns count="2">
    <x:tableColumn id="1" name="Production Standard"/>
    <x:tableColumn id="2" name="Target"/>
  </x:tableColumns>
  <x:tableStyleInfo name="TableStyleMedium2" showRowStripes="1"/>
</x:table>
</file>

<file path=xl/tables/table3.xml><?xml version="1.0" encoding="utf-8"?>
<x:table xmlns:x="http://schemas.openxmlformats.org/spreadsheetml/2006/main" id="3" name="SeedProfiles" displayName="SeedProfiles" ref="A4:K52" headerRowCount="1">
  <x:autoFilter ref="A4:K52"/>
  <x:tableColumns count="11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manager_pedigree_score"/>
    <x:tableColumn id="9" name="tactical_flexibility_score"/>
    <x:tableColumn id="10" name="profile_source_status"/>
    <x:tableColumn id="1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PlayerRatings" displayName="PlayerRatings" ref="A4:U1252" headerRowCount="1">
  <x:autoFilter ref="A4:U1252"/>
  <x:tableColumns count="21">
    <x:tableColumn id="1" name="Team"/>
    <x:tableColumn id="2" name="Group"/>
    <x:tableColumn id="3" name="Squad Slot"/>
    <x:tableColumn id="4" name="Player Name"/>
    <x:tableColumn id="5" name="Position"/>
    <x:tableColumn id="6" name="Unit"/>
    <x:tableColumn id="7" name="Expected Role"/>
    <x:tableColumn id="8" name="Expected Minutes Share"/>
    <x:tableColumn id="9" name="Rating Source"/>
    <x:tableColumn id="10" name="Overall Rating"/>
    <x:tableColumn id="11" name="Club Level Score"/>
    <x:tableColumn id="12" name="Recent Minutes Score"/>
    <x:tableColumn id="13" name="National Role Score"/>
    <x:tableColumn id="14" name="Tactical Fit Score"/>
    <x:tableColumn id="15" name="Form Score"/>
    <x:tableColumn id="16" name="Availability Status"/>
    <x:tableColumn id="17" name="Replacement Gap"/>
    <x:tableColumn id="18" name="Impact Score"/>
    <x:tableColumn id="19" name="Availability Penalty"/>
    <x:tableColumn id="20" name="Data Confidence"/>
    <x:tableColumn id="2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eamScoring" displayName="TeamScoring" ref="A4:M52" headerRowCount="1">
  <x:autoFilter ref="A4:M52"/>
  <x:tableColumns count="13">
    <x:tableColumn id="1" name="Group"/>
    <x:tableColumn id="2" name="Team"/>
    <x:tableColumn id="3" name="Squad Quality Score"/>
    <x:tableColumn id="4" name="Expected XI Score"/>
    <x:tableColumn id="5" name="Bench Depth Score"/>
    <x:tableColumn id="6" name="Defensive Spine Score"/>
    <x:tableColumn id="7" name="Attack Ceiling Score"/>
    <x:tableColumn id="8" name="GK Score"/>
    <x:tableColumn id="9" name="Availability Score"/>
    <x:tableColumn id="10" name="Complete Ratings %"/>
    <x:tableColumn id="11" name="Players Entered"/>
    <x:tableColumn id="12" name="Squad Source Status"/>
    <x:tableColumn id="13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ManagerProfiles" displayName="ManagerProfiles" ref="A4:Q52" headerRowCount="1">
  <x:autoFilter ref="A4:Q52"/>
  <x:tableColumns count="17">
    <x:tableColumn id="1" name="Group"/>
    <x:tableColumn id="2" name="Team"/>
    <x:tableColumn id="3" name="Manager Name"/>
    <x:tableColumn id="4" name="Tournament Experience"/>
    <x:tableColumn id="5" name="Knockout Management"/>
    <x:tableColumn id="6" name="Tactical Flexibility"/>
    <x:tableColumn id="7" name="Substitution Quality"/>
    <x:tableColumn id="8" name="Set Piece Value"/>
    <x:tableColumn id="9" name="Defensive Structure"/>
    <x:tableColumn id="10" name="Squad Fit"/>
    <x:tableColumn id="11" name="Pressure Handling"/>
    <x:tableColumn id="12" name="Manager Pedigree Score"/>
    <x:tableColumn id="13" name="Tactical Flexibility Score"/>
    <x:tableColumn id="14" name="Source Status"/>
    <x:tableColumn id="15" name="Analyst"/>
    <x:tableColumn id="16" name="Last Reviewed"/>
    <x:tableColumn id="1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FormationProfiles" displayName="FormationProfiles" ref="A4:M52" headerRowCount="1">
  <x:autoFilter ref="A4:M52"/>
  <x:tableColumns count="13">
    <x:tableColumn id="1" name="Group"/>
    <x:tableColumn id="2" name="Team"/>
    <x:tableColumn id="3" name="Preferred Style"/>
    <x:tableColumn id="4" name="Base Formation"/>
    <x:tableColumn id="5" name="Alt Formation"/>
    <x:tableColumn id="6" name="Pressing Score"/>
    <x:tableColumn id="7" name="Defensive Block Score"/>
    <x:tableColumn id="8" name="Build-up Score"/>
    <x:tableColumn id="9" name="Transition Score"/>
    <x:tableColumn id="10" name="Set Piece Score"/>
    <x:tableColumn id="11" name="Tactical Clarity Score"/>
    <x:tableColumn id="12" name="Analyst Notes"/>
    <x:tableColumn id="13" name="Source Status"/>
  </x:tableColumns>
  <x:tableStyleInfo name="TableStyleMedium2" showRowStripes="1"/>
</x:table>
</file>

<file path=xl/tables/table8.xml><?xml version="1.0" encoding="utf-8"?>
<x:table xmlns:x="http://schemas.openxmlformats.org/spreadsheetml/2006/main" id="8" name="AnalystReview" displayName="AnalystReview" ref="A4:O52" headerRowCount="1">
  <x:autoFilter ref="A4:O52"/>
  <x:tableColumns count="15">
    <x:tableColumn id="1" name="Group"/>
    <x:tableColumn id="2" name="Team"/>
    <x:tableColumn id="3" name="Reviewer"/>
    <x:tableColumn id="4" name="Review Date"/>
    <x:tableColumn id="5" name="Approved for Model?"/>
    <x:tableColumn id="6" name="Confidence Score"/>
    <x:tableColumn id="7" name="Star Dependency Risk"/>
    <x:tableColumn id="8" name="Replacement Gap Concern"/>
    <x:tableColumn id="9" name="Tactical Edge Note"/>
    <x:tableColumn id="10" name="Weakness Note"/>
    <x:tableColumn id="11" name="Ceiling Note"/>
    <x:tableColumn id="12" name="Squad Override"/>
    <x:tableColumn id="13" name="Manager Override"/>
    <x:tableColumn id="14" name="Tactical Override"/>
    <x:tableColumn id="15" name="Approval Notes"/>
  </x:tableColumns>
  <x:tableStyleInfo name="TableStyleMedium2" showRowStripes="1"/>
</x:table>
</file>

<file path=xl/tables/table9.xml><?xml version="1.0" encoding="utf-8"?>
<x:table xmlns:x="http://schemas.openxmlformats.org/spreadsheetml/2006/main" id="9" name="ModelReadyProfiles" displayName="ModelReadyProfiles" ref="A4:O52" headerRowCount="1">
  <x:autoFilter ref="A4:O52"/>
  <x:tableColumns count="15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manager_pedigree_score"/>
    <x:tableColumn id="9" name="tactical_flexibility_score"/>
    <x:tableColumn id="10" name="profile_source_status"/>
    <x:tableColumn id="11" name="notes"/>
    <x:tableColumn id="12" name="availability_score_override"/>
    <x:tableColumn id="13" name="tactical_clarity_score"/>
    <x:tableColumn id="14" name="analyst_confidence"/>
    <x:tableColumn id="15" name="approved_for_model"/>
  </x:tableColumns>
  <x:tableStyleInfo name="TableStyleMedium2" showRowStripes="1"/>
</x:table>
</file>

<file path=xl/tables/table10.xml><?xml version="1.0" encoding="utf-8"?>
<x:table xmlns:x="http://schemas.openxmlformats.org/spreadsheetml/2006/main" id="10" name="SourceLog" displayName="SourceLog" ref="A4:I9" headerRowCount="1">
  <x:autoFilter ref="A4:I9"/>
  <x:tableColumns count="9">
    <x:tableColumn id="1" name="Source ID"/>
    <x:tableColumn id="2" name="Data Area"/>
    <x:tableColumn id="3" name="Provider / Source"/>
    <x:tableColumn id="4" name="URL or File"/>
    <x:tableColumn id="5" name="License / Terms"/>
    <x:tableColumn id="6" name="Coverage"/>
    <x:tableColumn id="7" name="Last Checked"/>
    <x:tableColumn id="8" name="Owner"/>
    <x:tableColumn id="9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ModelLayerMap" displayName="ModelLayerMap" ref="A4:E11" headerRowCount="1">
  <x:autoFilter ref="A4:E11"/>
  <x:tableColumns count="5">
    <x:tableColumn id="1" name="Layer"/>
    <x:tableColumn id="2" name="Current V2 Weight"/>
    <x:tableColumn id="3" name="Workbook source"/>
    <x:tableColumn id="4" name="Why it exists"/>
    <x:tableColumn id="5" name="Production chec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63b1952a724a53" /><Relationship Type="http://schemas.openxmlformats.org/officeDocument/2006/relationships/table" Target="/xl/tables/table2.xml" Id="R2c84863b1a194b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843a8ba21674f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63000a6cf8c40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fe494413f5684a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cd4dadb28b146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a90da444e59e41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bb0c58dd6544f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9c6232b493049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1299600b20074c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c00440eb9a9743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64.33000183105469" hidden="0" customWidth="1"/>
    <x:col min="3" max="3" width="62.33000183105469" hidden="0" customWidth="1"/>
    <x:col min="4" max="4" width="40.88999938964844" hidden="0" customWidth="1"/>
  </x:cols>
  <x:sheetData>
    <x:row r="1" ht="25.5" customHeight="1">
      <x:c r="A1" s="47" t="str">
        <x:v>World Cup Player + Manager + Team Intake Workbook</x:v>
      </x:c>
      <x:c r="B1" s="48"/>
      <x:c r="C1" s="48"/>
      <x:c r="D1" s="48"/>
    </x:row>
    <x:row r="2" ht="36" customHeight="1">
      <x:c r="A2" s="49" t="str">
        <x:v>Use this workbook to replace V2 seed/proxy squad and manager values with verified player ratings, manager review, formation profiles, and audit-ready source notes.</x:v>
      </x:c>
      <x:c r="B2" s="48"/>
      <x:c r="C2" s="48"/>
      <x:c r="D2" s="48"/>
    </x:row>
    <x:row r="3">
      <x:c r="A3" s="48"/>
      <x:c r="B3" s="48"/>
      <x:c r="C3" s="48"/>
      <x:c r="D3" s="48"/>
    </x:row>
    <x:row r="4">
      <x:c r="A4" s="48"/>
      <x:c r="B4" s="48"/>
      <x:c r="C4" s="48"/>
      <x:c r="D4" s="48"/>
    </x:row>
    <x:row r="5">
      <x:c r="A5" s="50" t="str">
        <x:v>Step</x:v>
      </x:c>
      <x:c r="B5" s="44" t="str">
        <x:v>What to do</x:v>
      </x:c>
      <x:c r="C5" s="44" t="str">
        <x:v>Why it matters</x:v>
      </x:c>
      <x:c r="D5" s="44" t="str">
        <x:v>Completion gate</x:v>
      </x:c>
    </x:row>
    <x:row r="6">
      <x:c r="A6" s="51" t="n">
        <x:v>1</x:v>
      </x:c>
      <x:c r="B6" s="68" t="str">
        <x:v>Fill Player Ratings for each confirmed squad member.</x:v>
      </x:c>
      <x:c r="C6" s="68" t="str">
        <x:v>This converts squad opinion into player-level impact scores.</x:v>
      </x:c>
      <x:c r="D6" s="68" t="str">
        <x:v>26 players per team or a documented exception.</x:v>
      </x:c>
    </x:row>
    <x:row r="7">
      <x:c r="A7" s="51" t="n">
        <x:v>2</x:v>
      </x:c>
      <x:c r="B7" s="68" t="str">
        <x:v>Review Manager Profiles with a 0-100 analyst rubric.</x:v>
      </x:c>
      <x:c r="C7" s="68" t="str">
        <x:v>Manager quality should not be a vague gut-feel override.</x:v>
      </x:c>
      <x:c r="D7" s="68" t="str">
        <x:v>All manager rubric cells complete or fallback accepted.</x:v>
      </x:c>
    </x:row>
    <x:row r="8">
      <x:c r="A8" s="51" t="n">
        <x:v>3</x:v>
      </x:c>
      <x:c r="B8" s="68" t="str">
        <x:v>Fill Formation Profiles where tactical data is available.</x:v>
      </x:c>
      <x:c r="C8" s="68" t="str">
        <x:v>This captures matchup identity: press, block, buildup, transitions, set pieces.</x:v>
      </x:c>
      <x:c r="D8" s="68" t="str">
        <x:v>Manual tactical clarity score or source status noted.</x:v>
      </x:c>
    </x:row>
    <x:row r="9">
      <x:c r="A9" s="51" t="n">
        <x:v>4</x:v>
      </x:c>
      <x:c r="B9" s="68" t="str">
        <x:v>Use Analyst Review for override decisions.</x:v>
      </x:c>
      <x:c r="C9" s="68" t="str">
        <x:v>This is where star dependency, injury risk, and expert disagreement are documented.</x:v>
      </x:c>
      <x:c r="D9" s="68" t="str">
        <x:v>Approved for Model marked Yes before production use.</x:v>
      </x:c>
    </x:row>
    <x:row r="10">
      <x:c r="A10" s="51" t="n">
        <x:v>5</x:v>
      </x:c>
      <x:c r="B10" s="68" t="str">
        <x:v>Copy or export Model Ready Profiles into model_v2_team_profiles.csv.</x:v>
      </x:c>
      <x:c r="C10" s="68" t="str">
        <x:v>This keeps the current V2 script stable while upgrading the data layer.</x:v>
      </x:c>
      <x:c r="D10" s="68" t="str">
        <x:v>Only use rows with acceptable source confidence.</x:v>
      </x:c>
    </x:row>
    <x:row r="11">
      <x:c r="A11" s="48"/>
      <x:c r="B11" s="69"/>
      <x:c r="C11" s="69"/>
      <x:c r="D11" s="69"/>
    </x:row>
    <x:row r="12">
      <x:c r="A12" s="48"/>
      <x:c r="B12" s="69"/>
      <x:c r="C12" s="69"/>
      <x:c r="D12" s="69"/>
    </x:row>
    <x:row r="13">
      <x:c r="A13" s="48"/>
      <x:c r="B13" s="69"/>
      <x:c r="C13" s="69"/>
      <x:c r="D13" s="69"/>
    </x:row>
    <x:row r="14">
      <x:c r="A14" s="52" t="str">
        <x:v>Production Standard</x:v>
      </x:c>
      <x:c r="B14" s="46" t="str">
        <x:v>Target</x:v>
      </x:c>
      <x:c r="C14" s="69"/>
      <x:c r="D14" s="69"/>
    </x:row>
    <x:row r="15">
      <x:c r="A15" s="51" t="str">
        <x:v>Player feed</x:v>
      </x:c>
      <x:c r="B15" s="68" t="str">
        <x:v>Licensed provider or verified public squad + analyst score, not social-media-only values</x:v>
      </x:c>
      <x:c r="C15" s="69"/>
      <x:c r="D15" s="69"/>
    </x:row>
    <x:row r="16">
      <x:c r="A16" s="51" t="str">
        <x:v>Player coverage</x:v>
      </x:c>
      <x:c r="B16" s="68" t="str">
        <x:v>At least 24 of 26 players rated per team; all expected starters rated</x:v>
      </x:c>
      <x:c r="C16" s="69"/>
      <x:c r="D16" s="69"/>
    </x:row>
    <x:row r="17">
      <x:c r="A17" s="51" t="str">
        <x:v>Manager coverage</x:v>
      </x:c>
      <x:c r="B17" s="68" t="str">
        <x:v>All eight manager rubric fields completed or explicit fallback approved</x:v>
      </x:c>
      <x:c r="C17" s="69"/>
      <x:c r="D17" s="69"/>
    </x:row>
    <x:row r="18">
      <x:c r="A18" s="51" t="str">
        <x:v>Source log</x:v>
      </x:c>
      <x:c r="B18" s="68" t="str">
        <x:v>Every non-obvious number tied to a provider/file/date/analyst</x:v>
      </x:c>
      <x:c r="C18" s="69"/>
      <x:c r="D18" s="69"/>
    </x:row>
    <x:row r="19">
      <x:c r="A19" s="51" t="str">
        <x:v>Override discipline</x:v>
      </x:c>
      <x:c r="B19" s="51" t="str">
        <x:v>Overrides require reason and confidence, not vibes</x:v>
      </x:c>
      <x:c r="C19" s="48"/>
      <x:c r="D19" s="48"/>
    </x:row>
  </x:sheetData>
  <x:mergeCells>
    <x:mergeCell ref="A1:J1"/>
    <x:mergeCell ref="A2:J2"/>
  </x:mergeCells>
  <x:pageMargins left="0.7" right="0.7" top="0.75" bottom="0.75" header="0.3" footer="0.3"/>
  <x:tableParts count="2">
    <x:tablePart xmlns:r="http://schemas.openxmlformats.org/officeDocument/2006/relationships" r:id="R7b63b1952a724a53"/>
    <x:tablePart xmlns:r="http://schemas.openxmlformats.org/officeDocument/2006/relationships" r:id="R2c84863b1a194b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18.219999313354492" hidden="0" customWidth="1"/>
    <x:col min="3" max="3" width="16.329999923706055" hidden="0" customWidth="1"/>
    <x:col min="4" max="4" width="32.66999816894531" hidden="0" customWidth="1"/>
    <x:col min="5" max="5" width="18.670000076293945" hidden="0" customWidth="1"/>
    <x:col min="6" max="6" width="17.219999313354492" hidden="0" customWidth="1"/>
    <x:col min="7" max="7" width="18" hidden="0" customWidth="1"/>
    <x:col min="8" max="8" width="22.440000534057617" hidden="0" customWidth="1"/>
    <x:col min="9" max="9" width="21.329999923706055" hidden="0" customWidth="1"/>
    <x:col min="10" max="10" width="46.66999816894531" hidden="0" customWidth="1"/>
    <x:col min="11" max="11" width="26.670000076293945" hidden="0" customWidth="1"/>
  </x:cols>
  <x:sheetData>
    <x:row r="1" ht="25.5" customHeight="1">
      <x:c r="A1" s="47" t="str">
        <x:v>Seed Profiles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</x:row>
    <x:row r="2" ht="36" customHeight="1">
      <x:c r="A2" s="49" t="str">
        <x:v>Current V2 seed values. The calculated sheets use these as fallback until verified player/manager data is entered.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>
      <x:c r="A4" s="52" t="str">
        <x:v>team</x:v>
      </x:c>
      <x:c r="B4" s="52" t="str">
        <x:v>normalized_team</x:v>
      </x:c>
      <x:c r="C4" s="52" t="str">
        <x:v>manager_name</x:v>
      </x:c>
      <x:c r="D4" s="52" t="str">
        <x:v>preferred_style</x:v>
      </x:c>
      <x:c r="E4" s="52" t="str">
        <x:v>squad_quality_score</x:v>
      </x:c>
      <x:c r="F4" s="52" t="str">
        <x:v>expected_xi_score</x:v>
      </x:c>
      <x:c r="G4" s="52" t="str">
        <x:v>bench_depth_score</x:v>
      </x:c>
      <x:c r="H4" s="52" t="str">
        <x:v>manager_pedigree_score</x:v>
      </x:c>
      <x:c r="I4" s="52" t="str">
        <x:v>tactical_flexibility_score</x:v>
      </x:c>
      <x:c r="J4" s="52" t="str">
        <x:v>profile_source_status</x:v>
      </x:c>
      <x:c r="K4" s="52" t="str">
        <x:v>notes</x:v>
      </x:c>
    </x:row>
    <x:row r="5">
      <x:c r="A5" s="51" t="str">
        <x:v>Czech Republic</x:v>
      </x:c>
      <x:c r="B5" s="51" t="str">
        <x:v>Czech Republic</x:v>
      </x:c>
      <x:c r="C5" s="51" t="str">
        <x:v>manual_required</x:v>
      </x:c>
      <x:c r="D5" s="51" t="str">
        <x:v>profile proxy / manual review required</x:v>
      </x:c>
      <x:c r="E5" s="51" t="n">
        <x:v>71</x:v>
      </x:c>
      <x:c r="F5" s="51" t="n">
        <x:v>71</x:v>
      </x:c>
      <x:c r="G5" s="51" t="n">
        <x:v>68</x:v>
      </x:c>
      <x:c r="H5" s="51" t="n">
        <x:v>49.53</x:v>
      </x:c>
      <x:c r="I5" s="51" t="n">
        <x:v>47.53</x:v>
      </x:c>
      <x:c r="J5" s="51" t="str">
        <x:v>public/manual seed; replace with licensed squad + analyst feed</x:v>
      </x:c>
      <x:c r="K5" s="51" t="str">
        <x:v>V2 seed value; editable before rerun</x:v>
      </x:c>
    </x:row>
    <x:row r="6">
      <x:c r="A6" s="51" t="str">
        <x:v>Mexico</x:v>
      </x:c>
      <x:c r="B6" s="51" t="str">
        <x:v>Mexico</x:v>
      </x:c>
      <x:c r="C6" s="51" t="str">
        <x:v>Javier Aguirre</x:v>
      </x:c>
      <x:c r="D6" s="51" t="str">
        <x:v>pragmatic tournament management</x:v>
      </x:c>
      <x:c r="E6" s="51" t="n">
        <x:v>76</x:v>
      </x:c>
      <x:c r="F6" s="51" t="n">
        <x:v>76</x:v>
      </x:c>
      <x:c r="G6" s="51" t="n">
        <x:v>74</x:v>
      </x:c>
      <x:c r="H6" s="51" t="n">
        <x:v>78</x:v>
      </x:c>
      <x:c r="I6" s="51" t="n">
        <x:v>72</x:v>
      </x:c>
      <x:c r="J6" s="51" t="str">
        <x:v>public/manual seed; replace with licensed squad + analyst feed</x:v>
      </x:c>
      <x:c r="K6" s="51" t="str">
        <x:v>V2 seed value; editable before rerun</x:v>
      </x:c>
    </x:row>
    <x:row r="7">
      <x:c r="A7" s="51" t="str">
        <x:v>South Africa</x:v>
      </x:c>
      <x:c r="B7" s="51" t="str">
        <x:v>South Africa</x:v>
      </x:c>
      <x:c r="C7" s="51" t="str">
        <x:v>Hugo Broos</x:v>
      </x:c>
      <x:c r="D7" s="51" t="str">
        <x:v>compact / tournament pragmatism</x:v>
      </x:c>
      <x:c r="E7" s="51" t="n">
        <x:v>37</x:v>
      </x:c>
      <x:c r="F7" s="51" t="n">
        <x:v>38</x:v>
      </x:c>
      <x:c r="G7" s="51" t="n">
        <x:v>33</x:v>
      </x:c>
      <x:c r="H7" s="51" t="n">
        <x:v>76</x:v>
      </x:c>
      <x:c r="I7" s="51" t="n">
        <x:v>70</x:v>
      </x:c>
      <x:c r="J7" s="51" t="str">
        <x:v>public/manual seed; replace with licensed squad + analyst feed</x:v>
      </x:c>
      <x:c r="K7" s="51" t="str">
        <x:v>V2 seed value; editable before rerun</x:v>
      </x:c>
    </x:row>
    <x:row r="8">
      <x:c r="A8" s="51" t="str">
        <x:v>South Korea</x:v>
      </x:c>
      <x:c r="B8" s="51" t="str">
        <x:v>South Korea</x:v>
      </x:c>
      <x:c r="C8" s="51" t="str">
        <x:v>Hong Myung-bo</x:v>
      </x:c>
      <x:c r="D8" s="51" t="str">
        <x:v>balanced / transition pace</x:v>
      </x:c>
      <x:c r="E8" s="51" t="n">
        <x:v>72</x:v>
      </x:c>
      <x:c r="F8" s="51" t="n">
        <x:v>72</x:v>
      </x:c>
      <x:c r="G8" s="51" t="n">
        <x:v>69</x:v>
      </x:c>
      <x:c r="H8" s="51" t="n">
        <x:v>70</x:v>
      </x:c>
      <x:c r="I8" s="51" t="n">
        <x:v>70</x:v>
      </x:c>
      <x:c r="J8" s="51" t="str">
        <x:v>public/manual seed; replace with licensed squad + analyst feed</x:v>
      </x:c>
      <x:c r="K8" s="51" t="str">
        <x:v>V2 seed value; editable before rerun</x:v>
      </x:c>
    </x:row>
    <x:row r="9">
      <x:c r="A9" s="51" t="str">
        <x:v>Bosnia &amp; Herzegovina</x:v>
      </x:c>
      <x:c r="B9" s="51" t="str">
        <x:v>Bosnia and Herzegovina</x:v>
      </x:c>
      <x:c r="C9" s="51" t="str">
        <x:v>manual_required</x:v>
      </x:c>
      <x:c r="D9" s="51" t="str">
        <x:v>profile proxy / manual review required</x:v>
      </x:c>
      <x:c r="E9" s="51" t="n">
        <x:v>36</x:v>
      </x:c>
      <x:c r="F9" s="51" t="n">
        <x:v>37</x:v>
      </x:c>
      <x:c r="G9" s="51" t="n">
        <x:v>32</x:v>
      </x:c>
      <x:c r="H9" s="51" t="n">
        <x:v>45</x:v>
      </x:c>
      <x:c r="I9" s="51" t="n">
        <x:v>42</x:v>
      </x:c>
      <x:c r="J9" s="51" t="str">
        <x:v>public/manual seed; replace with licensed squad + analyst feed</x:v>
      </x:c>
      <x:c r="K9" s="51" t="str">
        <x:v>V2 seed value; editable before rerun</x:v>
      </x:c>
    </x:row>
    <x:row r="10">
      <x:c r="A10" s="51" t="str">
        <x:v>Canada</x:v>
      </x:c>
      <x:c r="B10" s="51" t="str">
        <x:v>Canada</x:v>
      </x:c>
      <x:c r="C10" s="51" t="str">
        <x:v>Jesse Marsch</x:v>
      </x:c>
      <x:c r="D10" s="51" t="str">
        <x:v>pressing / vertical transitions</x:v>
      </x:c>
      <x:c r="E10" s="51" t="n">
        <x:v>74</x:v>
      </x:c>
      <x:c r="F10" s="51" t="n">
        <x:v>75</x:v>
      </x:c>
      <x:c r="G10" s="51" t="n">
        <x:v>70</x:v>
      </x:c>
      <x:c r="H10" s="51" t="n">
        <x:v>72</x:v>
      </x:c>
      <x:c r="I10" s="51" t="n">
        <x:v>80</x:v>
      </x:c>
      <x:c r="J10" s="51" t="str">
        <x:v>public/manual seed; replace with licensed squad + analyst feed</x:v>
      </x:c>
      <x:c r="K10" s="51" t="str">
        <x:v>V2 seed value; editable before rerun</x:v>
      </x:c>
    </x:row>
    <x:row r="11">
      <x:c r="A11" s="51" t="str">
        <x:v>Qatar</x:v>
      </x:c>
      <x:c r="B11" s="51" t="str">
        <x:v>Qatar</x:v>
      </x:c>
      <x:c r="C11" s="51" t="str">
        <x:v>Julen Lopetegui</x:v>
      </x:c>
      <x:c r="D11" s="51" t="str">
        <x:v>possession / positional play</x:v>
      </x:c>
      <x:c r="E11" s="51" t="n">
        <x:v>35</x:v>
      </x:c>
      <x:c r="F11" s="51" t="n">
        <x:v>36</x:v>
      </x:c>
      <x:c r="G11" s="51" t="n">
        <x:v>31</x:v>
      </x:c>
      <x:c r="H11" s="51" t="n">
        <x:v>78</x:v>
      </x:c>
      <x:c r="I11" s="51" t="n">
        <x:v>80</x:v>
      </x:c>
      <x:c r="J11" s="51" t="str">
        <x:v>public/manual seed; replace with licensed squad + analyst feed</x:v>
      </x:c>
      <x:c r="K11" s="51" t="str">
        <x:v>V2 seed value; editable before rerun</x:v>
      </x:c>
    </x:row>
    <x:row r="12">
      <x:c r="A12" s="51" t="str">
        <x:v>Switzerland</x:v>
      </x:c>
      <x:c r="B12" s="51" t="str">
        <x:v>Switzerland</x:v>
      </x:c>
      <x:c r="C12" s="51" t="str">
        <x:v>Murat Yakin</x:v>
      </x:c>
      <x:c r="D12" s="51" t="str">
        <x:v>compact tournament pragmatism</x:v>
      </x:c>
      <x:c r="E12" s="51" t="n">
        <x:v>77</x:v>
      </x:c>
      <x:c r="F12" s="51" t="n">
        <x:v>77</x:v>
      </x:c>
      <x:c r="G12" s="51" t="n">
        <x:v>75</x:v>
      </x:c>
      <x:c r="H12" s="51" t="n">
        <x:v>76</x:v>
      </x:c>
      <x:c r="I12" s="51" t="n">
        <x:v>74</x:v>
      </x:c>
      <x:c r="J12" s="51" t="str">
        <x:v>public/manual seed; replace with licensed squad + analyst feed</x:v>
      </x:c>
      <x:c r="K12" s="51" t="str">
        <x:v>V2 seed value; editable before rerun</x:v>
      </x:c>
    </x:row>
    <x:row r="13">
      <x:c r="A13" s="51" t="str">
        <x:v>Brazil</x:v>
      </x:c>
      <x:c r="B13" s="51" t="str">
        <x:v>Brazil</x:v>
      </x:c>
      <x:c r="C13" s="51" t="str">
        <x:v>Carlo Ancelotti</x:v>
      </x:c>
      <x:c r="D13" s="51" t="str">
        <x:v>adaptive possession / star-led attack</x:v>
      </x:c>
      <x:c r="E13" s="51" t="n">
        <x:v>90</x:v>
      </x:c>
      <x:c r="F13" s="51" t="n">
        <x:v>90</x:v>
      </x:c>
      <x:c r="G13" s="51" t="n">
        <x:v>89</x:v>
      </x:c>
      <x:c r="H13" s="51" t="n">
        <x:v>89</x:v>
      </x:c>
      <x:c r="I13" s="51" t="n">
        <x:v>86</x:v>
      </x:c>
      <x:c r="J13" s="51" t="str">
        <x:v>public/manual seed; replace with licensed squad + analyst feed</x:v>
      </x:c>
      <x:c r="K13" s="51" t="str">
        <x:v>V2 seed value; editable before rerun</x:v>
      </x:c>
    </x:row>
    <x:row r="14">
      <x:c r="A14" s="51" t="str">
        <x:v>Haiti</x:v>
      </x:c>
      <x:c r="B14" s="51" t="str">
        <x:v>Haiti</x:v>
      </x:c>
      <x:c r="C14" s="51" t="str">
        <x:v>manual_required</x:v>
      </x:c>
      <x:c r="D14" s="51" t="str">
        <x:v>profile proxy / manual review required</x:v>
      </x:c>
      <x:c r="E14" s="51" t="n">
        <x:v>40</x:v>
      </x:c>
      <x:c r="F14" s="51" t="n">
        <x:v>41</x:v>
      </x:c>
      <x:c r="G14" s="51" t="n">
        <x:v>36</x:v>
      </x:c>
      <x:c r="H14" s="51" t="n">
        <x:v>45</x:v>
      </x:c>
      <x:c r="I14" s="51" t="n">
        <x:v>42.77</x:v>
      </x:c>
      <x:c r="J14" s="51" t="str">
        <x:v>public/manual seed; replace with licensed squad + analyst feed</x:v>
      </x:c>
      <x:c r="K14" s="51" t="str">
        <x:v>V2 seed value; editable before rerun</x:v>
      </x:c>
    </x:row>
    <x:row r="15">
      <x:c r="A15" s="51" t="str">
        <x:v>Morocco</x:v>
      </x:c>
      <x:c r="B15" s="51" t="str">
        <x:v>Morocco</x:v>
      </x:c>
      <x:c r="C15" s="51" t="str">
        <x:v>Walid Regragui</x:v>
      </x:c>
      <x:c r="D15" s="51" t="str">
        <x:v>compact block / transition</x:v>
      </x:c>
      <x:c r="E15" s="51" t="n">
        <x:v>80</x:v>
      </x:c>
      <x:c r="F15" s="51" t="n">
        <x:v>81</x:v>
      </x:c>
      <x:c r="G15" s="51" t="n">
        <x:v>76</x:v>
      </x:c>
      <x:c r="H15" s="51" t="n">
        <x:v>84</x:v>
      </x:c>
      <x:c r="I15" s="51" t="n">
        <x:v>80</x:v>
      </x:c>
      <x:c r="J15" s="51" t="str">
        <x:v>public/manual seed; replace with licensed squad + analyst feed</x:v>
      </x:c>
      <x:c r="K15" s="51" t="str">
        <x:v>V2 seed value; editable before rerun</x:v>
      </x:c>
    </x:row>
    <x:row r="16">
      <x:c r="A16" s="51" t="str">
        <x:v>Scotland</x:v>
      </x:c>
      <x:c r="B16" s="51" t="str">
        <x:v>Scotland</x:v>
      </x:c>
      <x:c r="C16" s="51" t="str">
        <x:v>Steve Clarke</x:v>
      </x:c>
      <x:c r="D16" s="51" t="str">
        <x:v>compact 3/5-back structure</x:v>
      </x:c>
      <x:c r="E16" s="51" t="n">
        <x:v>55</x:v>
      </x:c>
      <x:c r="F16" s="51" t="n">
        <x:v>56</x:v>
      </x:c>
      <x:c r="G16" s="51" t="n">
        <x:v>51</x:v>
      </x:c>
      <x:c r="H16" s="51" t="n">
        <x:v>73</x:v>
      </x:c>
      <x:c r="I16" s="51" t="n">
        <x:v>70</x:v>
      </x:c>
      <x:c r="J16" s="51" t="str">
        <x:v>public/manual seed; replace with licensed squad + analyst feed</x:v>
      </x:c>
      <x:c r="K16" s="51" t="str">
        <x:v>V2 seed value; editable before rerun</x:v>
      </x:c>
    </x:row>
    <x:row r="17">
      <x:c r="A17" s="51" t="str">
        <x:v>Australia</x:v>
      </x:c>
      <x:c r="B17" s="51" t="str">
        <x:v>Australia</x:v>
      </x:c>
      <x:c r="C17" s="51" t="str">
        <x:v>Tony Popovic</x:v>
      </x:c>
      <x:c r="D17" s="51" t="str">
        <x:v>compact / physical transitions</x:v>
      </x:c>
      <x:c r="E17" s="51" t="n">
        <x:v>72</x:v>
      </x:c>
      <x:c r="F17" s="51" t="n">
        <x:v>72</x:v>
      </x:c>
      <x:c r="G17" s="51" t="n">
        <x:v>69</x:v>
      </x:c>
      <x:c r="H17" s="51" t="n">
        <x:v>70</x:v>
      </x:c>
      <x:c r="I17" s="51" t="n">
        <x:v>70</x:v>
      </x:c>
      <x:c r="J17" s="51" t="str">
        <x:v>public/manual seed; replace with licensed squad + analyst feed</x:v>
      </x:c>
      <x:c r="K17" s="51" t="str">
        <x:v>V2 seed value; editable before rerun</x:v>
      </x:c>
    </x:row>
    <x:row r="18">
      <x:c r="A18" s="51" t="str">
        <x:v>Paraguay</x:v>
      </x:c>
      <x:c r="B18" s="51" t="str">
        <x:v>Paraguay</x:v>
      </x:c>
      <x:c r="C18" s="51" t="str">
        <x:v>Gustavo Alfaro</x:v>
      </x:c>
      <x:c r="D18" s="51" t="str">
        <x:v>defensive block / set pieces</x:v>
      </x:c>
      <x:c r="E18" s="51" t="n">
        <x:v>73</x:v>
      </x:c>
      <x:c r="F18" s="51" t="n">
        <x:v>73</x:v>
      </x:c>
      <x:c r="G18" s="51" t="n">
        <x:v>70</x:v>
      </x:c>
      <x:c r="H18" s="51" t="n">
        <x:v>76</x:v>
      </x:c>
      <x:c r="I18" s="51" t="n">
        <x:v>72</x:v>
      </x:c>
      <x:c r="J18" s="51" t="str">
        <x:v>public/manual seed; replace with licensed squad + analyst feed</x:v>
      </x:c>
      <x:c r="K18" s="51" t="str">
        <x:v>V2 seed value; editable before rerun</x:v>
      </x:c>
    </x:row>
    <x:row r="19">
      <x:c r="A19" s="51" t="str">
        <x:v>Turkey</x:v>
      </x:c>
      <x:c r="B19" s="51" t="str">
        <x:v>Turkey</x:v>
      </x:c>
      <x:c r="C19" s="51" t="str">
        <x:v>Vincenzo Montella</x:v>
      </x:c>
      <x:c r="D19" s="51" t="str">
        <x:v>technical midfield / transitions</x:v>
      </x:c>
      <x:c r="E19" s="51" t="n">
        <x:v>78</x:v>
      </x:c>
      <x:c r="F19" s="51" t="n">
        <x:v>78</x:v>
      </x:c>
      <x:c r="G19" s="51" t="n">
        <x:v>75</x:v>
      </x:c>
      <x:c r="H19" s="51" t="n">
        <x:v>74</x:v>
      </x:c>
      <x:c r="I19" s="51" t="n">
        <x:v>76</x:v>
      </x:c>
      <x:c r="J19" s="51" t="str">
        <x:v>public/manual seed; replace with licensed squad + analyst feed</x:v>
      </x:c>
      <x:c r="K19" s="51" t="str">
        <x:v>V2 seed value; editable before rerun</x:v>
      </x:c>
    </x:row>
    <x:row r="20">
      <x:c r="A20" s="51" t="str">
        <x:v>USA</x:v>
      </x:c>
      <x:c r="B20" s="51" t="str">
        <x:v>United States</x:v>
      </x:c>
      <x:c r="C20" s="51" t="str">
        <x:v>Mauricio Pochettino</x:v>
      </x:c>
      <x:c r="D20" s="51" t="str">
        <x:v>pressing / vertical possession</x:v>
      </x:c>
      <x:c r="E20" s="51" t="n">
        <x:v>77</x:v>
      </x:c>
      <x:c r="F20" s="51" t="n">
        <x:v>77</x:v>
      </x:c>
      <x:c r="G20" s="51" t="n">
        <x:v>75</x:v>
      </x:c>
      <x:c r="H20" s="51" t="n">
        <x:v>82</x:v>
      </x:c>
      <x:c r="I20" s="51" t="n">
        <x:v>86</x:v>
      </x:c>
      <x:c r="J20" s="51" t="str">
        <x:v>public/manual seed; replace with licensed squad + analyst feed</x:v>
      </x:c>
      <x:c r="K20" s="51" t="str">
        <x:v>V2 seed value; editable before rerun</x:v>
      </x:c>
    </x:row>
    <x:row r="21">
      <x:c r="A21" s="51" t="str">
        <x:v>Curaçao</x:v>
      </x:c>
      <x:c r="B21" s="51" t="str">
        <x:v>Curaçao</x:v>
      </x:c>
      <x:c r="C21" s="51" t="str">
        <x:v>manual_required</x:v>
      </x:c>
      <x:c r="D21" s="51" t="str">
        <x:v>profile proxy / manual review required</x:v>
      </x:c>
      <x:c r="E21" s="51" t="n">
        <x:v>35</x:v>
      </x:c>
      <x:c r="F21" s="51" t="n">
        <x:v>36</x:v>
      </x:c>
      <x:c r="G21" s="51" t="n">
        <x:v>31</x:v>
      </x:c>
      <x:c r="H21" s="51" t="n">
        <x:v>45</x:v>
      </x:c>
      <x:c r="I21" s="51" t="n">
        <x:v>42</x:v>
      </x:c>
      <x:c r="J21" s="51" t="str">
        <x:v>public/manual seed; replace with licensed squad + analyst feed</x:v>
      </x:c>
      <x:c r="K21" s="51" t="str">
        <x:v>V2 seed value; editable before rerun</x:v>
      </x:c>
    </x:row>
    <x:row r="22">
      <x:c r="A22" s="51" t="str">
        <x:v>Ecuador</x:v>
      </x:c>
      <x:c r="B22" s="51" t="str">
        <x:v>Ecuador</x:v>
      </x:c>
      <x:c r="C22" s="51" t="str">
        <x:v>Sebastian Beccacece</x:v>
      </x:c>
      <x:c r="D22" s="51" t="str">
        <x:v>aggressive pressing / transitions</x:v>
      </x:c>
      <x:c r="E22" s="51" t="n">
        <x:v>78</x:v>
      </x:c>
      <x:c r="F22" s="51" t="n">
        <x:v>79</x:v>
      </x:c>
      <x:c r="G22" s="51" t="n">
        <x:v>74</x:v>
      </x:c>
      <x:c r="H22" s="51" t="n">
        <x:v>73</x:v>
      </x:c>
      <x:c r="I22" s="51" t="n">
        <x:v>76</x:v>
      </x:c>
      <x:c r="J22" s="51" t="str">
        <x:v>public/manual seed; replace with licensed squad + analyst feed</x:v>
      </x:c>
      <x:c r="K22" s="51" t="str">
        <x:v>V2 seed value; editable before rerun</x:v>
      </x:c>
    </x:row>
    <x:row r="23">
      <x:c r="A23" s="51" t="str">
        <x:v>Germany</x:v>
      </x:c>
      <x:c r="B23" s="51" t="str">
        <x:v>Germany</x:v>
      </x:c>
      <x:c r="C23" s="51" t="str">
        <x:v>Julian Nagelsmann</x:v>
      </x:c>
      <x:c r="D23" s="51" t="str">
        <x:v>high-tempo positional play</x:v>
      </x:c>
      <x:c r="E23" s="51" t="n">
        <x:v>86</x:v>
      </x:c>
      <x:c r="F23" s="51" t="n">
        <x:v>86</x:v>
      </x:c>
      <x:c r="G23" s="51" t="n">
        <x:v>85</x:v>
      </x:c>
      <x:c r="H23" s="51" t="n">
        <x:v>82</x:v>
      </x:c>
      <x:c r="I23" s="51" t="n">
        <x:v>90</x:v>
      </x:c>
      <x:c r="J23" s="51" t="str">
        <x:v>public/manual seed; replace with licensed squad + analyst feed</x:v>
      </x:c>
      <x:c r="K23" s="51" t="str">
        <x:v>V2 seed value; editable before rerun</x:v>
      </x:c>
    </x:row>
    <x:row r="24">
      <x:c r="A24" s="51" t="str">
        <x:v>Ivory Coast</x:v>
      </x:c>
      <x:c r="B24" s="51" t="str">
        <x:v>Ivory Coast</x:v>
      </x:c>
      <x:c r="C24" s="51" t="str">
        <x:v>manual_required</x:v>
      </x:c>
      <x:c r="D24" s="51" t="str">
        <x:v>profile proxy / manual review required</x:v>
      </x:c>
      <x:c r="E24" s="51" t="n">
        <x:v>74</x:v>
      </x:c>
      <x:c r="F24" s="51" t="n">
        <x:v>74</x:v>
      </x:c>
      <x:c r="G24" s="51" t="n">
        <x:v>72</x:v>
      </x:c>
      <x:c r="H24" s="51" t="n">
        <x:v>50.21</x:v>
      </x:c>
      <x:c r="I24" s="51" t="n">
        <x:v>48.21</x:v>
      </x:c>
      <x:c r="J24" s="51" t="str">
        <x:v>public/manual seed; replace with licensed squad + analyst feed</x:v>
      </x:c>
      <x:c r="K24" s="51" t="str">
        <x:v>V2 seed value; editable before rerun</x:v>
      </x:c>
    </x:row>
    <x:row r="25">
      <x:c r="A25" s="51" t="str">
        <x:v>Japan</x:v>
      </x:c>
      <x:c r="B25" s="51" t="str">
        <x:v>Japan</x:v>
      </x:c>
      <x:c r="C25" s="51" t="str">
        <x:v>Hajime Moriyasu</x:v>
      </x:c>
      <x:c r="D25" s="51" t="str">
        <x:v>compact transitions / tactical flexibility</x:v>
      </x:c>
      <x:c r="E25" s="51" t="n">
        <x:v>79</x:v>
      </x:c>
      <x:c r="F25" s="51" t="n">
        <x:v>78</x:v>
      </x:c>
      <x:c r="G25" s="51" t="n">
        <x:v>78</x:v>
      </x:c>
      <x:c r="H25" s="51" t="n">
        <x:v>80</x:v>
      </x:c>
      <x:c r="I25" s="51" t="n">
        <x:v>82</x:v>
      </x:c>
      <x:c r="J25" s="51" t="str">
        <x:v>public/manual seed; replace with licensed squad + analyst feed</x:v>
      </x:c>
      <x:c r="K25" s="51" t="str">
        <x:v>V2 seed value; editable before rerun</x:v>
      </x:c>
    </x:row>
    <x:row r="26">
      <x:c r="A26" s="51" t="str">
        <x:v>Netherlands</x:v>
      </x:c>
      <x:c r="B26" s="51" t="str">
        <x:v>Netherlands</x:v>
      </x:c>
      <x:c r="C26" s="51" t="str">
        <x:v>Ronald Koeman</x:v>
      </x:c>
      <x:c r="D26" s="51" t="str">
        <x:v>possession / wing progression</x:v>
      </x:c>
      <x:c r="E26" s="51" t="n">
        <x:v>86</x:v>
      </x:c>
      <x:c r="F26" s="51" t="n">
        <x:v>86</x:v>
      </x:c>
      <x:c r="G26" s="51" t="n">
        <x:v>84</x:v>
      </x:c>
      <x:c r="H26" s="51" t="n">
        <x:v>76</x:v>
      </x:c>
      <x:c r="I26" s="51" t="n">
        <x:v>74</x:v>
      </x:c>
      <x:c r="J26" s="51" t="str">
        <x:v>public/manual seed; replace with licensed squad + analyst feed</x:v>
      </x:c>
      <x:c r="K26" s="51" t="str">
        <x:v>V2 seed value; editable before rerun</x:v>
      </x:c>
    </x:row>
    <x:row r="27">
      <x:c r="A27" s="51" t="str">
        <x:v>Sweden</x:v>
      </x:c>
      <x:c r="B27" s="51" t="str">
        <x:v>Sweden</x:v>
      </x:c>
      <x:c r="C27" s="51" t="str">
        <x:v>manual_required</x:v>
      </x:c>
      <x:c r="D27" s="51" t="str">
        <x:v>profile proxy / manual review required</x:v>
      </x:c>
      <x:c r="E27" s="51" t="n">
        <x:v>72</x:v>
      </x:c>
      <x:c r="F27" s="51" t="n">
        <x:v>72</x:v>
      </x:c>
      <x:c r="G27" s="51" t="n">
        <x:v>69</x:v>
      </x:c>
      <x:c r="H27" s="51" t="n">
        <x:v>48.17</x:v>
      </x:c>
      <x:c r="I27" s="51" t="n">
        <x:v>46.17</x:v>
      </x:c>
      <x:c r="J27" s="51" t="str">
        <x:v>public/manual seed; replace with licensed squad + analyst feed</x:v>
      </x:c>
      <x:c r="K27" s="51" t="str">
        <x:v>V2 seed value; editable before rerun</x:v>
      </x:c>
    </x:row>
    <x:row r="28">
      <x:c r="A28" s="51" t="str">
        <x:v>Tunisia</x:v>
      </x:c>
      <x:c r="B28" s="51" t="str">
        <x:v>Tunisia</x:v>
      </x:c>
      <x:c r="C28" s="51" t="str">
        <x:v>manual_required</x:v>
      </x:c>
      <x:c r="D28" s="51" t="str">
        <x:v>profile proxy / manual review required</x:v>
      </x:c>
      <x:c r="E28" s="51" t="n">
        <x:v>41</x:v>
      </x:c>
      <x:c r="F28" s="51" t="n">
        <x:v>42</x:v>
      </x:c>
      <x:c r="G28" s="51" t="n">
        <x:v>37</x:v>
      </x:c>
      <x:c r="H28" s="51" t="n">
        <x:v>45.45</x:v>
      </x:c>
      <x:c r="I28" s="51" t="n">
        <x:v>43.45</x:v>
      </x:c>
      <x:c r="J28" s="51" t="str">
        <x:v>public/manual seed; replace with licensed squad + analyst feed</x:v>
      </x:c>
      <x:c r="K28" s="51" t="str">
        <x:v>V2 seed value; editable before rerun</x:v>
      </x:c>
    </x:row>
    <x:row r="29">
      <x:c r="A29" s="51" t="str">
        <x:v>Belgium</x:v>
      </x:c>
      <x:c r="B29" s="51" t="str">
        <x:v>Belgium</x:v>
      </x:c>
      <x:c r="C29" s="51" t="str">
        <x:v>Rudi Garcia</x:v>
      </x:c>
      <x:c r="D29" s="51" t="str">
        <x:v>possession / direct attacking phases</x:v>
      </x:c>
      <x:c r="E29" s="51" t="n">
        <x:v>81</x:v>
      </x:c>
      <x:c r="F29" s="51" t="n">
        <x:v>82</x:v>
      </x:c>
      <x:c r="G29" s="51" t="n">
        <x:v>77</x:v>
      </x:c>
      <x:c r="H29" s="51" t="n">
        <x:v>74</x:v>
      </x:c>
      <x:c r="I29" s="51" t="n">
        <x:v>72</x:v>
      </x:c>
      <x:c r="J29" s="51" t="str">
        <x:v>public/manual seed; replace with licensed squad + analyst feed</x:v>
      </x:c>
      <x:c r="K29" s="51" t="str">
        <x:v>V2 seed value; editable before rerun</x:v>
      </x:c>
    </x:row>
    <x:row r="30">
      <x:c r="A30" s="51" t="str">
        <x:v>Egypt</x:v>
      </x:c>
      <x:c r="B30" s="51" t="str">
        <x:v>Egypt</x:v>
      </x:c>
      <x:c r="C30" s="51" t="str">
        <x:v>manual_required</x:v>
      </x:c>
      <x:c r="D30" s="51" t="str">
        <x:v>profile proxy / manual review required</x:v>
      </x:c>
      <x:c r="E30" s="51" t="n">
        <x:v>72</x:v>
      </x:c>
      <x:c r="F30" s="51" t="n">
        <x:v>73</x:v>
      </x:c>
      <x:c r="G30" s="51" t="n">
        <x:v>68</x:v>
      </x:c>
      <x:c r="H30" s="51" t="n">
        <x:v>56.89</x:v>
      </x:c>
      <x:c r="I30" s="51" t="n">
        <x:v>54.89</x:v>
      </x:c>
      <x:c r="J30" s="51" t="str">
        <x:v>public/manual seed; replace with licensed squad + analyst feed</x:v>
      </x:c>
      <x:c r="K30" s="51" t="str">
        <x:v>V2 seed value; editable before rerun</x:v>
      </x:c>
    </x:row>
    <x:row r="31">
      <x:c r="A31" s="51" t="str">
        <x:v>Iran</x:v>
      </x:c>
      <x:c r="B31" s="51" t="str">
        <x:v>Iran</x:v>
      </x:c>
      <x:c r="C31" s="51" t="str">
        <x:v>manual_required</x:v>
      </x:c>
      <x:c r="D31" s="51" t="str">
        <x:v>profile proxy / manual review required</x:v>
      </x:c>
      <x:c r="E31" s="51" t="n">
        <x:v>71</x:v>
      </x:c>
      <x:c r="F31" s="51" t="n">
        <x:v>72</x:v>
      </x:c>
      <x:c r="G31" s="51" t="n">
        <x:v>68</x:v>
      </x:c>
      <x:c r="H31" s="51" t="n">
        <x:v>61.66</x:v>
      </x:c>
      <x:c r="I31" s="51" t="n">
        <x:v>59.66</x:v>
      </x:c>
      <x:c r="J31" s="51" t="str">
        <x:v>public/manual seed; replace with licensed squad + analyst feed</x:v>
      </x:c>
      <x:c r="K31" s="51" t="str">
        <x:v>V2 seed value; editable before rerun</x:v>
      </x:c>
    </x:row>
    <x:row r="32">
      <x:c r="A32" s="51" t="str">
        <x:v>New Zealand</x:v>
      </x:c>
      <x:c r="B32" s="51" t="str">
        <x:v>New Zealand</x:v>
      </x:c>
      <x:c r="C32" s="51" t="str">
        <x:v>Darren Bazeley</x:v>
      </x:c>
      <x:c r="D32" s="51" t="str">
        <x:v>compact / direct play</x:v>
      </x:c>
      <x:c r="E32" s="51" t="n">
        <x:v>42</x:v>
      </x:c>
      <x:c r="F32" s="51" t="n">
        <x:v>43</x:v>
      </x:c>
      <x:c r="G32" s="51" t="n">
        <x:v>38</x:v>
      </x:c>
      <x:c r="H32" s="51" t="n">
        <x:v>62</x:v>
      </x:c>
      <x:c r="I32" s="51" t="n">
        <x:v>62</x:v>
      </x:c>
      <x:c r="J32" s="51" t="str">
        <x:v>public/manual seed; replace with licensed squad + analyst feed</x:v>
      </x:c>
      <x:c r="K32" s="51" t="str">
        <x:v>V2 seed value; editable before rerun</x:v>
      </x:c>
    </x:row>
    <x:row r="33">
      <x:c r="A33" s="51" t="str">
        <x:v>Cape Verde</x:v>
      </x:c>
      <x:c r="B33" s="51" t="str">
        <x:v>Cape Verde</x:v>
      </x:c>
      <x:c r="C33" s="51" t="str">
        <x:v>manual_required</x:v>
      </x:c>
      <x:c r="D33" s="51" t="str">
        <x:v>profile proxy / manual review required</x:v>
      </x:c>
      <x:c r="E33" s="51" t="n">
        <x:v>38</x:v>
      </x:c>
      <x:c r="F33" s="51" t="n">
        <x:v>39</x:v>
      </x:c>
      <x:c r="G33" s="51" t="n">
        <x:v>34</x:v>
      </x:c>
      <x:c r="H33" s="51" t="n">
        <x:v>45</x:v>
      </x:c>
      <x:c r="I33" s="51" t="n">
        <x:v>42</x:v>
      </x:c>
      <x:c r="J33" s="51" t="str">
        <x:v>public/manual seed; replace with licensed squad + analyst feed</x:v>
      </x:c>
      <x:c r="K33" s="51" t="str">
        <x:v>V2 seed value; editable before rerun</x:v>
      </x:c>
    </x:row>
    <x:row r="34">
      <x:c r="A34" s="51" t="str">
        <x:v>Saudi Arabia</x:v>
      </x:c>
      <x:c r="B34" s="51" t="str">
        <x:v>Saudi Arabia</x:v>
      </x:c>
      <x:c r="C34" s="51" t="str">
        <x:v>manual_required</x:v>
      </x:c>
      <x:c r="D34" s="51" t="str">
        <x:v>profile proxy / manual review required</x:v>
      </x:c>
      <x:c r="E34" s="51" t="n">
        <x:v>39</x:v>
      </x:c>
      <x:c r="F34" s="51" t="n">
        <x:v>40</x:v>
      </x:c>
      <x:c r="G34" s="51" t="n">
        <x:v>35</x:v>
      </x:c>
      <x:c r="H34" s="51" t="n">
        <x:v>45</x:v>
      </x:c>
      <x:c r="I34" s="51" t="n">
        <x:v>42.09</x:v>
      </x:c>
      <x:c r="J34" s="51" t="str">
        <x:v>public/manual seed; replace with licensed squad + analyst feed</x:v>
      </x:c>
      <x:c r="K34" s="51" t="str">
        <x:v>V2 seed value; editable before rerun</x:v>
      </x:c>
    </x:row>
    <x:row r="35">
      <x:c r="A35" s="51" t="str">
        <x:v>Spain</x:v>
      </x:c>
      <x:c r="B35" s="51" t="str">
        <x:v>Spain</x:v>
      </x:c>
      <x:c r="C35" s="51" t="str">
        <x:v>Luis de la Fuente</x:v>
      </x:c>
      <x:c r="D35" s="51" t="str">
        <x:v>possession / high technical control</x:v>
      </x:c>
      <x:c r="E35" s="51" t="n">
        <x:v>91</x:v>
      </x:c>
      <x:c r="F35" s="51" t="n">
        <x:v>92</x:v>
      </x:c>
      <x:c r="G35" s="51" t="n">
        <x:v>88</x:v>
      </x:c>
      <x:c r="H35" s="51" t="n">
        <x:v>86</x:v>
      </x:c>
      <x:c r="I35" s="51" t="n">
        <x:v>84</x:v>
      </x:c>
      <x:c r="J35" s="51" t="str">
        <x:v>public/manual seed; replace with licensed squad + analyst feed</x:v>
      </x:c>
      <x:c r="K35" s="51" t="str">
        <x:v>V2 seed value; editable before rerun</x:v>
      </x:c>
    </x:row>
    <x:row r="36">
      <x:c r="A36" s="51" t="str">
        <x:v>Uruguay</x:v>
      </x:c>
      <x:c r="B36" s="51" t="str">
        <x:v>Uruguay</x:v>
      </x:c>
      <x:c r="C36" s="51" t="str">
        <x:v>Marcelo Bielsa</x:v>
      </x:c>
      <x:c r="D36" s="51" t="str">
        <x:v>high press / direct verticality</x:v>
      </x:c>
      <x:c r="E36" s="51" t="n">
        <x:v>83</x:v>
      </x:c>
      <x:c r="F36" s="51" t="n">
        <x:v>84</x:v>
      </x:c>
      <x:c r="G36" s="51" t="n">
        <x:v>79</x:v>
      </x:c>
      <x:c r="H36" s="51" t="n">
        <x:v>82</x:v>
      </x:c>
      <x:c r="I36" s="51" t="n">
        <x:v>88</x:v>
      </x:c>
      <x:c r="J36" s="51" t="str">
        <x:v>public/manual seed; replace with licensed squad + analyst feed</x:v>
      </x:c>
      <x:c r="K36" s="51" t="str">
        <x:v>V2 seed value; editable before rerun</x:v>
      </x:c>
    </x:row>
    <x:row r="37">
      <x:c r="A37" s="51" t="str">
        <x:v>France</x:v>
      </x:c>
      <x:c r="B37" s="51" t="str">
        <x:v>France</x:v>
      </x:c>
      <x:c r="C37" s="51" t="str">
        <x:v>Didier Deschamps</x:v>
      </x:c>
      <x:c r="D37" s="51" t="str">
        <x:v>pragmatic elite-transition</x:v>
      </x:c>
      <x:c r="E37" s="51" t="n">
        <x:v>94</x:v>
      </x:c>
      <x:c r="F37" s="51" t="n">
        <x:v>93</x:v>
      </x:c>
      <x:c r="G37" s="51" t="n">
        <x:v>96</x:v>
      </x:c>
      <x:c r="H37" s="51" t="n">
        <x:v>94</x:v>
      </x:c>
      <x:c r="I37" s="51" t="n">
        <x:v>82</x:v>
      </x:c>
      <x:c r="J37" s="51" t="str">
        <x:v>public/manual seed; replace with licensed squad + analyst feed</x:v>
      </x:c>
      <x:c r="K37" s="51" t="str">
        <x:v>V2 seed value; editable before rerun</x:v>
      </x:c>
    </x:row>
    <x:row r="38">
      <x:c r="A38" s="51" t="str">
        <x:v>Iraq</x:v>
      </x:c>
      <x:c r="B38" s="51" t="str">
        <x:v>Iraq</x:v>
      </x:c>
      <x:c r="C38" s="51" t="str">
        <x:v>manual_required</x:v>
      </x:c>
      <x:c r="D38" s="51" t="str">
        <x:v>profile proxy / manual review required</x:v>
      </x:c>
      <x:c r="E38" s="51" t="n">
        <x:v>43</x:v>
      </x:c>
      <x:c r="F38" s="51" t="n">
        <x:v>44</x:v>
      </x:c>
      <x:c r="G38" s="51" t="n">
        <x:v>39</x:v>
      </x:c>
      <x:c r="H38" s="51" t="n">
        <x:v>46.81</x:v>
      </x:c>
      <x:c r="I38" s="51" t="n">
        <x:v>44.81</x:v>
      </x:c>
      <x:c r="J38" s="51" t="str">
        <x:v>public/manual seed; replace with licensed squad + analyst feed</x:v>
      </x:c>
      <x:c r="K38" s="51" t="str">
        <x:v>V2 seed value; editable before rerun</x:v>
      </x:c>
    </x:row>
    <x:row r="39">
      <x:c r="A39" s="51" t="str">
        <x:v>Norway</x:v>
      </x:c>
      <x:c r="B39" s="51" t="str">
        <x:v>Norway</x:v>
      </x:c>
      <x:c r="C39" s="51" t="str">
        <x:v>Stale Solbakken</x:v>
      </x:c>
      <x:c r="D39" s="51" t="str">
        <x:v>direct attack / star focal points</x:v>
      </x:c>
      <x:c r="E39" s="51" t="n">
        <x:v>76</x:v>
      </x:c>
      <x:c r="F39" s="51" t="n">
        <x:v>78</x:v>
      </x:c>
      <x:c r="G39" s="51" t="n">
        <x:v>70</x:v>
      </x:c>
      <x:c r="H39" s="51" t="n">
        <x:v>68</x:v>
      </x:c>
      <x:c r="I39" s="51" t="n">
        <x:v>70</x:v>
      </x:c>
      <x:c r="J39" s="51" t="str">
        <x:v>public/manual seed; replace with licensed squad + analyst feed</x:v>
      </x:c>
      <x:c r="K39" s="51" t="str">
        <x:v>V2 seed value; editable before rerun</x:v>
      </x:c>
    </x:row>
    <x:row r="40">
      <x:c r="A40" s="51" t="str">
        <x:v>Senegal</x:v>
      </x:c>
      <x:c r="B40" s="51" t="str">
        <x:v>Senegal</x:v>
      </x:c>
      <x:c r="C40" s="51" t="str">
        <x:v>Pape Thiaw</x:v>
      </x:c>
      <x:c r="D40" s="51" t="str">
        <x:v>athletic transitions</x:v>
      </x:c>
      <x:c r="E40" s="51" t="n">
        <x:v>76</x:v>
      </x:c>
      <x:c r="F40" s="51" t="n">
        <x:v>76</x:v>
      </x:c>
      <x:c r="G40" s="51" t="n">
        <x:v>73</x:v>
      </x:c>
      <x:c r="H40" s="51" t="n">
        <x:v>70</x:v>
      </x:c>
      <x:c r="I40" s="51" t="n">
        <x:v>68</x:v>
      </x:c>
      <x:c r="J40" s="51" t="str">
        <x:v>public/manual seed; replace with licensed squad + analyst feed</x:v>
      </x:c>
      <x:c r="K40" s="51" t="str">
        <x:v>V2 seed value; editable before rerun</x:v>
      </x:c>
    </x:row>
    <x:row r="41">
      <x:c r="A41" s="51" t="str">
        <x:v>Algeria</x:v>
      </x:c>
      <x:c r="B41" s="51" t="str">
        <x:v>Algeria</x:v>
      </x:c>
      <x:c r="C41" s="51" t="str">
        <x:v>Vladimir Petkovic</x:v>
      </x:c>
      <x:c r="D41" s="51" t="str">
        <x:v>balanced / experienced setup</x:v>
      </x:c>
      <x:c r="E41" s="51" t="n">
        <x:v>73</x:v>
      </x:c>
      <x:c r="F41" s="51" t="n">
        <x:v>73</x:v>
      </x:c>
      <x:c r="G41" s="51" t="n">
        <x:v>70</x:v>
      </x:c>
      <x:c r="H41" s="51" t="n">
        <x:v>74</x:v>
      </x:c>
      <x:c r="I41" s="51" t="n">
        <x:v>72</x:v>
      </x:c>
      <x:c r="J41" s="51" t="str">
        <x:v>public/manual seed; replace with licensed squad + analyst feed</x:v>
      </x:c>
      <x:c r="K41" s="51" t="str">
        <x:v>V2 seed value; editable before rerun</x:v>
      </x:c>
    </x:row>
    <x:row r="42">
      <x:c r="A42" s="51" t="str">
        <x:v>Argentina</x:v>
      </x:c>
      <x:c r="B42" s="51" t="str">
        <x:v>Argentina</x:v>
      </x:c>
      <x:c r="C42" s="51" t="str">
        <x:v>Lionel Scaloni</x:v>
      </x:c>
      <x:c r="D42" s="51" t="str">
        <x:v>balanced possession / transition</x:v>
      </x:c>
      <x:c r="E42" s="51" t="n">
        <x:v>90</x:v>
      </x:c>
      <x:c r="F42" s="51" t="n">
        <x:v>91</x:v>
      </x:c>
      <x:c r="G42" s="51" t="n">
        <x:v>86</x:v>
      </x:c>
      <x:c r="H42" s="51" t="n">
        <x:v>91</x:v>
      </x:c>
      <x:c r="I42" s="51" t="n">
        <x:v>84</x:v>
      </x:c>
      <x:c r="J42" s="51" t="str">
        <x:v>public/manual seed; replace with licensed squad + analyst feed</x:v>
      </x:c>
      <x:c r="K42" s="51" t="str">
        <x:v>V2 seed value; editable before rerun</x:v>
      </x:c>
    </x:row>
    <x:row r="43">
      <x:c r="A43" s="51" t="str">
        <x:v>Austria</x:v>
      </x:c>
      <x:c r="B43" s="51" t="str">
        <x:v>Austria</x:v>
      </x:c>
      <x:c r="C43" s="51" t="str">
        <x:v>Ralf Rangnick</x:v>
      </x:c>
      <x:c r="D43" s="51" t="str">
        <x:v>pressing / vertical attacks</x:v>
      </x:c>
      <x:c r="E43" s="51" t="n">
        <x:v>77</x:v>
      </x:c>
      <x:c r="F43" s="51" t="n">
        <x:v>77</x:v>
      </x:c>
      <x:c r="G43" s="51" t="n">
        <x:v>74</x:v>
      </x:c>
      <x:c r="H43" s="51" t="n">
        <x:v>84</x:v>
      </x:c>
      <x:c r="I43" s="51" t="n">
        <x:v>88</x:v>
      </x:c>
      <x:c r="J43" s="51" t="str">
        <x:v>public/manual seed; replace with licensed squad + analyst feed</x:v>
      </x:c>
      <x:c r="K43" s="51" t="str">
        <x:v>V2 seed value; editable before rerun</x:v>
      </x:c>
    </x:row>
    <x:row r="44">
      <x:c r="A44" s="51" t="str">
        <x:v>Jordan</x:v>
      </x:c>
      <x:c r="B44" s="51" t="str">
        <x:v>Jordan</x:v>
      </x:c>
      <x:c r="C44" s="51" t="str">
        <x:v>manual_required</x:v>
      </x:c>
      <x:c r="D44" s="51" t="str">
        <x:v>profile proxy / manual review required</x:v>
      </x:c>
      <x:c r="E44" s="51" t="n">
        <x:v>46</x:v>
      </x:c>
      <x:c r="F44" s="51" t="n">
        <x:v>47</x:v>
      </x:c>
      <x:c r="G44" s="51" t="n">
        <x:v>42</x:v>
      </x:c>
      <x:c r="H44" s="51" t="n">
        <x:v>48.85</x:v>
      </x:c>
      <x:c r="I44" s="51" t="n">
        <x:v>46.85</x:v>
      </x:c>
      <x:c r="J44" s="51" t="str">
        <x:v>public/manual seed; replace with licensed squad + analyst feed</x:v>
      </x:c>
      <x:c r="K44" s="51" t="str">
        <x:v>V2 seed value; editable before rerun</x:v>
      </x:c>
    </x:row>
    <x:row r="45">
      <x:c r="A45" s="51" t="str">
        <x:v>Colombia</x:v>
      </x:c>
      <x:c r="B45" s="51" t="str">
        <x:v>Colombia</x:v>
      </x:c>
      <x:c r="C45" s="51" t="str">
        <x:v>Nestor Lorenzo</x:v>
      </x:c>
      <x:c r="D45" s="51" t="str">
        <x:v>balanced possession / counters</x:v>
      </x:c>
      <x:c r="E45" s="51" t="n">
        <x:v>84</x:v>
      </x:c>
      <x:c r="F45" s="51" t="n">
        <x:v>84</x:v>
      </x:c>
      <x:c r="G45" s="51" t="n">
        <x:v>81</x:v>
      </x:c>
      <x:c r="H45" s="51" t="n">
        <x:v>78</x:v>
      </x:c>
      <x:c r="I45" s="51" t="n">
        <x:v>78</x:v>
      </x:c>
      <x:c r="J45" s="51" t="str">
        <x:v>public/manual seed; replace with licensed squad + analyst feed</x:v>
      </x:c>
      <x:c r="K45" s="51" t="str">
        <x:v>V2 seed value; editable before rerun</x:v>
      </x:c>
    </x:row>
    <x:row r="46">
      <x:c r="A46" s="51" t="str">
        <x:v>DR Congo</x:v>
      </x:c>
      <x:c r="B46" s="51" t="str">
        <x:v>DR Congo</x:v>
      </x:c>
      <x:c r="C46" s="51" t="str">
        <x:v>Sebastien Desabre</x:v>
      </x:c>
      <x:c r="D46" s="51" t="str">
        <x:v>transition / athletic structure</x:v>
      </x:c>
      <x:c r="E46" s="51" t="n">
        <x:v>44</x:v>
      </x:c>
      <x:c r="F46" s="51" t="n">
        <x:v>45</x:v>
      </x:c>
      <x:c r="G46" s="51" t="n">
        <x:v>40</x:v>
      </x:c>
      <x:c r="H46" s="51" t="n">
        <x:v>70</x:v>
      </x:c>
      <x:c r="I46" s="51" t="n">
        <x:v>72</x:v>
      </x:c>
      <x:c r="J46" s="51" t="str">
        <x:v>public/manual seed; replace with licensed squad + analyst feed</x:v>
      </x:c>
      <x:c r="K46" s="51" t="str">
        <x:v>V2 seed value; editable before rerun</x:v>
      </x:c>
    </x:row>
    <x:row r="47">
      <x:c r="A47" s="51" t="str">
        <x:v>Portugal</x:v>
      </x:c>
      <x:c r="B47" s="51" t="str">
        <x:v>Portugal</x:v>
      </x:c>
      <x:c r="C47" s="51" t="str">
        <x:v>Roberto Martinez</x:v>
      </x:c>
      <x:c r="D47" s="51" t="str">
        <x:v>possession / attacking width</x:v>
      </x:c>
      <x:c r="E47" s="51" t="n">
        <x:v>89</x:v>
      </x:c>
      <x:c r="F47" s="51" t="n">
        <x:v>89</x:v>
      </x:c>
      <x:c r="G47" s="51" t="n">
        <x:v>88</x:v>
      </x:c>
      <x:c r="H47" s="51" t="n">
        <x:v>78</x:v>
      </x:c>
      <x:c r="I47" s="51" t="n">
        <x:v>76</x:v>
      </x:c>
      <x:c r="J47" s="51" t="str">
        <x:v>public/manual seed; replace with licensed squad + analyst feed</x:v>
      </x:c>
      <x:c r="K47" s="51" t="str">
        <x:v>V2 seed value; editable before rerun</x:v>
      </x:c>
    </x:row>
    <x:row r="48">
      <x:c r="A48" s="51" t="str">
        <x:v>Uzbekistan</x:v>
      </x:c>
      <x:c r="B48" s="51" t="str">
        <x:v>Uzbekistan</x:v>
      </x:c>
      <x:c r="C48" s="51" t="str">
        <x:v>Timur Kapadze</x:v>
      </x:c>
      <x:c r="D48" s="51" t="str">
        <x:v>compact / fast transitions</x:v>
      </x:c>
      <x:c r="E48" s="51" t="n">
        <x:v>56</x:v>
      </x:c>
      <x:c r="F48" s="51" t="n">
        <x:v>57</x:v>
      </x:c>
      <x:c r="G48" s="51" t="n">
        <x:v>52</x:v>
      </x:c>
      <x:c r="H48" s="51" t="n">
        <x:v>66</x:v>
      </x:c>
      <x:c r="I48" s="51" t="n">
        <x:v>68</x:v>
      </x:c>
      <x:c r="J48" s="51" t="str">
        <x:v>public/manual seed; replace with licensed squad + analyst feed</x:v>
      </x:c>
      <x:c r="K48" s="51" t="str">
        <x:v>V2 seed value; editable before rerun</x:v>
      </x:c>
    </x:row>
    <x:row r="49">
      <x:c r="A49" s="51" t="str">
        <x:v>Croatia</x:v>
      </x:c>
      <x:c r="B49" s="51" t="str">
        <x:v>Croatia</x:v>
      </x:c>
      <x:c r="C49" s="51" t="str">
        <x:v>Zlatko Dalic</x:v>
      </x:c>
      <x:c r="D49" s="51" t="str">
        <x:v>midfield control / tournament management</x:v>
      </x:c>
      <x:c r="E49" s="51" t="n">
        <x:v>82</x:v>
      </x:c>
      <x:c r="F49" s="51" t="n">
        <x:v>82</x:v>
      </x:c>
      <x:c r="G49" s="51" t="n">
        <x:v>78</x:v>
      </x:c>
      <x:c r="H49" s="51" t="n">
        <x:v>87</x:v>
      </x:c>
      <x:c r="I49" s="51" t="n">
        <x:v>78</x:v>
      </x:c>
      <x:c r="J49" s="51" t="str">
        <x:v>public/manual seed; replace with licensed squad + analyst feed</x:v>
      </x:c>
      <x:c r="K49" s="51" t="str">
        <x:v>V2 seed value; editable before rerun</x:v>
      </x:c>
    </x:row>
    <x:row r="50">
      <x:c r="A50" s="51" t="str">
        <x:v>England</x:v>
      </x:c>
      <x:c r="B50" s="51" t="str">
        <x:v>England</x:v>
      </x:c>
      <x:c r="C50" s="51" t="str">
        <x:v>Thomas Tuchel</x:v>
      </x:c>
      <x:c r="D50" s="51" t="str">
        <x:v>structured possession / pressing</x:v>
      </x:c>
      <x:c r="E50" s="51" t="n">
        <x:v>92</x:v>
      </x:c>
      <x:c r="F50" s="51" t="n">
        <x:v>91</x:v>
      </x:c>
      <x:c r="G50" s="51" t="n">
        <x:v>93</x:v>
      </x:c>
      <x:c r="H50" s="51" t="n">
        <x:v>86</x:v>
      </x:c>
      <x:c r="I50" s="51" t="n">
        <x:v>88</x:v>
      </x:c>
      <x:c r="J50" s="51" t="str">
        <x:v>public/manual seed; replace with licensed squad + analyst feed</x:v>
      </x:c>
      <x:c r="K50" s="51" t="str">
        <x:v>V2 seed value; editable before rerun</x:v>
      </x:c>
    </x:row>
    <x:row r="51">
      <x:c r="A51" s="51" t="str">
        <x:v>Ghana</x:v>
      </x:c>
      <x:c r="B51" s="51" t="str">
        <x:v>Ghana</x:v>
      </x:c>
      <x:c r="C51" s="51" t="str">
        <x:v>Carlos Queiroz</x:v>
      </x:c>
      <x:c r="D51" s="51" t="str">
        <x:v>defensive structure / tournament experience</x:v>
      </x:c>
      <x:c r="E51" s="51" t="n">
        <x:v>72</x:v>
      </x:c>
      <x:c r="F51" s="51" t="n">
        <x:v>72</x:v>
      </x:c>
      <x:c r="G51" s="51" t="n">
        <x:v>69</x:v>
      </x:c>
      <x:c r="H51" s="51" t="n">
        <x:v>86</x:v>
      </x:c>
      <x:c r="I51" s="51" t="n">
        <x:v>78</x:v>
      </x:c>
      <x:c r="J51" s="51" t="str">
        <x:v>public/manual seed; replace with licensed squad + analyst feed</x:v>
      </x:c>
      <x:c r="K51" s="51" t="str">
        <x:v>V2 seed value; editable before rerun</x:v>
      </x:c>
    </x:row>
    <x:row r="52">
      <x:c r="A52" s="51" t="str">
        <x:v>Panama</x:v>
      </x:c>
      <x:c r="B52" s="51" t="str">
        <x:v>Panama</x:v>
      </x:c>
      <x:c r="C52" s="51" t="str">
        <x:v>Thomas Christiansen</x:v>
      </x:c>
      <x:c r="D52" s="51" t="str">
        <x:v>compact / direct transitions</x:v>
      </x:c>
      <x:c r="E52" s="51" t="n">
        <x:v>57</x:v>
      </x:c>
      <x:c r="F52" s="51" t="n">
        <x:v>58</x:v>
      </x:c>
      <x:c r="G52" s="51" t="n">
        <x:v>53</x:v>
      </x:c>
      <x:c r="H52" s="51" t="n">
        <x:v>72</x:v>
      </x:c>
      <x:c r="I52" s="51" t="n">
        <x:v>70</x:v>
      </x:c>
      <x:c r="J52" s="51" t="str">
        <x:v>public/manual seed; replace with licensed squad + analyst feed</x:v>
      </x:c>
      <x:c r="K52" s="51" t="str">
        <x:v>V2 seed value; editable before rerun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843a8ba21674f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889999389648438" hidden="0" customWidth="1"/>
    <x:col min="2" max="2" width="7.559999942779541" hidden="0" customWidth="1"/>
    <x:col min="3" max="3" width="11.220000267028809" hidden="0" customWidth="1"/>
    <x:col min="4" max="4" width="23.329999923706055" hidden="0" customWidth="1"/>
    <x:col min="5" max="5" width="9" hidden="0" customWidth="1"/>
    <x:col min="6" max="6" width="6.559999942779541" hidden="0" customWidth="1"/>
    <x:col min="7" max="7" width="14" hidden="0" customWidth="1"/>
    <x:col min="8" max="8" width="21.670000076293945" hidden="0" customWidth="1"/>
    <x:col min="9" max="9" width="18.889999389648438" hidden="0" customWidth="1"/>
    <x:col min="10" max="10" width="12.220000267028809" hidden="0" customWidth="1"/>
    <x:col min="11" max="11" width="14.4399995803833" hidden="0" customWidth="1"/>
    <x:col min="12" max="12" width="16.110000610351562" hidden="0" customWidth="1"/>
    <x:col min="13" max="13" width="16.110000610351562" hidden="0" customWidth="1"/>
    <x:col min="14" max="14" width="15" hidden="0" customWidth="1"/>
    <x:col min="15" max="15" width="12.220000267028809" hidden="0" customWidth="1"/>
    <x:col min="16" max="16" width="15.5600004196167" hidden="0" customWidth="1"/>
    <x:col min="17" max="17" width="14.4399995803833" hidden="0" customWidth="1"/>
    <x:col min="18" max="18" width="13.329999923706055" hidden="0" customWidth="1"/>
    <x:col min="19" max="19" width="16.110000610351562" hidden="0" customWidth="1"/>
    <x:col min="20" max="20" width="15" hidden="0" customWidth="1"/>
    <x:col min="21" max="21" width="23.329999923706055" hidden="0" customWidth="1"/>
  </x:cols>
  <x:sheetData>
    <x:row r="1" ht="25.5" customHeight="1">
      <x:c r="A1" s="47" t="str">
        <x:v>Player Ratings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</x:row>
    <x:row r="2" ht="36" customHeight="1">
      <x:c r="A2" s="49" t="str">
        <x:v>Enter each squad player's rating components. Impact Score and Availability Penalty calculate automatically and feed Team Scoring.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</x:row>
    <x:row r="4">
      <x:c r="A4" s="50" t="str">
        <x:v>Team</x:v>
      </x:c>
      <x:c r="B4" s="50" t="str">
        <x:v>Group</x:v>
      </x:c>
      <x:c r="C4" s="50" t="str">
        <x:v>Squad Slot</x:v>
      </x:c>
      <x:c r="D4" s="50" t="str">
        <x:v>Player Name</x:v>
      </x:c>
      <x:c r="E4" s="50" t="str">
        <x:v>Position</x:v>
      </x:c>
      <x:c r="F4" s="50" t="str">
        <x:v>Unit</x:v>
      </x:c>
      <x:c r="G4" s="50" t="str">
        <x:v>Expected Role</x:v>
      </x:c>
      <x:c r="H4" s="50" t="str">
        <x:v>Expected Minutes Share</x:v>
      </x:c>
      <x:c r="I4" s="50" t="str">
        <x:v>Rating Source</x:v>
      </x:c>
      <x:c r="J4" s="50" t="str">
        <x:v>Overall Rating</x:v>
      </x:c>
      <x:c r="K4" s="50" t="str">
        <x:v>Club Level Score</x:v>
      </x:c>
      <x:c r="L4" s="50" t="str">
        <x:v>Recent Minutes Score</x:v>
      </x:c>
      <x:c r="M4" s="50" t="str">
        <x:v>National Role Score</x:v>
      </x:c>
      <x:c r="N4" s="50" t="str">
        <x:v>Tactical Fit Score</x:v>
      </x:c>
      <x:c r="O4" s="50" t="str">
        <x:v>Form Score</x:v>
      </x:c>
      <x:c r="P4" s="50" t="str">
        <x:v>Availability Status</x:v>
      </x:c>
      <x:c r="Q4" s="50" t="str">
        <x:v>Replacement Gap</x:v>
      </x:c>
      <x:c r="R4" s="50" t="str">
        <x:v>Impact Score</x:v>
      </x:c>
      <x:c r="S4" s="50" t="str">
        <x:v>Availability Penalty</x:v>
      </x:c>
      <x:c r="T4" s="50" t="str">
        <x:v>Data Confidence</x:v>
      </x:c>
      <x:c r="U4" s="50" t="str">
        <x:v>Notes</x:v>
      </x:c>
    </x:row>
    <x:row r="5">
      <x:c r="A5" s="51" t="str">
        <x:v>Czech Republic</x:v>
      </x:c>
      <x:c r="B5" s="51" t="str">
        <x:v>A</x:v>
      </x:c>
      <x:c r="C5" s="51" t="n">
        <x:v>1</x:v>
      </x:c>
      <x:c r="D5" s="71" t="str"/>
      <x:c r="E5" s="51" t="str">
        <x:v>GK</x:v>
      </x:c>
      <x:c r="F5" s="51" t="str">
        <x:v>GK</x:v>
      </x:c>
      <x:c r="G5" s="51" t="str">
        <x:v>Starter</x:v>
      </x:c>
      <x:c r="H5" s="55" t="n">
        <x:v>1</x:v>
      </x:c>
      <x:c r="I5" s="51" t="str"/>
      <x:c r="J5" s="72" t="str"/>
      <x:c r="K5" s="72" t="str"/>
      <x:c r="L5" s="72" t="str"/>
      <x:c r="M5" s="72" t="str"/>
      <x:c r="N5" s="72" t="str"/>
      <x:c r="O5" s="72" t="str"/>
      <x:c r="P5" s="72" t="str">
        <x:v>Available</x:v>
      </x:c>
      <x:c r="Q5" s="72" t="n">
        <x:v>0</x:v>
      </x:c>
      <x:c r="R5" s="55" t="str">
        <x:f>IF($D5="","",ROUND(MAX(0,MIN(100,0.35*$J5+0.2*$K5+0.15*$L5+0.15*$M5+0.1*$N5+0.05*$O5-IF(OR($P5="Out",$P5="Suspended"),$Q5,IF($P5="Doubtful",$Q5*0.5,IF($P5="Limited",$Q5*0.25,0))))),2))</x:f>
      </x:c>
      <x:c r="S5" s="55" t="n">
        <x:f>IF($D5="",0,ROUND(IF(OR($P5="Out",$P5="Suspended"),$Q5*$H5,IF($P5="Doubtful",$Q5*$H5*0.5,IF($P5="Limited",$Q5*$H5*0.25,0))),2))</x:f>
        <x:v>0</x:v>
      </x:c>
      <x:c r="T5" s="55" t="str"/>
      <x:c r="U5" s="51" t="str"/>
    </x:row>
    <x:row r="6">
      <x:c r="A6" s="51" t="str">
        <x:v>Czech Republic</x:v>
      </x:c>
      <x:c r="B6" s="51" t="str">
        <x:v>A</x:v>
      </x:c>
      <x:c r="C6" s="51" t="n">
        <x:v>2</x:v>
      </x:c>
      <x:c r="D6" s="71" t="str"/>
      <x:c r="E6" s="51" t="str">
        <x:v>GK</x:v>
      </x:c>
      <x:c r="F6" s="51" t="str">
        <x:v>GK</x:v>
      </x:c>
      <x:c r="G6" s="51" t="str">
        <x:v>Starter</x:v>
      </x:c>
      <x:c r="H6" s="55" t="n">
        <x:v>1</x:v>
      </x:c>
      <x:c r="I6" s="51" t="str"/>
      <x:c r="J6" s="72" t="str"/>
      <x:c r="K6" s="72" t="str"/>
      <x:c r="L6" s="72" t="str"/>
      <x:c r="M6" s="72" t="str"/>
      <x:c r="N6" s="72" t="str"/>
      <x:c r="O6" s="72" t="str"/>
      <x:c r="P6" s="72" t="str">
        <x:v>Available</x:v>
      </x:c>
      <x:c r="Q6" s="72" t="n">
        <x:v>0</x:v>
      </x:c>
      <x:c r="R6" s="55" t="str">
        <x:f>IF($D6="","",ROUND(MAX(0,MIN(100,0.35*$J6+0.2*$K6+0.15*$L6+0.15*$M6+0.1*$N6+0.05*$O6-IF(OR($P6="Out",$P6="Suspended"),$Q6,IF($P6="Doubtful",$Q6*0.5,IF($P6="Limited",$Q6*0.25,0))))),2))</x:f>
      </x:c>
      <x:c r="S6" s="55" t="n">
        <x:f>IF($D6="",0,ROUND(IF(OR($P6="Out",$P6="Suspended"),$Q6*$H6,IF($P6="Doubtful",$Q6*$H6*0.5,IF($P6="Limited",$Q6*$H6*0.25,0))),2))</x:f>
        <x:v>0</x:v>
      </x:c>
      <x:c r="T6" s="55" t="str"/>
      <x:c r="U6" s="51" t="str"/>
    </x:row>
    <x:row r="7">
      <x:c r="A7" s="51" t="str">
        <x:v>Czech Republic</x:v>
      </x:c>
      <x:c r="B7" s="51" t="str">
        <x:v>A</x:v>
      </x:c>
      <x:c r="C7" s="51" t="n">
        <x:v>3</x:v>
      </x:c>
      <x:c r="D7" s="71" t="str"/>
      <x:c r="E7" s="51" t="str">
        <x:v>GK</x:v>
      </x:c>
      <x:c r="F7" s="51" t="str">
        <x:v>GK</x:v>
      </x:c>
      <x:c r="G7" s="51" t="str">
        <x:v>Starter</x:v>
      </x:c>
      <x:c r="H7" s="55" t="n">
        <x:v>1</x:v>
      </x:c>
      <x:c r="I7" s="51" t="str"/>
      <x:c r="J7" s="72" t="str"/>
      <x:c r="K7" s="72" t="str"/>
      <x:c r="L7" s="72" t="str"/>
      <x:c r="M7" s="72" t="str"/>
      <x:c r="N7" s="72" t="str"/>
      <x:c r="O7" s="72" t="str"/>
      <x:c r="P7" s="72" t="str">
        <x:v>Available</x:v>
      </x:c>
      <x:c r="Q7" s="72" t="n">
        <x:v>0</x:v>
      </x:c>
      <x:c r="R7" s="55" t="str">
        <x:f>IF($D7="","",ROUND(MAX(0,MIN(100,0.35*$J7+0.2*$K7+0.15*$L7+0.15*$M7+0.1*$N7+0.05*$O7-IF(OR($P7="Out",$P7="Suspended"),$Q7,IF($P7="Doubtful",$Q7*0.5,IF($P7="Limited",$Q7*0.25,0))))),2))</x:f>
      </x:c>
      <x:c r="S7" s="55" t="n">
        <x:f>IF($D7="",0,ROUND(IF(OR($P7="Out",$P7="Suspended"),$Q7*$H7,IF($P7="Doubtful",$Q7*$H7*0.5,IF($P7="Limited",$Q7*$H7*0.25,0))),2))</x:f>
        <x:v>0</x:v>
      </x:c>
      <x:c r="T7" s="55" t="str"/>
      <x:c r="U7" s="51" t="str"/>
    </x:row>
    <x:row r="8">
      <x:c r="A8" s="51" t="str">
        <x:v>Czech Republic</x:v>
      </x:c>
      <x:c r="B8" s="51" t="str">
        <x:v>A</x:v>
      </x:c>
      <x:c r="C8" s="51" t="n">
        <x:v>4</x:v>
      </x:c>
      <x:c r="D8" s="71" t="str"/>
      <x:c r="E8" s="51" t="str">
        <x:v>CB</x:v>
      </x:c>
      <x:c r="F8" s="51" t="str">
        <x:v>Defence</x:v>
      </x:c>
      <x:c r="G8" s="51" t="str">
        <x:v>Starter</x:v>
      </x:c>
      <x:c r="H8" s="55" t="n">
        <x:v>1</x:v>
      </x:c>
      <x:c r="I8" s="51" t="str"/>
      <x:c r="J8" s="72" t="str"/>
      <x:c r="K8" s="72" t="str"/>
      <x:c r="L8" s="72" t="str"/>
      <x:c r="M8" s="72" t="str"/>
      <x:c r="N8" s="72" t="str"/>
      <x:c r="O8" s="72" t="str"/>
      <x:c r="P8" s="72" t="str">
        <x:v>Available</x:v>
      </x:c>
      <x:c r="Q8" s="72" t="n">
        <x:v>0</x:v>
      </x:c>
      <x:c r="R8" s="55" t="str">
        <x:f>IF($D8="","",ROUND(MAX(0,MIN(100,0.35*$J8+0.2*$K8+0.15*$L8+0.15*$M8+0.1*$N8+0.05*$O8-IF(OR($P8="Out",$P8="Suspended"),$Q8,IF($P8="Doubtful",$Q8*0.5,IF($P8="Limited",$Q8*0.25,0))))),2))</x:f>
      </x:c>
      <x:c r="S8" s="55" t="n">
        <x:f>IF($D8="",0,ROUND(IF(OR($P8="Out",$P8="Suspended"),$Q8*$H8,IF($P8="Doubtful",$Q8*$H8*0.5,IF($P8="Limited",$Q8*$H8*0.25,0))),2))</x:f>
        <x:v>0</x:v>
      </x:c>
      <x:c r="T8" s="55" t="str"/>
      <x:c r="U8" s="51" t="str"/>
    </x:row>
    <x:row r="9">
      <x:c r="A9" s="51" t="str">
        <x:v>Czech Republic</x:v>
      </x:c>
      <x:c r="B9" s="51" t="str">
        <x:v>A</x:v>
      </x:c>
      <x:c r="C9" s="51" t="n">
        <x:v>5</x:v>
      </x:c>
      <x:c r="D9" s="71" t="str"/>
      <x:c r="E9" s="51" t="str">
        <x:v>CB</x:v>
      </x:c>
      <x:c r="F9" s="51" t="str">
        <x:v>Defence</x:v>
      </x:c>
      <x:c r="G9" s="51" t="str">
        <x:v>Starter</x:v>
      </x:c>
      <x:c r="H9" s="55" t="n">
        <x:v>1</x:v>
      </x:c>
      <x:c r="I9" s="51" t="str"/>
      <x:c r="J9" s="72" t="str"/>
      <x:c r="K9" s="72" t="str"/>
      <x:c r="L9" s="72" t="str"/>
      <x:c r="M9" s="72" t="str"/>
      <x:c r="N9" s="72" t="str"/>
      <x:c r="O9" s="72" t="str"/>
      <x:c r="P9" s="72" t="str">
        <x:v>Available</x:v>
      </x:c>
      <x:c r="Q9" s="72" t="n">
        <x:v>0</x:v>
      </x:c>
      <x:c r="R9" s="55" t="str">
        <x:f>IF($D9="","",ROUND(MAX(0,MIN(100,0.35*$J9+0.2*$K9+0.15*$L9+0.15*$M9+0.1*$N9+0.05*$O9-IF(OR($P9="Out",$P9="Suspended"),$Q9,IF($P9="Doubtful",$Q9*0.5,IF($P9="Limited",$Q9*0.25,0))))),2))</x:f>
      </x:c>
      <x:c r="S9" s="55" t="n">
        <x:f>IF($D9="",0,ROUND(IF(OR($P9="Out",$P9="Suspended"),$Q9*$H9,IF($P9="Doubtful",$Q9*$H9*0.5,IF($P9="Limited",$Q9*$H9*0.25,0))),2))</x:f>
        <x:v>0</x:v>
      </x:c>
      <x:c r="T9" s="55" t="str"/>
      <x:c r="U9" s="51" t="str"/>
    </x:row>
    <x:row r="10">
      <x:c r="A10" s="51" t="str">
        <x:v>Czech Republic</x:v>
      </x:c>
      <x:c r="B10" s="51" t="str">
        <x:v>A</x:v>
      </x:c>
      <x:c r="C10" s="51" t="n">
        <x:v>6</x:v>
      </x:c>
      <x:c r="D10" s="71" t="str"/>
      <x:c r="E10" s="51" t="str">
        <x:v>CB</x:v>
      </x:c>
      <x:c r="F10" s="51" t="str">
        <x:v>Defence</x:v>
      </x:c>
      <x:c r="G10" s="51" t="str">
        <x:v>Starter</x:v>
      </x:c>
      <x:c r="H10" s="55" t="n">
        <x:v>1</x:v>
      </x:c>
      <x:c r="I10" s="51" t="str"/>
      <x:c r="J10" s="72" t="str"/>
      <x:c r="K10" s="72" t="str"/>
      <x:c r="L10" s="72" t="str"/>
      <x:c r="M10" s="72" t="str"/>
      <x:c r="N10" s="72" t="str"/>
      <x:c r="O10" s="72" t="str"/>
      <x:c r="P10" s="72" t="str">
        <x:v>Available</x:v>
      </x:c>
      <x:c r="Q10" s="72" t="n">
        <x:v>0</x:v>
      </x:c>
      <x:c r="R10" s="55" t="str">
        <x:f>IF($D10="","",ROUND(MAX(0,MIN(100,0.35*$J10+0.2*$K10+0.15*$L10+0.15*$M10+0.1*$N10+0.05*$O10-IF(OR($P10="Out",$P10="Suspended"),$Q10,IF($P10="Doubtful",$Q10*0.5,IF($P10="Limited",$Q10*0.25,0))))),2))</x:f>
      </x:c>
      <x:c r="S10" s="55" t="n">
        <x:f>IF($D10="",0,ROUND(IF(OR($P10="Out",$P10="Suspended"),$Q10*$H10,IF($P10="Doubtful",$Q10*$H10*0.5,IF($P10="Limited",$Q10*$H10*0.25,0))),2))</x:f>
        <x:v>0</x:v>
      </x:c>
      <x:c r="T10" s="55" t="str"/>
      <x:c r="U10" s="51" t="str"/>
    </x:row>
    <x:row r="11">
      <x:c r="A11" s="51" t="str">
        <x:v>Czech Republic</x:v>
      </x:c>
      <x:c r="B11" s="51" t="str">
        <x:v>A</x:v>
      </x:c>
      <x:c r="C11" s="51" t="n">
        <x:v>7</x:v>
      </x:c>
      <x:c r="D11" s="71" t="str"/>
      <x:c r="E11" s="51" t="str">
        <x:v>FB</x:v>
      </x:c>
      <x:c r="F11" s="51" t="str">
        <x:v>Defence</x:v>
      </x:c>
      <x:c r="G11" s="51" t="str">
        <x:v>Starter</x:v>
      </x:c>
      <x:c r="H11" s="55" t="n">
        <x:v>1</x:v>
      </x:c>
      <x:c r="I11" s="51" t="str"/>
      <x:c r="J11" s="72" t="str"/>
      <x:c r="K11" s="72" t="str"/>
      <x:c r="L11" s="72" t="str"/>
      <x:c r="M11" s="72" t="str"/>
      <x:c r="N11" s="72" t="str"/>
      <x:c r="O11" s="72" t="str"/>
      <x:c r="P11" s="72" t="str">
        <x:v>Available</x:v>
      </x:c>
      <x:c r="Q11" s="72" t="n">
        <x:v>0</x:v>
      </x:c>
      <x:c r="R11" s="55" t="str">
        <x:f>IF($D11="","",ROUND(MAX(0,MIN(100,0.35*$J11+0.2*$K11+0.15*$L11+0.15*$M11+0.1*$N11+0.05*$O11-IF(OR($P11="Out",$P11="Suspended"),$Q11,IF($P11="Doubtful",$Q11*0.5,IF($P11="Limited",$Q11*0.25,0))))),2))</x:f>
      </x:c>
      <x:c r="S11" s="55" t="n">
        <x:f>IF($D11="",0,ROUND(IF(OR($P11="Out",$P11="Suspended"),$Q11*$H11,IF($P11="Doubtful",$Q11*$H11*0.5,IF($P11="Limited",$Q11*$H11*0.25,0))),2))</x:f>
        <x:v>0</x:v>
      </x:c>
      <x:c r="T11" s="55" t="str"/>
      <x:c r="U11" s="51" t="str"/>
    </x:row>
    <x:row r="12">
      <x:c r="A12" s="51" t="str">
        <x:v>Czech Republic</x:v>
      </x:c>
      <x:c r="B12" s="51" t="str">
        <x:v>A</x:v>
      </x:c>
      <x:c r="C12" s="51" t="n">
        <x:v>8</x:v>
      </x:c>
      <x:c r="D12" s="71" t="str"/>
      <x:c r="E12" s="51" t="str">
        <x:v>FB</x:v>
      </x:c>
      <x:c r="F12" s="51" t="str">
        <x:v>Defence</x:v>
      </x:c>
      <x:c r="G12" s="51" t="str">
        <x:v>Starter</x:v>
      </x:c>
      <x:c r="H12" s="55" t="n">
        <x:v>1</x:v>
      </x:c>
      <x:c r="I12" s="51" t="str"/>
      <x:c r="J12" s="72" t="str"/>
      <x:c r="K12" s="72" t="str"/>
      <x:c r="L12" s="72" t="str"/>
      <x:c r="M12" s="72" t="str"/>
      <x:c r="N12" s="72" t="str"/>
      <x:c r="O12" s="72" t="str"/>
      <x:c r="P12" s="72" t="str">
        <x:v>Available</x:v>
      </x:c>
      <x:c r="Q12" s="72" t="n">
        <x:v>0</x:v>
      </x:c>
      <x:c r="R12" s="55" t="str">
        <x:f>IF($D12="","",ROUND(MAX(0,MIN(100,0.35*$J12+0.2*$K12+0.15*$L12+0.15*$M12+0.1*$N12+0.05*$O12-IF(OR($P12="Out",$P12="Suspended"),$Q12,IF($P12="Doubtful",$Q12*0.5,IF($P12="Limited",$Q12*0.25,0))))),2))</x:f>
      </x:c>
      <x:c r="S12" s="55" t="n">
        <x:f>IF($D12="",0,ROUND(IF(OR($P12="Out",$P12="Suspended"),$Q12*$H12,IF($P12="Doubtful",$Q12*$H12*0.5,IF($P12="Limited",$Q12*$H12*0.25,0))),2))</x:f>
        <x:v>0</x:v>
      </x:c>
      <x:c r="T12" s="55" t="str"/>
      <x:c r="U12" s="51" t="str"/>
    </x:row>
    <x:row r="13">
      <x:c r="A13" s="51" t="str">
        <x:v>Czech Republic</x:v>
      </x:c>
      <x:c r="B13" s="51" t="str">
        <x:v>A</x:v>
      </x:c>
      <x:c r="C13" s="51" t="n">
        <x:v>9</x:v>
      </x:c>
      <x:c r="D13" s="71" t="str"/>
      <x:c r="E13" s="51" t="str">
        <x:v>DM</x:v>
      </x:c>
      <x:c r="F13" s="51" t="str">
        <x:v>Midfield</x:v>
      </x:c>
      <x:c r="G13" s="51" t="str">
        <x:v>Starter</x:v>
      </x:c>
      <x:c r="H13" s="55" t="n">
        <x:v>1</x:v>
      </x:c>
      <x:c r="I13" s="51" t="str"/>
      <x:c r="J13" s="72" t="str"/>
      <x:c r="K13" s="72" t="str"/>
      <x:c r="L13" s="72" t="str"/>
      <x:c r="M13" s="72" t="str"/>
      <x:c r="N13" s="72" t="str"/>
      <x:c r="O13" s="72" t="str"/>
      <x:c r="P13" s="72" t="str">
        <x:v>Available</x:v>
      </x:c>
      <x:c r="Q13" s="72" t="n">
        <x:v>0</x:v>
      </x:c>
      <x:c r="R13" s="55" t="str">
        <x:f>IF($D13="","",ROUND(MAX(0,MIN(100,0.35*$J13+0.2*$K13+0.15*$L13+0.15*$M13+0.1*$N13+0.05*$O13-IF(OR($P13="Out",$P13="Suspended"),$Q13,IF($P13="Doubtful",$Q13*0.5,IF($P13="Limited",$Q13*0.25,0))))),2))</x:f>
      </x:c>
      <x:c r="S13" s="55" t="n">
        <x:f>IF($D13="",0,ROUND(IF(OR($P13="Out",$P13="Suspended"),$Q13*$H13,IF($P13="Doubtful",$Q13*$H13*0.5,IF($P13="Limited",$Q13*$H13*0.25,0))),2))</x:f>
        <x:v>0</x:v>
      </x:c>
      <x:c r="T13" s="55" t="str"/>
      <x:c r="U13" s="51" t="str"/>
    </x:row>
    <x:row r="14">
      <x:c r="A14" s="51" t="str">
        <x:v>Czech Republic</x:v>
      </x:c>
      <x:c r="B14" s="51" t="str">
        <x:v>A</x:v>
      </x:c>
      <x:c r="C14" s="51" t="n">
        <x:v>10</x:v>
      </x:c>
      <x:c r="D14" s="71" t="str"/>
      <x:c r="E14" s="51" t="str">
        <x:v>DM</x:v>
      </x:c>
      <x:c r="F14" s="51" t="str">
        <x:v>Midfield</x:v>
      </x:c>
      <x:c r="G14" s="51" t="str">
        <x:v>Starter</x:v>
      </x:c>
      <x:c r="H14" s="55" t="n">
        <x:v>1</x:v>
      </x:c>
      <x:c r="I14" s="51" t="str"/>
      <x:c r="J14" s="72" t="str"/>
      <x:c r="K14" s="72" t="str"/>
      <x:c r="L14" s="72" t="str"/>
      <x:c r="M14" s="72" t="str"/>
      <x:c r="N14" s="72" t="str"/>
      <x:c r="O14" s="72" t="str"/>
      <x:c r="P14" s="72" t="str">
        <x:v>Available</x:v>
      </x:c>
      <x:c r="Q14" s="72" t="n">
        <x:v>0</x:v>
      </x:c>
      <x:c r="R14" s="55" t="str">
        <x:f>IF($D14="","",ROUND(MAX(0,MIN(100,0.35*$J14+0.2*$K14+0.15*$L14+0.15*$M14+0.1*$N14+0.05*$O14-IF(OR($P14="Out",$P14="Suspended"),$Q14,IF($P14="Doubtful",$Q14*0.5,IF($P14="Limited",$Q14*0.25,0))))),2))</x:f>
      </x:c>
      <x:c r="S14" s="55" t="n">
        <x:f>IF($D14="",0,ROUND(IF(OR($P14="Out",$P14="Suspended"),$Q14*$H14,IF($P14="Doubtful",$Q14*$H14*0.5,IF($P14="Limited",$Q14*$H14*0.25,0))),2))</x:f>
        <x:v>0</x:v>
      </x:c>
      <x:c r="T14" s="55" t="str"/>
      <x:c r="U14" s="51" t="str"/>
    </x:row>
    <x:row r="15">
      <x:c r="A15" s="51" t="str">
        <x:v>Czech Republic</x:v>
      </x:c>
      <x:c r="B15" s="51" t="str">
        <x:v>A</x:v>
      </x:c>
      <x:c r="C15" s="51" t="n">
        <x:v>11</x:v>
      </x:c>
      <x:c r="D15" s="71" t="str"/>
      <x:c r="E15" s="51" t="str">
        <x:v>DM</x:v>
      </x:c>
      <x:c r="F15" s="51" t="str">
        <x:v>Midfield</x:v>
      </x:c>
      <x:c r="G15" s="51" t="str">
        <x:v>Starter</x:v>
      </x:c>
      <x:c r="H15" s="55" t="n">
        <x:v>1</x:v>
      </x:c>
      <x:c r="I15" s="51" t="str"/>
      <x:c r="J15" s="72" t="str"/>
      <x:c r="K15" s="72" t="str"/>
      <x:c r="L15" s="72" t="str"/>
      <x:c r="M15" s="72" t="str"/>
      <x:c r="N15" s="72" t="str"/>
      <x:c r="O15" s="72" t="str"/>
      <x:c r="P15" s="72" t="str">
        <x:v>Available</x:v>
      </x:c>
      <x:c r="Q15" s="72" t="n">
        <x:v>0</x:v>
      </x:c>
      <x:c r="R15" s="55" t="str">
        <x:f>IF($D15="","",ROUND(MAX(0,MIN(100,0.35*$J15+0.2*$K15+0.15*$L15+0.15*$M15+0.1*$N15+0.05*$O15-IF(OR($P15="Out",$P15="Suspended"),$Q15,IF($P15="Doubtful",$Q15*0.5,IF($P15="Limited",$Q15*0.25,0))))),2))</x:f>
      </x:c>
      <x:c r="S15" s="55" t="n">
        <x:f>IF($D15="",0,ROUND(IF(OR($P15="Out",$P15="Suspended"),$Q15*$H15,IF($P15="Doubtful",$Q15*$H15*0.5,IF($P15="Limited",$Q15*$H15*0.25,0))),2))</x:f>
        <x:v>0</x:v>
      </x:c>
      <x:c r="T15" s="55" t="str"/>
      <x:c r="U15" s="51" t="str"/>
    </x:row>
    <x:row r="16">
      <x:c r="A16" s="51" t="str">
        <x:v>Czech Republic</x:v>
      </x:c>
      <x:c r="B16" s="51" t="str">
        <x:v>A</x:v>
      </x:c>
      <x:c r="C16" s="51" t="n">
        <x:v>12</x:v>
      </x:c>
      <x:c r="D16" s="71" t="str"/>
      <x:c r="E16" s="51" t="str">
        <x:v>CM</x:v>
      </x:c>
      <x:c r="F16" s="51" t="str">
        <x:v>Midfield</x:v>
      </x:c>
      <x:c r="G16" s="51" t="str">
        <x:v>Rotation</x:v>
      </x:c>
      <x:c r="H16" s="55" t="n">
        <x:v>0.35</x:v>
      </x:c>
      <x:c r="I16" s="51" t="str"/>
      <x:c r="J16" s="72" t="str"/>
      <x:c r="K16" s="72" t="str"/>
      <x:c r="L16" s="72" t="str"/>
      <x:c r="M16" s="72" t="str"/>
      <x:c r="N16" s="72" t="str"/>
      <x:c r="O16" s="72" t="str"/>
      <x:c r="P16" s="72" t="str">
        <x:v>Available</x:v>
      </x:c>
      <x:c r="Q16" s="72" t="n">
        <x:v>0</x:v>
      </x:c>
      <x:c r="R16" s="55" t="str">
        <x:f>IF($D16="","",ROUND(MAX(0,MIN(100,0.35*$J16+0.2*$K16+0.15*$L16+0.15*$M16+0.1*$N16+0.05*$O16-IF(OR($P16="Out",$P16="Suspended"),$Q16,IF($P16="Doubtful",$Q16*0.5,IF($P16="Limited",$Q16*0.25,0))))),2))</x:f>
      </x:c>
      <x:c r="S16" s="55" t="n">
        <x:f>IF($D16="",0,ROUND(IF(OR($P16="Out",$P16="Suspended"),$Q16*$H16,IF($P16="Doubtful",$Q16*$H16*0.5,IF($P16="Limited",$Q16*$H16*0.25,0))),2))</x:f>
        <x:v>0</x:v>
      </x:c>
      <x:c r="T16" s="55" t="str"/>
      <x:c r="U16" s="51" t="str"/>
    </x:row>
    <x:row r="17">
      <x:c r="A17" s="51" t="str">
        <x:v>Czech Republic</x:v>
      </x:c>
      <x:c r="B17" s="51" t="str">
        <x:v>A</x:v>
      </x:c>
      <x:c r="C17" s="51" t="n">
        <x:v>13</x:v>
      </x:c>
      <x:c r="D17" s="71" t="str"/>
      <x:c r="E17" s="51" t="str">
        <x:v>CM</x:v>
      </x:c>
      <x:c r="F17" s="51" t="str">
        <x:v>Midfield</x:v>
      </x:c>
      <x:c r="G17" s="51" t="str">
        <x:v>Rotation</x:v>
      </x:c>
      <x:c r="H17" s="55" t="n">
        <x:v>0.35</x:v>
      </x:c>
      <x:c r="I17" s="51" t="str"/>
      <x:c r="J17" s="72" t="str"/>
      <x:c r="K17" s="72" t="str"/>
      <x:c r="L17" s="72" t="str"/>
      <x:c r="M17" s="72" t="str"/>
      <x:c r="N17" s="72" t="str"/>
      <x:c r="O17" s="72" t="str"/>
      <x:c r="P17" s="72" t="str">
        <x:v>Available</x:v>
      </x:c>
      <x:c r="Q17" s="72" t="n">
        <x:v>0</x:v>
      </x:c>
      <x:c r="R17" s="55" t="str">
        <x:f>IF($D17="","",ROUND(MAX(0,MIN(100,0.35*$J17+0.2*$K17+0.15*$L17+0.15*$M17+0.1*$N17+0.05*$O17-IF(OR($P17="Out",$P17="Suspended"),$Q17,IF($P17="Doubtful",$Q17*0.5,IF($P17="Limited",$Q17*0.25,0))))),2))</x:f>
      </x:c>
      <x:c r="S17" s="55" t="n">
        <x:f>IF($D17="",0,ROUND(IF(OR($P17="Out",$P17="Suspended"),$Q17*$H17,IF($P17="Doubtful",$Q17*$H17*0.5,IF($P17="Limited",$Q17*$H17*0.25,0))),2))</x:f>
        <x:v>0</x:v>
      </x:c>
      <x:c r="T17" s="55" t="str"/>
      <x:c r="U17" s="51" t="str"/>
    </x:row>
    <x:row r="18">
      <x:c r="A18" s="51" t="str">
        <x:v>Czech Republic</x:v>
      </x:c>
      <x:c r="B18" s="51" t="str">
        <x:v>A</x:v>
      </x:c>
      <x:c r="C18" s="51" t="n">
        <x:v>14</x:v>
      </x:c>
      <x:c r="D18" s="71" t="str"/>
      <x:c r="E18" s="51" t="str">
        <x:v>CM</x:v>
      </x:c>
      <x:c r="F18" s="51" t="str">
        <x:v>Midfield</x:v>
      </x:c>
      <x:c r="G18" s="51" t="str">
        <x:v>Rotation</x:v>
      </x:c>
      <x:c r="H18" s="55" t="n">
        <x:v>0.35</x:v>
      </x:c>
      <x:c r="I18" s="51" t="str"/>
      <x:c r="J18" s="72" t="str"/>
      <x:c r="K18" s="72" t="str"/>
      <x:c r="L18" s="72" t="str"/>
      <x:c r="M18" s="72" t="str"/>
      <x:c r="N18" s="72" t="str"/>
      <x:c r="O18" s="72" t="str"/>
      <x:c r="P18" s="72" t="str">
        <x:v>Available</x:v>
      </x:c>
      <x:c r="Q18" s="72" t="n">
        <x:v>0</x:v>
      </x:c>
      <x:c r="R18" s="55" t="str">
        <x:f>IF($D18="","",ROUND(MAX(0,MIN(100,0.35*$J18+0.2*$K18+0.15*$L18+0.15*$M18+0.1*$N18+0.05*$O18-IF(OR($P18="Out",$P18="Suspended"),$Q18,IF($P18="Doubtful",$Q18*0.5,IF($P18="Limited",$Q18*0.25,0))))),2))</x:f>
      </x:c>
      <x:c r="S18" s="55" t="n">
        <x:f>IF($D18="",0,ROUND(IF(OR($P18="Out",$P18="Suspended"),$Q18*$H18,IF($P18="Doubtful",$Q18*$H18*0.5,IF($P18="Limited",$Q18*$H18*0.25,0))),2))</x:f>
        <x:v>0</x:v>
      </x:c>
      <x:c r="T18" s="55" t="str"/>
      <x:c r="U18" s="51" t="str"/>
    </x:row>
    <x:row r="19">
      <x:c r="A19" s="51" t="str">
        <x:v>Czech Republic</x:v>
      </x:c>
      <x:c r="B19" s="51" t="str">
        <x:v>A</x:v>
      </x:c>
      <x:c r="C19" s="51" t="n">
        <x:v>15</x:v>
      </x:c>
      <x:c r="D19" s="71" t="str"/>
      <x:c r="E19" s="51" t="str">
        <x:v>CM</x:v>
      </x:c>
      <x:c r="F19" s="51" t="str">
        <x:v>Midfield</x:v>
      </x:c>
      <x:c r="G19" s="51" t="str">
        <x:v>Rotation</x:v>
      </x:c>
      <x:c r="H19" s="55" t="n">
        <x:v>0.35</x:v>
      </x:c>
      <x:c r="I19" s="51" t="str"/>
      <x:c r="J19" s="72" t="str"/>
      <x:c r="K19" s="72" t="str"/>
      <x:c r="L19" s="72" t="str"/>
      <x:c r="M19" s="72" t="str"/>
      <x:c r="N19" s="72" t="str"/>
      <x:c r="O19" s="72" t="str"/>
      <x:c r="P19" s="72" t="str">
        <x:v>Available</x:v>
      </x:c>
      <x:c r="Q19" s="72" t="n">
        <x:v>0</x:v>
      </x:c>
      <x:c r="R19" s="55" t="str">
        <x:f>IF($D19="","",ROUND(MAX(0,MIN(100,0.35*$J19+0.2*$K19+0.15*$L19+0.15*$M19+0.1*$N19+0.05*$O19-IF(OR($P19="Out",$P19="Suspended"),$Q19,IF($P19="Doubtful",$Q19*0.5,IF($P19="Limited",$Q19*0.25,0))))),2))</x:f>
      </x:c>
      <x:c r="S19" s="55" t="n">
        <x:f>IF($D19="",0,ROUND(IF(OR($P19="Out",$P19="Suspended"),$Q19*$H19,IF($P19="Doubtful",$Q19*$H19*0.5,IF($P19="Limited",$Q19*$H19*0.25,0))),2))</x:f>
        <x:v>0</x:v>
      </x:c>
      <x:c r="T19" s="55" t="str"/>
      <x:c r="U19" s="51" t="str"/>
    </x:row>
    <x:row r="20">
      <x:c r="A20" s="51" t="str">
        <x:v>Czech Republic</x:v>
      </x:c>
      <x:c r="B20" s="51" t="str">
        <x:v>A</x:v>
      </x:c>
      <x:c r="C20" s="51" t="n">
        <x:v>16</x:v>
      </x:c>
      <x:c r="D20" s="71" t="str"/>
      <x:c r="E20" s="51" t="str">
        <x:v>AM</x:v>
      </x:c>
      <x:c r="F20" s="51" t="str">
        <x:v>Attack</x:v>
      </x:c>
      <x:c r="G20" s="51" t="str">
        <x:v>Rotation</x:v>
      </x:c>
      <x:c r="H20" s="55" t="n">
        <x:v>0.35</x:v>
      </x:c>
      <x:c r="I20" s="51" t="str"/>
      <x:c r="J20" s="72" t="str"/>
      <x:c r="K20" s="72" t="str"/>
      <x:c r="L20" s="72" t="str"/>
      <x:c r="M20" s="72" t="str"/>
      <x:c r="N20" s="72" t="str"/>
      <x:c r="O20" s="72" t="str"/>
      <x:c r="P20" s="72" t="str">
        <x:v>Available</x:v>
      </x:c>
      <x:c r="Q20" s="72" t="n">
        <x:v>0</x:v>
      </x:c>
      <x:c r="R20" s="55" t="str">
        <x:f>IF($D20="","",ROUND(MAX(0,MIN(100,0.35*$J20+0.2*$K20+0.15*$L20+0.15*$M20+0.1*$N20+0.05*$O20-IF(OR($P20="Out",$P20="Suspended"),$Q20,IF($P20="Doubtful",$Q20*0.5,IF($P20="Limited",$Q20*0.25,0))))),2))</x:f>
      </x:c>
      <x:c r="S20" s="55" t="n">
        <x:f>IF($D20="",0,ROUND(IF(OR($P20="Out",$P20="Suspended"),$Q20*$H20,IF($P20="Doubtful",$Q20*$H20*0.5,IF($P20="Limited",$Q20*$H20*0.25,0))),2))</x:f>
        <x:v>0</x:v>
      </x:c>
      <x:c r="T20" s="55" t="str"/>
      <x:c r="U20" s="51" t="str"/>
    </x:row>
    <x:row r="21">
      <x:c r="A21" s="51" t="str">
        <x:v>Czech Republic</x:v>
      </x:c>
      <x:c r="B21" s="51" t="str">
        <x:v>A</x:v>
      </x:c>
      <x:c r="C21" s="51" t="n">
        <x:v>17</x:v>
      </x:c>
      <x:c r="D21" s="71" t="str"/>
      <x:c r="E21" s="51" t="str">
        <x:v>AM</x:v>
      </x:c>
      <x:c r="F21" s="51" t="str">
        <x:v>Attack</x:v>
      </x:c>
      <x:c r="G21" s="51" t="str">
        <x:v>Rotation</x:v>
      </x:c>
      <x:c r="H21" s="55" t="n">
        <x:v>0.35</x:v>
      </x:c>
      <x:c r="I21" s="51" t="str"/>
      <x:c r="J21" s="72" t="str"/>
      <x:c r="K21" s="72" t="str"/>
      <x:c r="L21" s="72" t="str"/>
      <x:c r="M21" s="72" t="str"/>
      <x:c r="N21" s="72" t="str"/>
      <x:c r="O21" s="72" t="str"/>
      <x:c r="P21" s="72" t="str">
        <x:v>Available</x:v>
      </x:c>
      <x:c r="Q21" s="72" t="n">
        <x:v>0</x:v>
      </x:c>
      <x:c r="R21" s="55" t="str">
        <x:f>IF($D21="","",ROUND(MAX(0,MIN(100,0.35*$J21+0.2*$K21+0.15*$L21+0.15*$M21+0.1*$N21+0.05*$O21-IF(OR($P21="Out",$P21="Suspended"),$Q21,IF($P21="Doubtful",$Q21*0.5,IF($P21="Limited",$Q21*0.25,0))))),2))</x:f>
      </x:c>
      <x:c r="S21" s="55" t="n">
        <x:f>IF($D21="",0,ROUND(IF(OR($P21="Out",$P21="Suspended"),$Q21*$H21,IF($P21="Doubtful",$Q21*$H21*0.5,IF($P21="Limited",$Q21*$H21*0.25,0))),2))</x:f>
        <x:v>0</x:v>
      </x:c>
      <x:c r="T21" s="55" t="str"/>
      <x:c r="U21" s="51" t="str"/>
    </x:row>
    <x:row r="22">
      <x:c r="A22" s="51" t="str">
        <x:v>Czech Republic</x:v>
      </x:c>
      <x:c r="B22" s="51" t="str">
        <x:v>A</x:v>
      </x:c>
      <x:c r="C22" s="51" t="n">
        <x:v>18</x:v>
      </x:c>
      <x:c r="D22" s="71" t="str"/>
      <x:c r="E22" s="51" t="str">
        <x:v>AM</x:v>
      </x:c>
      <x:c r="F22" s="51" t="str">
        <x:v>Attack</x:v>
      </x:c>
      <x:c r="G22" s="51" t="str">
        <x:v>Rotation</x:v>
      </x:c>
      <x:c r="H22" s="55" t="n">
        <x:v>0.35</x:v>
      </x:c>
      <x:c r="I22" s="51" t="str"/>
      <x:c r="J22" s="72" t="str"/>
      <x:c r="K22" s="72" t="str"/>
      <x:c r="L22" s="72" t="str"/>
      <x:c r="M22" s="72" t="str"/>
      <x:c r="N22" s="72" t="str"/>
      <x:c r="O22" s="72" t="str"/>
      <x:c r="P22" s="72" t="str">
        <x:v>Available</x:v>
      </x:c>
      <x:c r="Q22" s="72" t="n">
        <x:v>0</x:v>
      </x:c>
      <x:c r="R22" s="55" t="str">
        <x:f>IF($D22="","",ROUND(MAX(0,MIN(100,0.35*$J22+0.2*$K22+0.15*$L22+0.15*$M22+0.1*$N22+0.05*$O22-IF(OR($P22="Out",$P22="Suspended"),$Q22,IF($P22="Doubtful",$Q22*0.5,IF($P22="Limited",$Q22*0.25,0))))),2))</x:f>
      </x:c>
      <x:c r="S22" s="55" t="n">
        <x:f>IF($D22="",0,ROUND(IF(OR($P22="Out",$P22="Suspended"),$Q22*$H22,IF($P22="Doubtful",$Q22*$H22*0.5,IF($P22="Limited",$Q22*$H22*0.25,0))),2))</x:f>
        <x:v>0</x:v>
      </x:c>
      <x:c r="T22" s="55" t="str"/>
      <x:c r="U22" s="51" t="str"/>
    </x:row>
    <x:row r="23">
      <x:c r="A23" s="51" t="str">
        <x:v>Czech Republic</x:v>
      </x:c>
      <x:c r="B23" s="51" t="str">
        <x:v>A</x:v>
      </x:c>
      <x:c r="C23" s="51" t="n">
        <x:v>19</x:v>
      </x:c>
      <x:c r="D23" s="71" t="str"/>
      <x:c r="E23" s="51" t="str">
        <x:v>AM</x:v>
      </x:c>
      <x:c r="F23" s="51" t="str">
        <x:v>Attack</x:v>
      </x:c>
      <x:c r="G23" s="51" t="str">
        <x:v>Rotation</x:v>
      </x:c>
      <x:c r="H23" s="55" t="n">
        <x:v>0.35</x:v>
      </x:c>
      <x:c r="I23" s="51" t="str"/>
      <x:c r="J23" s="72" t="str"/>
      <x:c r="K23" s="72" t="str"/>
      <x:c r="L23" s="72" t="str"/>
      <x:c r="M23" s="72" t="str"/>
      <x:c r="N23" s="72" t="str"/>
      <x:c r="O23" s="72" t="str"/>
      <x:c r="P23" s="72" t="str">
        <x:v>Available</x:v>
      </x:c>
      <x:c r="Q23" s="72" t="n">
        <x:v>0</x:v>
      </x:c>
      <x:c r="R23" s="55" t="str">
        <x:f>IF($D23="","",ROUND(MAX(0,MIN(100,0.35*$J23+0.2*$K23+0.15*$L23+0.15*$M23+0.1*$N23+0.05*$O23-IF(OR($P23="Out",$P23="Suspended"),$Q23,IF($P23="Doubtful",$Q23*0.5,IF($P23="Limited",$Q23*0.25,0))))),2))</x:f>
      </x:c>
      <x:c r="S23" s="55" t="n">
        <x:f>IF($D23="",0,ROUND(IF(OR($P23="Out",$P23="Suspended"),$Q23*$H23,IF($P23="Doubtful",$Q23*$H23*0.5,IF($P23="Limited",$Q23*$H23*0.25,0))),2))</x:f>
        <x:v>0</x:v>
      </x:c>
      <x:c r="T23" s="55" t="str"/>
      <x:c r="U23" s="51" t="str"/>
    </x:row>
    <x:row r="24">
      <x:c r="A24" s="51" t="str">
        <x:v>Czech Republic</x:v>
      </x:c>
      <x:c r="B24" s="51" t="str">
        <x:v>A</x:v>
      </x:c>
      <x:c r="C24" s="51" t="n">
        <x:v>20</x:v>
      </x:c>
      <x:c r="D24" s="71" t="str"/>
      <x:c r="E24" s="51" t="str">
        <x:v>Winger</x:v>
      </x:c>
      <x:c r="F24" s="51" t="str">
        <x:v>Attack</x:v>
      </x:c>
      <x:c r="G24" s="51" t="str">
        <x:v>Rotation</x:v>
      </x:c>
      <x:c r="H24" s="55" t="n">
        <x:v>0.35</x:v>
      </x:c>
      <x:c r="I24" s="51" t="str"/>
      <x:c r="J24" s="72" t="str"/>
      <x:c r="K24" s="72" t="str"/>
      <x:c r="L24" s="72" t="str"/>
      <x:c r="M24" s="72" t="str"/>
      <x:c r="N24" s="72" t="str"/>
      <x:c r="O24" s="72" t="str"/>
      <x:c r="P24" s="72" t="str">
        <x:v>Available</x:v>
      </x:c>
      <x:c r="Q24" s="72" t="n">
        <x:v>0</x:v>
      </x:c>
      <x:c r="R24" s="55" t="str">
        <x:f>IF($D24="","",ROUND(MAX(0,MIN(100,0.35*$J24+0.2*$K24+0.15*$L24+0.15*$M24+0.1*$N24+0.05*$O24-IF(OR($P24="Out",$P24="Suspended"),$Q24,IF($P24="Doubtful",$Q24*0.5,IF($P24="Limited",$Q24*0.25,0))))),2))</x:f>
      </x:c>
      <x:c r="S24" s="55" t="n">
        <x:f>IF($D24="",0,ROUND(IF(OR($P24="Out",$P24="Suspended"),$Q24*$H24,IF($P24="Doubtful",$Q24*$H24*0.5,IF($P24="Limited",$Q24*$H24*0.25,0))),2))</x:f>
        <x:v>0</x:v>
      </x:c>
      <x:c r="T24" s="55" t="str"/>
      <x:c r="U24" s="51" t="str"/>
    </x:row>
    <x:row r="25">
      <x:c r="A25" s="51" t="str">
        <x:v>Czech Republic</x:v>
      </x:c>
      <x:c r="B25" s="51" t="str">
        <x:v>A</x:v>
      </x:c>
      <x:c r="C25" s="51" t="n">
        <x:v>21</x:v>
      </x:c>
      <x:c r="D25" s="71" t="str"/>
      <x:c r="E25" s="51" t="str">
        <x:v>Winger</x:v>
      </x:c>
      <x:c r="F25" s="51" t="str">
        <x:v>Attack</x:v>
      </x:c>
      <x:c r="G25" s="51" t="str">
        <x:v>Depth</x:v>
      </x:c>
      <x:c r="H25" s="55" t="n">
        <x:v>0.1</x:v>
      </x:c>
      <x:c r="I25" s="51" t="str"/>
      <x:c r="J25" s="72" t="str"/>
      <x:c r="K25" s="72" t="str"/>
      <x:c r="L25" s="72" t="str"/>
      <x:c r="M25" s="72" t="str"/>
      <x:c r="N25" s="72" t="str"/>
      <x:c r="O25" s="72" t="str"/>
      <x:c r="P25" s="72" t="str">
        <x:v>Available</x:v>
      </x:c>
      <x:c r="Q25" s="72" t="n">
        <x:v>0</x:v>
      </x:c>
      <x:c r="R25" s="55" t="str">
        <x:f>IF($D25="","",ROUND(MAX(0,MIN(100,0.35*$J25+0.2*$K25+0.15*$L25+0.15*$M25+0.1*$N25+0.05*$O25-IF(OR($P25="Out",$P25="Suspended"),$Q25,IF($P25="Doubtful",$Q25*0.5,IF($P25="Limited",$Q25*0.25,0))))),2))</x:f>
      </x:c>
      <x:c r="S25" s="55" t="n">
        <x:f>IF($D25="",0,ROUND(IF(OR($P25="Out",$P25="Suspended"),$Q25*$H25,IF($P25="Doubtful",$Q25*$H25*0.5,IF($P25="Limited",$Q25*$H25*0.25,0))),2))</x:f>
        <x:v>0</x:v>
      </x:c>
      <x:c r="T25" s="55" t="str"/>
      <x:c r="U25" s="51" t="str"/>
    </x:row>
    <x:row r="26">
      <x:c r="A26" s="51" t="str">
        <x:v>Czech Republic</x:v>
      </x:c>
      <x:c r="B26" s="51" t="str">
        <x:v>A</x:v>
      </x:c>
      <x:c r="C26" s="51" t="n">
        <x:v>22</x:v>
      </x:c>
      <x:c r="D26" s="71" t="str"/>
      <x:c r="E26" s="51" t="str">
        <x:v>Winger</x:v>
      </x:c>
      <x:c r="F26" s="51" t="str">
        <x:v>Attack</x:v>
      </x:c>
      <x:c r="G26" s="51" t="str">
        <x:v>Depth</x:v>
      </x:c>
      <x:c r="H26" s="55" t="n">
        <x:v>0.1</x:v>
      </x:c>
      <x:c r="I26" s="51" t="str"/>
      <x:c r="J26" s="72" t="str"/>
      <x:c r="K26" s="72" t="str"/>
      <x:c r="L26" s="72" t="str"/>
      <x:c r="M26" s="72" t="str"/>
      <x:c r="N26" s="72" t="str"/>
      <x:c r="O26" s="72" t="str"/>
      <x:c r="P26" s="72" t="str">
        <x:v>Available</x:v>
      </x:c>
      <x:c r="Q26" s="72" t="n">
        <x:v>0</x:v>
      </x:c>
      <x:c r="R26" s="55" t="str">
        <x:f>IF($D26="","",ROUND(MAX(0,MIN(100,0.35*$J26+0.2*$K26+0.15*$L26+0.15*$M26+0.1*$N26+0.05*$O26-IF(OR($P26="Out",$P26="Suspended"),$Q26,IF($P26="Doubtful",$Q26*0.5,IF($P26="Limited",$Q26*0.25,0))))),2))</x:f>
      </x:c>
      <x:c r="S26" s="55" t="n">
        <x:f>IF($D26="",0,ROUND(IF(OR($P26="Out",$P26="Suspended"),$Q26*$H26,IF($P26="Doubtful",$Q26*$H26*0.5,IF($P26="Limited",$Q26*$H26*0.25,0))),2))</x:f>
        <x:v>0</x:v>
      </x:c>
      <x:c r="T26" s="55" t="str"/>
      <x:c r="U26" s="51" t="str"/>
    </x:row>
    <x:row r="27">
      <x:c r="A27" s="51" t="str">
        <x:v>Czech Republic</x:v>
      </x:c>
      <x:c r="B27" s="51" t="str">
        <x:v>A</x:v>
      </x:c>
      <x:c r="C27" s="51" t="n">
        <x:v>23</x:v>
      </x:c>
      <x:c r="D27" s="71" t="str"/>
      <x:c r="E27" s="51" t="str">
        <x:v>Winger</x:v>
      </x:c>
      <x:c r="F27" s="51" t="str">
        <x:v>Attack</x:v>
      </x:c>
      <x:c r="G27" s="51" t="str">
        <x:v>Depth</x:v>
      </x:c>
      <x:c r="H27" s="55" t="n">
        <x:v>0.1</x:v>
      </x:c>
      <x:c r="I27" s="51" t="str"/>
      <x:c r="J27" s="72" t="str"/>
      <x:c r="K27" s="72" t="str"/>
      <x:c r="L27" s="72" t="str"/>
      <x:c r="M27" s="72" t="str"/>
      <x:c r="N27" s="72" t="str"/>
      <x:c r="O27" s="72" t="str"/>
      <x:c r="P27" s="72" t="str">
        <x:v>Available</x:v>
      </x:c>
      <x:c r="Q27" s="72" t="n">
        <x:v>0</x:v>
      </x:c>
      <x:c r="R27" s="55" t="str">
        <x:f>IF($D27="","",ROUND(MAX(0,MIN(100,0.35*$J27+0.2*$K27+0.15*$L27+0.15*$M27+0.1*$N27+0.05*$O27-IF(OR($P27="Out",$P27="Suspended"),$Q27,IF($P27="Doubtful",$Q27*0.5,IF($P27="Limited",$Q27*0.25,0))))),2))</x:f>
      </x:c>
      <x:c r="S27" s="55" t="n">
        <x:f>IF($D27="",0,ROUND(IF(OR($P27="Out",$P27="Suspended"),$Q27*$H27,IF($P27="Doubtful",$Q27*$H27*0.5,IF($P27="Limited",$Q27*$H27*0.25,0))),2))</x:f>
        <x:v>0</x:v>
      </x:c>
      <x:c r="T27" s="55" t="str"/>
      <x:c r="U27" s="51" t="str"/>
    </x:row>
    <x:row r="28">
      <x:c r="A28" s="51" t="str">
        <x:v>Czech Republic</x:v>
      </x:c>
      <x:c r="B28" s="51" t="str">
        <x:v>A</x:v>
      </x:c>
      <x:c r="C28" s="51" t="n">
        <x:v>24</x:v>
      </x:c>
      <x:c r="D28" s="71" t="str"/>
      <x:c r="E28" s="51" t="str">
        <x:v>ST</x:v>
      </x:c>
      <x:c r="F28" s="51" t="str">
        <x:v>Attack</x:v>
      </x:c>
      <x:c r="G28" s="51" t="str">
        <x:v>Depth</x:v>
      </x:c>
      <x:c r="H28" s="55" t="n">
        <x:v>0.1</x:v>
      </x:c>
      <x:c r="I28" s="51" t="str"/>
      <x:c r="J28" s="72" t="str"/>
      <x:c r="K28" s="72" t="str"/>
      <x:c r="L28" s="72" t="str"/>
      <x:c r="M28" s="72" t="str"/>
      <x:c r="N28" s="72" t="str"/>
      <x:c r="O28" s="72" t="str"/>
      <x:c r="P28" s="72" t="str">
        <x:v>Available</x:v>
      </x:c>
      <x:c r="Q28" s="72" t="n">
        <x:v>0</x:v>
      </x:c>
      <x:c r="R28" s="55" t="str">
        <x:f>IF($D28="","",ROUND(MAX(0,MIN(100,0.35*$J28+0.2*$K28+0.15*$L28+0.15*$M28+0.1*$N28+0.05*$O28-IF(OR($P28="Out",$P28="Suspended"),$Q28,IF($P28="Doubtful",$Q28*0.5,IF($P28="Limited",$Q28*0.25,0))))),2))</x:f>
      </x:c>
      <x:c r="S28" s="55" t="n">
        <x:f>IF($D28="",0,ROUND(IF(OR($P28="Out",$P28="Suspended"),$Q28*$H28,IF($P28="Doubtful",$Q28*$H28*0.5,IF($P28="Limited",$Q28*$H28*0.25,0))),2))</x:f>
        <x:v>0</x:v>
      </x:c>
      <x:c r="T28" s="55" t="str"/>
      <x:c r="U28" s="51" t="str"/>
    </x:row>
    <x:row r="29">
      <x:c r="A29" s="51" t="str">
        <x:v>Czech Republic</x:v>
      </x:c>
      <x:c r="B29" s="51" t="str">
        <x:v>A</x:v>
      </x:c>
      <x:c r="C29" s="51" t="n">
        <x:v>25</x:v>
      </x:c>
      <x:c r="D29" s="71" t="str"/>
      <x:c r="E29" s="51" t="str">
        <x:v>ST</x:v>
      </x:c>
      <x:c r="F29" s="51" t="str">
        <x:v>Attack</x:v>
      </x:c>
      <x:c r="G29" s="51" t="str">
        <x:v>Depth</x:v>
      </x:c>
      <x:c r="H29" s="55" t="n">
        <x:v>0.1</x:v>
      </x:c>
      <x:c r="I29" s="51" t="str"/>
      <x:c r="J29" s="72" t="str"/>
      <x:c r="K29" s="72" t="str"/>
      <x:c r="L29" s="72" t="str"/>
      <x:c r="M29" s="72" t="str"/>
      <x:c r="N29" s="72" t="str"/>
      <x:c r="O29" s="72" t="str"/>
      <x:c r="P29" s="72" t="str">
        <x:v>Available</x:v>
      </x:c>
      <x:c r="Q29" s="72" t="n">
        <x:v>0</x:v>
      </x:c>
      <x:c r="R29" s="55" t="str">
        <x:f>IF($D29="","",ROUND(MAX(0,MIN(100,0.35*$J29+0.2*$K29+0.15*$L29+0.15*$M29+0.1*$N29+0.05*$O29-IF(OR($P29="Out",$P29="Suspended"),$Q29,IF($P29="Doubtful",$Q29*0.5,IF($P29="Limited",$Q29*0.25,0))))),2))</x:f>
      </x:c>
      <x:c r="S29" s="55" t="n">
        <x:f>IF($D29="",0,ROUND(IF(OR($P29="Out",$P29="Suspended"),$Q29*$H29,IF($P29="Doubtful",$Q29*$H29*0.5,IF($P29="Limited",$Q29*$H29*0.25,0))),2))</x:f>
        <x:v>0</x:v>
      </x:c>
      <x:c r="T29" s="55" t="str"/>
      <x:c r="U29" s="51" t="str"/>
    </x:row>
    <x:row r="30">
      <x:c r="A30" s="51" t="str">
        <x:v>Czech Republic</x:v>
      </x:c>
      <x:c r="B30" s="51" t="str">
        <x:v>A</x:v>
      </x:c>
      <x:c r="C30" s="51" t="n">
        <x:v>26</x:v>
      </x:c>
      <x:c r="D30" s="71" t="str"/>
      <x:c r="E30" s="51" t="str">
        <x:v>ST</x:v>
      </x:c>
      <x:c r="F30" s="51" t="str">
        <x:v>Attack</x:v>
      </x:c>
      <x:c r="G30" s="51" t="str">
        <x:v>Depth</x:v>
      </x:c>
      <x:c r="H30" s="55" t="n">
        <x:v>0.1</x:v>
      </x:c>
      <x:c r="I30" s="51" t="str"/>
      <x:c r="J30" s="72" t="str"/>
      <x:c r="K30" s="72" t="str"/>
      <x:c r="L30" s="72" t="str"/>
      <x:c r="M30" s="72" t="str"/>
      <x:c r="N30" s="72" t="str"/>
      <x:c r="O30" s="72" t="str"/>
      <x:c r="P30" s="72" t="str">
        <x:v>Available</x:v>
      </x:c>
      <x:c r="Q30" s="72" t="n">
        <x:v>0</x:v>
      </x:c>
      <x:c r="R30" s="55" t="str">
        <x:f>IF($D30="","",ROUND(MAX(0,MIN(100,0.35*$J30+0.2*$K30+0.15*$L30+0.15*$M30+0.1*$N30+0.05*$O30-IF(OR($P30="Out",$P30="Suspended"),$Q30,IF($P30="Doubtful",$Q30*0.5,IF($P30="Limited",$Q30*0.25,0))))),2))</x:f>
      </x:c>
      <x:c r="S30" s="55" t="n">
        <x:f>IF($D30="",0,ROUND(IF(OR($P30="Out",$P30="Suspended"),$Q30*$H30,IF($P30="Doubtful",$Q30*$H30*0.5,IF($P30="Limited",$Q30*$H30*0.25,0))),2))</x:f>
        <x:v>0</x:v>
      </x:c>
      <x:c r="T30" s="55" t="str"/>
      <x:c r="U30" s="51" t="str"/>
    </x:row>
    <x:row r="31">
      <x:c r="A31" s="51" t="str">
        <x:v>Mexico</x:v>
      </x:c>
      <x:c r="B31" s="51" t="str">
        <x:v>A</x:v>
      </x:c>
      <x:c r="C31" s="51" t="n">
        <x:v>1</x:v>
      </x:c>
      <x:c r="D31" s="71" t="str"/>
      <x:c r="E31" s="51" t="str">
        <x:v>GK</x:v>
      </x:c>
      <x:c r="F31" s="51" t="str">
        <x:v>GK</x:v>
      </x:c>
      <x:c r="G31" s="51" t="str">
        <x:v>Starter</x:v>
      </x:c>
      <x:c r="H31" s="55" t="n">
        <x:v>1</x:v>
      </x:c>
      <x:c r="I31" s="51" t="str"/>
      <x:c r="J31" s="72" t="str"/>
      <x:c r="K31" s="72" t="str"/>
      <x:c r="L31" s="72" t="str"/>
      <x:c r="M31" s="72" t="str"/>
      <x:c r="N31" s="72" t="str"/>
      <x:c r="O31" s="72" t="str"/>
      <x:c r="P31" s="72" t="str">
        <x:v>Available</x:v>
      </x:c>
      <x:c r="Q31" s="72" t="n">
        <x:v>0</x:v>
      </x:c>
      <x:c r="R31" s="55" t="str">
        <x:f>IF($D31="","",ROUND(MAX(0,MIN(100,0.35*$J31+0.2*$K31+0.15*$L31+0.15*$M31+0.1*$N31+0.05*$O31-IF(OR($P31="Out",$P31="Suspended"),$Q31,IF($P31="Doubtful",$Q31*0.5,IF($P31="Limited",$Q31*0.25,0))))),2))</x:f>
      </x:c>
      <x:c r="S31" s="55" t="n">
        <x:f>IF($D31="",0,ROUND(IF(OR($P31="Out",$P31="Suspended"),$Q31*$H31,IF($P31="Doubtful",$Q31*$H31*0.5,IF($P31="Limited",$Q31*$H31*0.25,0))),2))</x:f>
        <x:v>0</x:v>
      </x:c>
      <x:c r="T31" s="55" t="str"/>
      <x:c r="U31" s="51" t="str"/>
    </x:row>
    <x:row r="32">
      <x:c r="A32" s="51" t="str">
        <x:v>Mexico</x:v>
      </x:c>
      <x:c r="B32" s="51" t="str">
        <x:v>A</x:v>
      </x:c>
      <x:c r="C32" s="51" t="n">
        <x:v>2</x:v>
      </x:c>
      <x:c r="D32" s="71" t="str"/>
      <x:c r="E32" s="51" t="str">
        <x:v>GK</x:v>
      </x:c>
      <x:c r="F32" s="51" t="str">
        <x:v>GK</x:v>
      </x:c>
      <x:c r="G32" s="51" t="str">
        <x:v>Starter</x:v>
      </x:c>
      <x:c r="H32" s="55" t="n">
        <x:v>1</x:v>
      </x:c>
      <x:c r="I32" s="51" t="str"/>
      <x:c r="J32" s="72" t="str"/>
      <x:c r="K32" s="72" t="str"/>
      <x:c r="L32" s="72" t="str"/>
      <x:c r="M32" s="72" t="str"/>
      <x:c r="N32" s="72" t="str"/>
      <x:c r="O32" s="72" t="str"/>
      <x:c r="P32" s="72" t="str">
        <x:v>Available</x:v>
      </x:c>
      <x:c r="Q32" s="72" t="n">
        <x:v>0</x:v>
      </x:c>
      <x:c r="R32" s="55" t="str">
        <x:f>IF($D32="","",ROUND(MAX(0,MIN(100,0.35*$J32+0.2*$K32+0.15*$L32+0.15*$M32+0.1*$N32+0.05*$O32-IF(OR($P32="Out",$P32="Suspended"),$Q32,IF($P32="Doubtful",$Q32*0.5,IF($P32="Limited",$Q32*0.25,0))))),2))</x:f>
      </x:c>
      <x:c r="S32" s="55" t="n">
        <x:f>IF($D32="",0,ROUND(IF(OR($P32="Out",$P32="Suspended"),$Q32*$H32,IF($P32="Doubtful",$Q32*$H32*0.5,IF($P32="Limited",$Q32*$H32*0.25,0))),2))</x:f>
        <x:v>0</x:v>
      </x:c>
      <x:c r="T32" s="55" t="str"/>
      <x:c r="U32" s="51" t="str"/>
    </x:row>
    <x:row r="33">
      <x:c r="A33" s="51" t="str">
        <x:v>Mexico</x:v>
      </x:c>
      <x:c r="B33" s="51" t="str">
        <x:v>A</x:v>
      </x:c>
      <x:c r="C33" s="51" t="n">
        <x:v>3</x:v>
      </x:c>
      <x:c r="D33" s="71" t="str"/>
      <x:c r="E33" s="51" t="str">
        <x:v>GK</x:v>
      </x:c>
      <x:c r="F33" s="51" t="str">
        <x:v>GK</x:v>
      </x:c>
      <x:c r="G33" s="51" t="str">
        <x:v>Starter</x:v>
      </x:c>
      <x:c r="H33" s="55" t="n">
        <x:v>1</x:v>
      </x:c>
      <x:c r="I33" s="51" t="str"/>
      <x:c r="J33" s="72" t="str"/>
      <x:c r="K33" s="72" t="str"/>
      <x:c r="L33" s="72" t="str"/>
      <x:c r="M33" s="72" t="str"/>
      <x:c r="N33" s="72" t="str"/>
      <x:c r="O33" s="72" t="str"/>
      <x:c r="P33" s="72" t="str">
        <x:v>Available</x:v>
      </x:c>
      <x:c r="Q33" s="72" t="n">
        <x:v>0</x:v>
      </x:c>
      <x:c r="R33" s="55" t="str">
        <x:f>IF($D33="","",ROUND(MAX(0,MIN(100,0.35*$J33+0.2*$K33+0.15*$L33+0.15*$M33+0.1*$N33+0.05*$O33-IF(OR($P33="Out",$P33="Suspended"),$Q33,IF($P33="Doubtful",$Q33*0.5,IF($P33="Limited",$Q33*0.25,0))))),2))</x:f>
      </x:c>
      <x:c r="S33" s="55" t="n">
        <x:f>IF($D33="",0,ROUND(IF(OR($P33="Out",$P33="Suspended"),$Q33*$H33,IF($P33="Doubtful",$Q33*$H33*0.5,IF($P33="Limited",$Q33*$H33*0.25,0))),2))</x:f>
        <x:v>0</x:v>
      </x:c>
      <x:c r="T33" s="55" t="str"/>
      <x:c r="U33" s="51" t="str"/>
    </x:row>
    <x:row r="34">
      <x:c r="A34" s="51" t="str">
        <x:v>Mexico</x:v>
      </x:c>
      <x:c r="B34" s="51" t="str">
        <x:v>A</x:v>
      </x:c>
      <x:c r="C34" s="51" t="n">
        <x:v>4</x:v>
      </x:c>
      <x:c r="D34" s="71" t="str"/>
      <x:c r="E34" s="51" t="str">
        <x:v>CB</x:v>
      </x:c>
      <x:c r="F34" s="51" t="str">
        <x:v>Defence</x:v>
      </x:c>
      <x:c r="G34" s="51" t="str">
        <x:v>Starter</x:v>
      </x:c>
      <x:c r="H34" s="55" t="n">
        <x:v>1</x:v>
      </x:c>
      <x:c r="I34" s="51" t="str"/>
      <x:c r="J34" s="72" t="str"/>
      <x:c r="K34" s="72" t="str"/>
      <x:c r="L34" s="72" t="str"/>
      <x:c r="M34" s="72" t="str"/>
      <x:c r="N34" s="72" t="str"/>
      <x:c r="O34" s="72" t="str"/>
      <x:c r="P34" s="72" t="str">
        <x:v>Available</x:v>
      </x:c>
      <x:c r="Q34" s="72" t="n">
        <x:v>0</x:v>
      </x:c>
      <x:c r="R34" s="55" t="str">
        <x:f>IF($D34="","",ROUND(MAX(0,MIN(100,0.35*$J34+0.2*$K34+0.15*$L34+0.15*$M34+0.1*$N34+0.05*$O34-IF(OR($P34="Out",$P34="Suspended"),$Q34,IF($P34="Doubtful",$Q34*0.5,IF($P34="Limited",$Q34*0.25,0))))),2))</x:f>
      </x:c>
      <x:c r="S34" s="55" t="n">
        <x:f>IF($D34="",0,ROUND(IF(OR($P34="Out",$P34="Suspended"),$Q34*$H34,IF($P34="Doubtful",$Q34*$H34*0.5,IF($P34="Limited",$Q34*$H34*0.25,0))),2))</x:f>
        <x:v>0</x:v>
      </x:c>
      <x:c r="T34" s="55" t="str"/>
      <x:c r="U34" s="51" t="str"/>
    </x:row>
    <x:row r="35">
      <x:c r="A35" s="51" t="str">
        <x:v>Mexico</x:v>
      </x:c>
      <x:c r="B35" s="51" t="str">
        <x:v>A</x:v>
      </x:c>
      <x:c r="C35" s="51" t="n">
        <x:v>5</x:v>
      </x:c>
      <x:c r="D35" s="71" t="str"/>
      <x:c r="E35" s="51" t="str">
        <x:v>CB</x:v>
      </x:c>
      <x:c r="F35" s="51" t="str">
        <x:v>Defence</x:v>
      </x:c>
      <x:c r="G35" s="51" t="str">
        <x:v>Starter</x:v>
      </x:c>
      <x:c r="H35" s="55" t="n">
        <x:v>1</x:v>
      </x:c>
      <x:c r="I35" s="51" t="str"/>
      <x:c r="J35" s="72" t="str"/>
      <x:c r="K35" s="72" t="str"/>
      <x:c r="L35" s="72" t="str"/>
      <x:c r="M35" s="72" t="str"/>
      <x:c r="N35" s="72" t="str"/>
      <x:c r="O35" s="72" t="str"/>
      <x:c r="P35" s="72" t="str">
        <x:v>Available</x:v>
      </x:c>
      <x:c r="Q35" s="72" t="n">
        <x:v>0</x:v>
      </x:c>
      <x:c r="R35" s="55" t="str">
        <x:f>IF($D35="","",ROUND(MAX(0,MIN(100,0.35*$J35+0.2*$K35+0.15*$L35+0.15*$M35+0.1*$N35+0.05*$O35-IF(OR($P35="Out",$P35="Suspended"),$Q35,IF($P35="Doubtful",$Q35*0.5,IF($P35="Limited",$Q35*0.25,0))))),2))</x:f>
      </x:c>
      <x:c r="S35" s="55" t="n">
        <x:f>IF($D35="",0,ROUND(IF(OR($P35="Out",$P35="Suspended"),$Q35*$H35,IF($P35="Doubtful",$Q35*$H35*0.5,IF($P35="Limited",$Q35*$H35*0.25,0))),2))</x:f>
        <x:v>0</x:v>
      </x:c>
      <x:c r="T35" s="55" t="str"/>
      <x:c r="U35" s="51" t="str"/>
    </x:row>
    <x:row r="36">
      <x:c r="A36" s="51" t="str">
        <x:v>Mexico</x:v>
      </x:c>
      <x:c r="B36" s="51" t="str">
        <x:v>A</x:v>
      </x:c>
      <x:c r="C36" s="51" t="n">
        <x:v>6</x:v>
      </x:c>
      <x:c r="D36" s="71" t="str"/>
      <x:c r="E36" s="51" t="str">
        <x:v>CB</x:v>
      </x:c>
      <x:c r="F36" s="51" t="str">
        <x:v>Defence</x:v>
      </x:c>
      <x:c r="G36" s="51" t="str">
        <x:v>Starter</x:v>
      </x:c>
      <x:c r="H36" s="55" t="n">
        <x:v>1</x:v>
      </x:c>
      <x:c r="I36" s="51" t="str"/>
      <x:c r="J36" s="72" t="str"/>
      <x:c r="K36" s="72" t="str"/>
      <x:c r="L36" s="72" t="str"/>
      <x:c r="M36" s="72" t="str"/>
      <x:c r="N36" s="72" t="str"/>
      <x:c r="O36" s="72" t="str"/>
      <x:c r="P36" s="72" t="str">
        <x:v>Available</x:v>
      </x:c>
      <x:c r="Q36" s="72" t="n">
        <x:v>0</x:v>
      </x:c>
      <x:c r="R36" s="55" t="str">
        <x:f>IF($D36="","",ROUND(MAX(0,MIN(100,0.35*$J36+0.2*$K36+0.15*$L36+0.15*$M36+0.1*$N36+0.05*$O36-IF(OR($P36="Out",$P36="Suspended"),$Q36,IF($P36="Doubtful",$Q36*0.5,IF($P36="Limited",$Q36*0.25,0))))),2))</x:f>
      </x:c>
      <x:c r="S36" s="55" t="n">
        <x:f>IF($D36="",0,ROUND(IF(OR($P36="Out",$P36="Suspended"),$Q36*$H36,IF($P36="Doubtful",$Q36*$H36*0.5,IF($P36="Limited",$Q36*$H36*0.25,0))),2))</x:f>
        <x:v>0</x:v>
      </x:c>
      <x:c r="T36" s="55" t="str"/>
      <x:c r="U36" s="51" t="str"/>
    </x:row>
    <x:row r="37">
      <x:c r="A37" s="51" t="str">
        <x:v>Mexico</x:v>
      </x:c>
      <x:c r="B37" s="51" t="str">
        <x:v>A</x:v>
      </x:c>
      <x:c r="C37" s="51" t="n">
        <x:v>7</x:v>
      </x:c>
      <x:c r="D37" s="71" t="str"/>
      <x:c r="E37" s="51" t="str">
        <x:v>FB</x:v>
      </x:c>
      <x:c r="F37" s="51" t="str">
        <x:v>Defence</x:v>
      </x:c>
      <x:c r="G37" s="51" t="str">
        <x:v>Starter</x:v>
      </x:c>
      <x:c r="H37" s="55" t="n">
        <x:v>1</x:v>
      </x:c>
      <x:c r="I37" s="51" t="str"/>
      <x:c r="J37" s="72" t="str"/>
      <x:c r="K37" s="72" t="str"/>
      <x:c r="L37" s="72" t="str"/>
      <x:c r="M37" s="72" t="str"/>
      <x:c r="N37" s="72" t="str"/>
      <x:c r="O37" s="72" t="str"/>
      <x:c r="P37" s="72" t="str">
        <x:v>Available</x:v>
      </x:c>
      <x:c r="Q37" s="72" t="n">
        <x:v>0</x:v>
      </x:c>
      <x:c r="R37" s="55" t="str">
        <x:f>IF($D37="","",ROUND(MAX(0,MIN(100,0.35*$J37+0.2*$K37+0.15*$L37+0.15*$M37+0.1*$N37+0.05*$O37-IF(OR($P37="Out",$P37="Suspended"),$Q37,IF($P37="Doubtful",$Q37*0.5,IF($P37="Limited",$Q37*0.25,0))))),2))</x:f>
      </x:c>
      <x:c r="S37" s="55" t="n">
        <x:f>IF($D37="",0,ROUND(IF(OR($P37="Out",$P37="Suspended"),$Q37*$H37,IF($P37="Doubtful",$Q37*$H37*0.5,IF($P37="Limited",$Q37*$H37*0.25,0))),2))</x:f>
        <x:v>0</x:v>
      </x:c>
      <x:c r="T37" s="55" t="str"/>
      <x:c r="U37" s="51" t="str"/>
    </x:row>
    <x:row r="38">
      <x:c r="A38" s="51" t="str">
        <x:v>Mexico</x:v>
      </x:c>
      <x:c r="B38" s="51" t="str">
        <x:v>A</x:v>
      </x:c>
      <x:c r="C38" s="51" t="n">
        <x:v>8</x:v>
      </x:c>
      <x:c r="D38" s="71" t="str"/>
      <x:c r="E38" s="51" t="str">
        <x:v>FB</x:v>
      </x:c>
      <x:c r="F38" s="51" t="str">
        <x:v>Defence</x:v>
      </x:c>
      <x:c r="G38" s="51" t="str">
        <x:v>Starter</x:v>
      </x:c>
      <x:c r="H38" s="55" t="n">
        <x:v>1</x:v>
      </x:c>
      <x:c r="I38" s="51" t="str"/>
      <x:c r="J38" s="72" t="str"/>
      <x:c r="K38" s="72" t="str"/>
      <x:c r="L38" s="72" t="str"/>
      <x:c r="M38" s="72" t="str"/>
      <x:c r="N38" s="72" t="str"/>
      <x:c r="O38" s="72" t="str"/>
      <x:c r="P38" s="72" t="str">
        <x:v>Available</x:v>
      </x:c>
      <x:c r="Q38" s="72" t="n">
        <x:v>0</x:v>
      </x:c>
      <x:c r="R38" s="55" t="str">
        <x:f>IF($D38="","",ROUND(MAX(0,MIN(100,0.35*$J38+0.2*$K38+0.15*$L38+0.15*$M38+0.1*$N38+0.05*$O38-IF(OR($P38="Out",$P38="Suspended"),$Q38,IF($P38="Doubtful",$Q38*0.5,IF($P38="Limited",$Q38*0.25,0))))),2))</x:f>
      </x:c>
      <x:c r="S38" s="55" t="n">
        <x:f>IF($D38="",0,ROUND(IF(OR($P38="Out",$P38="Suspended"),$Q38*$H38,IF($P38="Doubtful",$Q38*$H38*0.5,IF($P38="Limited",$Q38*$H38*0.25,0))),2))</x:f>
        <x:v>0</x:v>
      </x:c>
      <x:c r="T38" s="55" t="str"/>
      <x:c r="U38" s="51" t="str"/>
    </x:row>
    <x:row r="39">
      <x:c r="A39" s="51" t="str">
        <x:v>Mexico</x:v>
      </x:c>
      <x:c r="B39" s="51" t="str">
        <x:v>A</x:v>
      </x:c>
      <x:c r="C39" s="51" t="n">
        <x:v>9</x:v>
      </x:c>
      <x:c r="D39" s="71" t="str"/>
      <x:c r="E39" s="51" t="str">
        <x:v>DM</x:v>
      </x:c>
      <x:c r="F39" s="51" t="str">
        <x:v>Midfield</x:v>
      </x:c>
      <x:c r="G39" s="51" t="str">
        <x:v>Starter</x:v>
      </x:c>
      <x:c r="H39" s="55" t="n">
        <x:v>1</x:v>
      </x:c>
      <x:c r="I39" s="51" t="str"/>
      <x:c r="J39" s="72" t="str"/>
      <x:c r="K39" s="72" t="str"/>
      <x:c r="L39" s="72" t="str"/>
      <x:c r="M39" s="72" t="str"/>
      <x:c r="N39" s="72" t="str"/>
      <x:c r="O39" s="72" t="str"/>
      <x:c r="P39" s="72" t="str">
        <x:v>Available</x:v>
      </x:c>
      <x:c r="Q39" s="72" t="n">
        <x:v>0</x:v>
      </x:c>
      <x:c r="R39" s="55" t="str">
        <x:f>IF($D39="","",ROUND(MAX(0,MIN(100,0.35*$J39+0.2*$K39+0.15*$L39+0.15*$M39+0.1*$N39+0.05*$O39-IF(OR($P39="Out",$P39="Suspended"),$Q39,IF($P39="Doubtful",$Q39*0.5,IF($P39="Limited",$Q39*0.25,0))))),2))</x:f>
      </x:c>
      <x:c r="S39" s="55" t="n">
        <x:f>IF($D39="",0,ROUND(IF(OR($P39="Out",$P39="Suspended"),$Q39*$H39,IF($P39="Doubtful",$Q39*$H39*0.5,IF($P39="Limited",$Q39*$H39*0.25,0))),2))</x:f>
        <x:v>0</x:v>
      </x:c>
      <x:c r="T39" s="55" t="str"/>
      <x:c r="U39" s="51" t="str"/>
    </x:row>
    <x:row r="40">
      <x:c r="A40" s="51" t="str">
        <x:v>Mexico</x:v>
      </x:c>
      <x:c r="B40" s="51" t="str">
        <x:v>A</x:v>
      </x:c>
      <x:c r="C40" s="51" t="n">
        <x:v>10</x:v>
      </x:c>
      <x:c r="D40" s="71" t="str"/>
      <x:c r="E40" s="51" t="str">
        <x:v>DM</x:v>
      </x:c>
      <x:c r="F40" s="51" t="str">
        <x:v>Midfield</x:v>
      </x:c>
      <x:c r="G40" s="51" t="str">
        <x:v>Starter</x:v>
      </x:c>
      <x:c r="H40" s="55" t="n">
        <x:v>1</x:v>
      </x:c>
      <x:c r="I40" s="51" t="str"/>
      <x:c r="J40" s="72" t="str"/>
      <x:c r="K40" s="72" t="str"/>
      <x:c r="L40" s="72" t="str"/>
      <x:c r="M40" s="72" t="str"/>
      <x:c r="N40" s="72" t="str"/>
      <x:c r="O40" s="72" t="str"/>
      <x:c r="P40" s="72" t="str">
        <x:v>Available</x:v>
      </x:c>
      <x:c r="Q40" s="72" t="n">
        <x:v>0</x:v>
      </x:c>
      <x:c r="R40" s="55" t="str">
        <x:f>IF($D40="","",ROUND(MAX(0,MIN(100,0.35*$J40+0.2*$K40+0.15*$L40+0.15*$M40+0.1*$N40+0.05*$O40-IF(OR($P40="Out",$P40="Suspended"),$Q40,IF($P40="Doubtful",$Q40*0.5,IF($P40="Limited",$Q40*0.25,0))))),2))</x:f>
      </x:c>
      <x:c r="S40" s="55" t="n">
        <x:f>IF($D40="",0,ROUND(IF(OR($P40="Out",$P40="Suspended"),$Q40*$H40,IF($P40="Doubtful",$Q40*$H40*0.5,IF($P40="Limited",$Q40*$H40*0.25,0))),2))</x:f>
        <x:v>0</x:v>
      </x:c>
      <x:c r="T40" s="55" t="str"/>
      <x:c r="U40" s="51" t="str"/>
    </x:row>
    <x:row r="41">
      <x:c r="A41" s="51" t="str">
        <x:v>Mexico</x:v>
      </x:c>
      <x:c r="B41" s="51" t="str">
        <x:v>A</x:v>
      </x:c>
      <x:c r="C41" s="51" t="n">
        <x:v>11</x:v>
      </x:c>
      <x:c r="D41" s="71" t="str"/>
      <x:c r="E41" s="51" t="str">
        <x:v>DM</x:v>
      </x:c>
      <x:c r="F41" s="51" t="str">
        <x:v>Midfield</x:v>
      </x:c>
      <x:c r="G41" s="51" t="str">
        <x:v>Starter</x:v>
      </x:c>
      <x:c r="H41" s="55" t="n">
        <x:v>1</x:v>
      </x:c>
      <x:c r="I41" s="51" t="str"/>
      <x:c r="J41" s="72" t="str"/>
      <x:c r="K41" s="72" t="str"/>
      <x:c r="L41" s="72" t="str"/>
      <x:c r="M41" s="72" t="str"/>
      <x:c r="N41" s="72" t="str"/>
      <x:c r="O41" s="72" t="str"/>
      <x:c r="P41" s="72" t="str">
        <x:v>Available</x:v>
      </x:c>
      <x:c r="Q41" s="72" t="n">
        <x:v>0</x:v>
      </x:c>
      <x:c r="R41" s="55" t="str">
        <x:f>IF($D41="","",ROUND(MAX(0,MIN(100,0.35*$J41+0.2*$K41+0.15*$L41+0.15*$M41+0.1*$N41+0.05*$O41-IF(OR($P41="Out",$P41="Suspended"),$Q41,IF($P41="Doubtful",$Q41*0.5,IF($P41="Limited",$Q41*0.25,0))))),2))</x:f>
      </x:c>
      <x:c r="S41" s="55" t="n">
        <x:f>IF($D41="",0,ROUND(IF(OR($P41="Out",$P41="Suspended"),$Q41*$H41,IF($P41="Doubtful",$Q41*$H41*0.5,IF($P41="Limited",$Q41*$H41*0.25,0))),2))</x:f>
        <x:v>0</x:v>
      </x:c>
      <x:c r="T41" s="55" t="str"/>
      <x:c r="U41" s="51" t="str"/>
    </x:row>
    <x:row r="42">
      <x:c r="A42" s="51" t="str">
        <x:v>Mexico</x:v>
      </x:c>
      <x:c r="B42" s="51" t="str">
        <x:v>A</x:v>
      </x:c>
      <x:c r="C42" s="51" t="n">
        <x:v>12</x:v>
      </x:c>
      <x:c r="D42" s="71" t="str"/>
      <x:c r="E42" s="51" t="str">
        <x:v>CM</x:v>
      </x:c>
      <x:c r="F42" s="51" t="str">
        <x:v>Midfield</x:v>
      </x:c>
      <x:c r="G42" s="51" t="str">
        <x:v>Rotation</x:v>
      </x:c>
      <x:c r="H42" s="55" t="n">
        <x:v>0.35</x:v>
      </x:c>
      <x:c r="I42" s="51" t="str"/>
      <x:c r="J42" s="72" t="str"/>
      <x:c r="K42" s="72" t="str"/>
      <x:c r="L42" s="72" t="str"/>
      <x:c r="M42" s="72" t="str"/>
      <x:c r="N42" s="72" t="str"/>
      <x:c r="O42" s="72" t="str"/>
      <x:c r="P42" s="72" t="str">
        <x:v>Available</x:v>
      </x:c>
      <x:c r="Q42" s="72" t="n">
        <x:v>0</x:v>
      </x:c>
      <x:c r="R42" s="55" t="str">
        <x:f>IF($D42="","",ROUND(MAX(0,MIN(100,0.35*$J42+0.2*$K42+0.15*$L42+0.15*$M42+0.1*$N42+0.05*$O42-IF(OR($P42="Out",$P42="Suspended"),$Q42,IF($P42="Doubtful",$Q42*0.5,IF($P42="Limited",$Q42*0.25,0))))),2))</x:f>
      </x:c>
      <x:c r="S42" s="55" t="n">
        <x:f>IF($D42="",0,ROUND(IF(OR($P42="Out",$P42="Suspended"),$Q42*$H42,IF($P42="Doubtful",$Q42*$H42*0.5,IF($P42="Limited",$Q42*$H42*0.25,0))),2))</x:f>
        <x:v>0</x:v>
      </x:c>
      <x:c r="T42" s="55" t="str"/>
      <x:c r="U42" s="51" t="str"/>
    </x:row>
    <x:row r="43">
      <x:c r="A43" s="51" t="str">
        <x:v>Mexico</x:v>
      </x:c>
      <x:c r="B43" s="51" t="str">
        <x:v>A</x:v>
      </x:c>
      <x:c r="C43" s="51" t="n">
        <x:v>13</x:v>
      </x:c>
      <x:c r="D43" s="71" t="str"/>
      <x:c r="E43" s="51" t="str">
        <x:v>CM</x:v>
      </x:c>
      <x:c r="F43" s="51" t="str">
        <x:v>Midfield</x:v>
      </x:c>
      <x:c r="G43" s="51" t="str">
        <x:v>Rotation</x:v>
      </x:c>
      <x:c r="H43" s="55" t="n">
        <x:v>0.35</x:v>
      </x:c>
      <x:c r="I43" s="51" t="str"/>
      <x:c r="J43" s="72" t="str"/>
      <x:c r="K43" s="72" t="str"/>
      <x:c r="L43" s="72" t="str"/>
      <x:c r="M43" s="72" t="str"/>
      <x:c r="N43" s="72" t="str"/>
      <x:c r="O43" s="72" t="str"/>
      <x:c r="P43" s="72" t="str">
        <x:v>Available</x:v>
      </x:c>
      <x:c r="Q43" s="72" t="n">
        <x:v>0</x:v>
      </x:c>
      <x:c r="R43" s="55" t="str">
        <x:f>IF($D43="","",ROUND(MAX(0,MIN(100,0.35*$J43+0.2*$K43+0.15*$L43+0.15*$M43+0.1*$N43+0.05*$O43-IF(OR($P43="Out",$P43="Suspended"),$Q43,IF($P43="Doubtful",$Q43*0.5,IF($P43="Limited",$Q43*0.25,0))))),2))</x:f>
      </x:c>
      <x:c r="S43" s="55" t="n">
        <x:f>IF($D43="",0,ROUND(IF(OR($P43="Out",$P43="Suspended"),$Q43*$H43,IF($P43="Doubtful",$Q43*$H43*0.5,IF($P43="Limited",$Q43*$H43*0.25,0))),2))</x:f>
        <x:v>0</x:v>
      </x:c>
      <x:c r="T43" s="55" t="str"/>
      <x:c r="U43" s="51" t="str"/>
    </x:row>
    <x:row r="44">
      <x:c r="A44" s="51" t="str">
        <x:v>Mexico</x:v>
      </x:c>
      <x:c r="B44" s="51" t="str">
        <x:v>A</x:v>
      </x:c>
      <x:c r="C44" s="51" t="n">
        <x:v>14</x:v>
      </x:c>
      <x:c r="D44" s="71" t="str"/>
      <x:c r="E44" s="51" t="str">
        <x:v>CM</x:v>
      </x:c>
      <x:c r="F44" s="51" t="str">
        <x:v>Midfield</x:v>
      </x:c>
      <x:c r="G44" s="51" t="str">
        <x:v>Rotation</x:v>
      </x:c>
      <x:c r="H44" s="55" t="n">
        <x:v>0.35</x:v>
      </x:c>
      <x:c r="I44" s="51" t="str"/>
      <x:c r="J44" s="72" t="str"/>
      <x:c r="K44" s="72" t="str"/>
      <x:c r="L44" s="72" t="str"/>
      <x:c r="M44" s="72" t="str"/>
      <x:c r="N44" s="72" t="str"/>
      <x:c r="O44" s="72" t="str"/>
      <x:c r="P44" s="72" t="str">
        <x:v>Available</x:v>
      </x:c>
      <x:c r="Q44" s="72" t="n">
        <x:v>0</x:v>
      </x:c>
      <x:c r="R44" s="55" t="str">
        <x:f>IF($D44="","",ROUND(MAX(0,MIN(100,0.35*$J44+0.2*$K44+0.15*$L44+0.15*$M44+0.1*$N44+0.05*$O44-IF(OR($P44="Out",$P44="Suspended"),$Q44,IF($P44="Doubtful",$Q44*0.5,IF($P44="Limited",$Q44*0.25,0))))),2))</x:f>
      </x:c>
      <x:c r="S44" s="55" t="n">
        <x:f>IF($D44="",0,ROUND(IF(OR($P44="Out",$P44="Suspended"),$Q44*$H44,IF($P44="Doubtful",$Q44*$H44*0.5,IF($P44="Limited",$Q44*$H44*0.25,0))),2))</x:f>
        <x:v>0</x:v>
      </x:c>
      <x:c r="T44" s="55" t="str"/>
      <x:c r="U44" s="51" t="str"/>
    </x:row>
    <x:row r="45">
      <x:c r="A45" s="51" t="str">
        <x:v>Mexico</x:v>
      </x:c>
      <x:c r="B45" s="51" t="str">
        <x:v>A</x:v>
      </x:c>
      <x:c r="C45" s="51" t="n">
        <x:v>15</x:v>
      </x:c>
      <x:c r="D45" s="71" t="str"/>
      <x:c r="E45" s="51" t="str">
        <x:v>CM</x:v>
      </x:c>
      <x:c r="F45" s="51" t="str">
        <x:v>Midfield</x:v>
      </x:c>
      <x:c r="G45" s="51" t="str">
        <x:v>Rotation</x:v>
      </x:c>
      <x:c r="H45" s="55" t="n">
        <x:v>0.35</x:v>
      </x:c>
      <x:c r="I45" s="51" t="str"/>
      <x:c r="J45" s="72" t="str"/>
      <x:c r="K45" s="72" t="str"/>
      <x:c r="L45" s="72" t="str"/>
      <x:c r="M45" s="72" t="str"/>
      <x:c r="N45" s="72" t="str"/>
      <x:c r="O45" s="72" t="str"/>
      <x:c r="P45" s="72" t="str">
        <x:v>Available</x:v>
      </x:c>
      <x:c r="Q45" s="72" t="n">
        <x:v>0</x:v>
      </x:c>
      <x:c r="R45" s="55" t="str">
        <x:f>IF($D45="","",ROUND(MAX(0,MIN(100,0.35*$J45+0.2*$K45+0.15*$L45+0.15*$M45+0.1*$N45+0.05*$O45-IF(OR($P45="Out",$P45="Suspended"),$Q45,IF($P45="Doubtful",$Q45*0.5,IF($P45="Limited",$Q45*0.25,0))))),2))</x:f>
      </x:c>
      <x:c r="S45" s="55" t="n">
        <x:f>IF($D45="",0,ROUND(IF(OR($P45="Out",$P45="Suspended"),$Q45*$H45,IF($P45="Doubtful",$Q45*$H45*0.5,IF($P45="Limited",$Q45*$H45*0.25,0))),2))</x:f>
        <x:v>0</x:v>
      </x:c>
      <x:c r="T45" s="55" t="str"/>
      <x:c r="U45" s="51" t="str"/>
    </x:row>
    <x:row r="46">
      <x:c r="A46" s="51" t="str">
        <x:v>Mexico</x:v>
      </x:c>
      <x:c r="B46" s="51" t="str">
        <x:v>A</x:v>
      </x:c>
      <x:c r="C46" s="51" t="n">
        <x:v>16</x:v>
      </x:c>
      <x:c r="D46" s="71" t="str"/>
      <x:c r="E46" s="51" t="str">
        <x:v>AM</x:v>
      </x:c>
      <x:c r="F46" s="51" t="str">
        <x:v>Attack</x:v>
      </x:c>
      <x:c r="G46" s="51" t="str">
        <x:v>Rotation</x:v>
      </x:c>
      <x:c r="H46" s="55" t="n">
        <x:v>0.35</x:v>
      </x:c>
      <x:c r="I46" s="51" t="str"/>
      <x:c r="J46" s="72" t="str"/>
      <x:c r="K46" s="72" t="str"/>
      <x:c r="L46" s="72" t="str"/>
      <x:c r="M46" s="72" t="str"/>
      <x:c r="N46" s="72" t="str"/>
      <x:c r="O46" s="72" t="str"/>
      <x:c r="P46" s="72" t="str">
        <x:v>Available</x:v>
      </x:c>
      <x:c r="Q46" s="72" t="n">
        <x:v>0</x:v>
      </x:c>
      <x:c r="R46" s="55" t="str">
        <x:f>IF($D46="","",ROUND(MAX(0,MIN(100,0.35*$J46+0.2*$K46+0.15*$L46+0.15*$M46+0.1*$N46+0.05*$O46-IF(OR($P46="Out",$P46="Suspended"),$Q46,IF($P46="Doubtful",$Q46*0.5,IF($P46="Limited",$Q46*0.25,0))))),2))</x:f>
      </x:c>
      <x:c r="S46" s="55" t="n">
        <x:f>IF($D46="",0,ROUND(IF(OR($P46="Out",$P46="Suspended"),$Q46*$H46,IF($P46="Doubtful",$Q46*$H46*0.5,IF($P46="Limited",$Q46*$H46*0.25,0))),2))</x:f>
        <x:v>0</x:v>
      </x:c>
      <x:c r="T46" s="55" t="str"/>
      <x:c r="U46" s="51" t="str"/>
    </x:row>
    <x:row r="47">
      <x:c r="A47" s="51" t="str">
        <x:v>Mexico</x:v>
      </x:c>
      <x:c r="B47" s="51" t="str">
        <x:v>A</x:v>
      </x:c>
      <x:c r="C47" s="51" t="n">
        <x:v>17</x:v>
      </x:c>
      <x:c r="D47" s="71" t="str"/>
      <x:c r="E47" s="51" t="str">
        <x:v>AM</x:v>
      </x:c>
      <x:c r="F47" s="51" t="str">
        <x:v>Attack</x:v>
      </x:c>
      <x:c r="G47" s="51" t="str">
        <x:v>Rotation</x:v>
      </x:c>
      <x:c r="H47" s="55" t="n">
        <x:v>0.35</x:v>
      </x:c>
      <x:c r="I47" s="51" t="str"/>
      <x:c r="J47" s="72" t="str"/>
      <x:c r="K47" s="72" t="str"/>
      <x:c r="L47" s="72" t="str"/>
      <x:c r="M47" s="72" t="str"/>
      <x:c r="N47" s="72" t="str"/>
      <x:c r="O47" s="72" t="str"/>
      <x:c r="P47" s="72" t="str">
        <x:v>Available</x:v>
      </x:c>
      <x:c r="Q47" s="72" t="n">
        <x:v>0</x:v>
      </x:c>
      <x:c r="R47" s="55" t="str">
        <x:f>IF($D47="","",ROUND(MAX(0,MIN(100,0.35*$J47+0.2*$K47+0.15*$L47+0.15*$M47+0.1*$N47+0.05*$O47-IF(OR($P47="Out",$P47="Suspended"),$Q47,IF($P47="Doubtful",$Q47*0.5,IF($P47="Limited",$Q47*0.25,0))))),2))</x:f>
      </x:c>
      <x:c r="S47" s="55" t="n">
        <x:f>IF($D47="",0,ROUND(IF(OR($P47="Out",$P47="Suspended"),$Q47*$H47,IF($P47="Doubtful",$Q47*$H47*0.5,IF($P47="Limited",$Q47*$H47*0.25,0))),2))</x:f>
        <x:v>0</x:v>
      </x:c>
      <x:c r="T47" s="55" t="str"/>
      <x:c r="U47" s="51" t="str"/>
    </x:row>
    <x:row r="48">
      <x:c r="A48" s="51" t="str">
        <x:v>Mexico</x:v>
      </x:c>
      <x:c r="B48" s="51" t="str">
        <x:v>A</x:v>
      </x:c>
      <x:c r="C48" s="51" t="n">
        <x:v>18</x:v>
      </x:c>
      <x:c r="D48" s="71" t="str"/>
      <x:c r="E48" s="51" t="str">
        <x:v>AM</x:v>
      </x:c>
      <x:c r="F48" s="51" t="str">
        <x:v>Attack</x:v>
      </x:c>
      <x:c r="G48" s="51" t="str">
        <x:v>Rotation</x:v>
      </x:c>
      <x:c r="H48" s="55" t="n">
        <x:v>0.35</x:v>
      </x:c>
      <x:c r="I48" s="51" t="str"/>
      <x:c r="J48" s="72" t="str"/>
      <x:c r="K48" s="72" t="str"/>
      <x:c r="L48" s="72" t="str"/>
      <x:c r="M48" s="72" t="str"/>
      <x:c r="N48" s="72" t="str"/>
      <x:c r="O48" s="72" t="str"/>
      <x:c r="P48" s="72" t="str">
        <x:v>Available</x:v>
      </x:c>
      <x:c r="Q48" s="72" t="n">
        <x:v>0</x:v>
      </x:c>
      <x:c r="R48" s="55" t="str">
        <x:f>IF($D48="","",ROUND(MAX(0,MIN(100,0.35*$J48+0.2*$K48+0.15*$L48+0.15*$M48+0.1*$N48+0.05*$O48-IF(OR($P48="Out",$P48="Suspended"),$Q48,IF($P48="Doubtful",$Q48*0.5,IF($P48="Limited",$Q48*0.25,0))))),2))</x:f>
      </x:c>
      <x:c r="S48" s="55" t="n">
        <x:f>IF($D48="",0,ROUND(IF(OR($P48="Out",$P48="Suspended"),$Q48*$H48,IF($P48="Doubtful",$Q48*$H48*0.5,IF($P48="Limited",$Q48*$H48*0.25,0))),2))</x:f>
        <x:v>0</x:v>
      </x:c>
      <x:c r="T48" s="55" t="str"/>
      <x:c r="U48" s="51" t="str"/>
    </x:row>
    <x:row r="49">
      <x:c r="A49" s="51" t="str">
        <x:v>Mexico</x:v>
      </x:c>
      <x:c r="B49" s="51" t="str">
        <x:v>A</x:v>
      </x:c>
      <x:c r="C49" s="51" t="n">
        <x:v>19</x:v>
      </x:c>
      <x:c r="D49" s="71" t="str"/>
      <x:c r="E49" s="51" t="str">
        <x:v>AM</x:v>
      </x:c>
      <x:c r="F49" s="51" t="str">
        <x:v>Attack</x:v>
      </x:c>
      <x:c r="G49" s="51" t="str">
        <x:v>Rotation</x:v>
      </x:c>
      <x:c r="H49" s="55" t="n">
        <x:v>0.35</x:v>
      </x:c>
      <x:c r="I49" s="51" t="str"/>
      <x:c r="J49" s="72" t="str"/>
      <x:c r="K49" s="72" t="str"/>
      <x:c r="L49" s="72" t="str"/>
      <x:c r="M49" s="72" t="str"/>
      <x:c r="N49" s="72" t="str"/>
      <x:c r="O49" s="72" t="str"/>
      <x:c r="P49" s="72" t="str">
        <x:v>Available</x:v>
      </x:c>
      <x:c r="Q49" s="72" t="n">
        <x:v>0</x:v>
      </x:c>
      <x:c r="R49" s="55" t="str">
        <x:f>IF($D49="","",ROUND(MAX(0,MIN(100,0.35*$J49+0.2*$K49+0.15*$L49+0.15*$M49+0.1*$N49+0.05*$O49-IF(OR($P49="Out",$P49="Suspended"),$Q49,IF($P49="Doubtful",$Q49*0.5,IF($P49="Limited",$Q49*0.25,0))))),2))</x:f>
      </x:c>
      <x:c r="S49" s="55" t="n">
        <x:f>IF($D49="",0,ROUND(IF(OR($P49="Out",$P49="Suspended"),$Q49*$H49,IF($P49="Doubtful",$Q49*$H49*0.5,IF($P49="Limited",$Q49*$H49*0.25,0))),2))</x:f>
        <x:v>0</x:v>
      </x:c>
      <x:c r="T49" s="55" t="str"/>
      <x:c r="U49" s="51" t="str"/>
    </x:row>
    <x:row r="50">
      <x:c r="A50" s="51" t="str">
        <x:v>Mexico</x:v>
      </x:c>
      <x:c r="B50" s="51" t="str">
        <x:v>A</x:v>
      </x:c>
      <x:c r="C50" s="51" t="n">
        <x:v>20</x:v>
      </x:c>
      <x:c r="D50" s="71" t="str"/>
      <x:c r="E50" s="51" t="str">
        <x:v>Winger</x:v>
      </x:c>
      <x:c r="F50" s="51" t="str">
        <x:v>Attack</x:v>
      </x:c>
      <x:c r="G50" s="51" t="str">
        <x:v>Rotation</x:v>
      </x:c>
      <x:c r="H50" s="55" t="n">
        <x:v>0.35</x:v>
      </x:c>
      <x:c r="I50" s="51" t="str"/>
      <x:c r="J50" s="72" t="str"/>
      <x:c r="K50" s="72" t="str"/>
      <x:c r="L50" s="72" t="str"/>
      <x:c r="M50" s="72" t="str"/>
      <x:c r="N50" s="72" t="str"/>
      <x:c r="O50" s="72" t="str"/>
      <x:c r="P50" s="72" t="str">
        <x:v>Available</x:v>
      </x:c>
      <x:c r="Q50" s="72" t="n">
        <x:v>0</x:v>
      </x:c>
      <x:c r="R50" s="55" t="str">
        <x:f>IF($D50="","",ROUND(MAX(0,MIN(100,0.35*$J50+0.2*$K50+0.15*$L50+0.15*$M50+0.1*$N50+0.05*$O50-IF(OR($P50="Out",$P50="Suspended"),$Q50,IF($P50="Doubtful",$Q50*0.5,IF($P50="Limited",$Q50*0.25,0))))),2))</x:f>
      </x:c>
      <x:c r="S50" s="55" t="n">
        <x:f>IF($D50="",0,ROUND(IF(OR($P50="Out",$P50="Suspended"),$Q50*$H50,IF($P50="Doubtful",$Q50*$H50*0.5,IF($P50="Limited",$Q50*$H50*0.25,0))),2))</x:f>
        <x:v>0</x:v>
      </x:c>
      <x:c r="T50" s="55" t="str"/>
      <x:c r="U50" s="51" t="str"/>
    </x:row>
    <x:row r="51">
      <x:c r="A51" s="51" t="str">
        <x:v>Mexico</x:v>
      </x:c>
      <x:c r="B51" s="51" t="str">
        <x:v>A</x:v>
      </x:c>
      <x:c r="C51" s="51" t="n">
        <x:v>21</x:v>
      </x:c>
      <x:c r="D51" s="71" t="str"/>
      <x:c r="E51" s="51" t="str">
        <x:v>Winger</x:v>
      </x:c>
      <x:c r="F51" s="51" t="str">
        <x:v>Attack</x:v>
      </x:c>
      <x:c r="G51" s="51" t="str">
        <x:v>Depth</x:v>
      </x:c>
      <x:c r="H51" s="55" t="n">
        <x:v>0.1</x:v>
      </x:c>
      <x:c r="I51" s="51" t="str"/>
      <x:c r="J51" s="72" t="str"/>
      <x:c r="K51" s="72" t="str"/>
      <x:c r="L51" s="72" t="str"/>
      <x:c r="M51" s="72" t="str"/>
      <x:c r="N51" s="72" t="str"/>
      <x:c r="O51" s="72" t="str"/>
      <x:c r="P51" s="72" t="str">
        <x:v>Available</x:v>
      </x:c>
      <x:c r="Q51" s="72" t="n">
        <x:v>0</x:v>
      </x:c>
      <x:c r="R51" s="55" t="str">
        <x:f>IF($D51="","",ROUND(MAX(0,MIN(100,0.35*$J51+0.2*$K51+0.15*$L51+0.15*$M51+0.1*$N51+0.05*$O51-IF(OR($P51="Out",$P51="Suspended"),$Q51,IF($P51="Doubtful",$Q51*0.5,IF($P51="Limited",$Q51*0.25,0))))),2))</x:f>
      </x:c>
      <x:c r="S51" s="55" t="n">
        <x:f>IF($D51="",0,ROUND(IF(OR($P51="Out",$P51="Suspended"),$Q51*$H51,IF($P51="Doubtful",$Q51*$H51*0.5,IF($P51="Limited",$Q51*$H51*0.25,0))),2))</x:f>
        <x:v>0</x:v>
      </x:c>
      <x:c r="T51" s="55" t="str"/>
      <x:c r="U51" s="51" t="str"/>
    </x:row>
    <x:row r="52">
      <x:c r="A52" s="51" t="str">
        <x:v>Mexico</x:v>
      </x:c>
      <x:c r="B52" s="51" t="str">
        <x:v>A</x:v>
      </x:c>
      <x:c r="C52" s="51" t="n">
        <x:v>22</x:v>
      </x:c>
      <x:c r="D52" s="71" t="str"/>
      <x:c r="E52" s="51" t="str">
        <x:v>Winger</x:v>
      </x:c>
      <x:c r="F52" s="51" t="str">
        <x:v>Attack</x:v>
      </x:c>
      <x:c r="G52" s="51" t="str">
        <x:v>Depth</x:v>
      </x:c>
      <x:c r="H52" s="55" t="n">
        <x:v>0.1</x:v>
      </x:c>
      <x:c r="I52" s="51" t="str"/>
      <x:c r="J52" s="72" t="str"/>
      <x:c r="K52" s="72" t="str"/>
      <x:c r="L52" s="72" t="str"/>
      <x:c r="M52" s="72" t="str"/>
      <x:c r="N52" s="72" t="str"/>
      <x:c r="O52" s="72" t="str"/>
      <x:c r="P52" s="72" t="str">
        <x:v>Available</x:v>
      </x:c>
      <x:c r="Q52" s="72" t="n">
        <x:v>0</x:v>
      </x:c>
      <x:c r="R52" s="55" t="str">
        <x:f>IF($D52="","",ROUND(MAX(0,MIN(100,0.35*$J52+0.2*$K52+0.15*$L52+0.15*$M52+0.1*$N52+0.05*$O52-IF(OR($P52="Out",$P52="Suspended"),$Q52,IF($P52="Doubtful",$Q52*0.5,IF($P52="Limited",$Q52*0.25,0))))),2))</x:f>
      </x:c>
      <x:c r="S52" s="55" t="n">
        <x:f>IF($D52="",0,ROUND(IF(OR($P52="Out",$P52="Suspended"),$Q52*$H52,IF($P52="Doubtful",$Q52*$H52*0.5,IF($P52="Limited",$Q52*$H52*0.25,0))),2))</x:f>
        <x:v>0</x:v>
      </x:c>
      <x:c r="T52" s="55" t="str"/>
      <x:c r="U52" s="51" t="str"/>
    </x:row>
    <x:row r="53">
      <x:c r="A53" s="51" t="str">
        <x:v>Mexico</x:v>
      </x:c>
      <x:c r="B53" s="51" t="str">
        <x:v>A</x:v>
      </x:c>
      <x:c r="C53" s="51" t="n">
        <x:v>23</x:v>
      </x:c>
      <x:c r="D53" s="71" t="str"/>
      <x:c r="E53" s="51" t="str">
        <x:v>Winger</x:v>
      </x:c>
      <x:c r="F53" s="51" t="str">
        <x:v>Attack</x:v>
      </x:c>
      <x:c r="G53" s="51" t="str">
        <x:v>Depth</x:v>
      </x:c>
      <x:c r="H53" s="55" t="n">
        <x:v>0.1</x:v>
      </x:c>
      <x:c r="I53" s="51" t="str"/>
      <x:c r="J53" s="72" t="str"/>
      <x:c r="K53" s="72" t="str"/>
      <x:c r="L53" s="72" t="str"/>
      <x:c r="M53" s="72" t="str"/>
      <x:c r="N53" s="72" t="str"/>
      <x:c r="O53" s="72" t="str"/>
      <x:c r="P53" s="72" t="str">
        <x:v>Available</x:v>
      </x:c>
      <x:c r="Q53" s="72" t="n">
        <x:v>0</x:v>
      </x:c>
      <x:c r="R53" s="55" t="str">
        <x:f>IF($D53="","",ROUND(MAX(0,MIN(100,0.35*$J53+0.2*$K53+0.15*$L53+0.15*$M53+0.1*$N53+0.05*$O53-IF(OR($P53="Out",$P53="Suspended"),$Q53,IF($P53="Doubtful",$Q53*0.5,IF($P53="Limited",$Q53*0.25,0))))),2))</x:f>
      </x:c>
      <x:c r="S53" s="55" t="n">
        <x:f>IF($D53="",0,ROUND(IF(OR($P53="Out",$P53="Suspended"),$Q53*$H53,IF($P53="Doubtful",$Q53*$H53*0.5,IF($P53="Limited",$Q53*$H53*0.25,0))),2))</x:f>
        <x:v>0</x:v>
      </x:c>
      <x:c r="T53" s="55" t="str"/>
      <x:c r="U53" s="51" t="str"/>
    </x:row>
    <x:row r="54">
      <x:c r="A54" s="51" t="str">
        <x:v>Mexico</x:v>
      </x:c>
      <x:c r="B54" s="51" t="str">
        <x:v>A</x:v>
      </x:c>
      <x:c r="C54" s="51" t="n">
        <x:v>24</x:v>
      </x:c>
      <x:c r="D54" s="71" t="str"/>
      <x:c r="E54" s="51" t="str">
        <x:v>ST</x:v>
      </x:c>
      <x:c r="F54" s="51" t="str">
        <x:v>Attack</x:v>
      </x:c>
      <x:c r="G54" s="51" t="str">
        <x:v>Depth</x:v>
      </x:c>
      <x:c r="H54" s="55" t="n">
        <x:v>0.1</x:v>
      </x:c>
      <x:c r="I54" s="51" t="str"/>
      <x:c r="J54" s="72" t="str"/>
      <x:c r="K54" s="72" t="str"/>
      <x:c r="L54" s="72" t="str"/>
      <x:c r="M54" s="72" t="str"/>
      <x:c r="N54" s="72" t="str"/>
      <x:c r="O54" s="72" t="str"/>
      <x:c r="P54" s="72" t="str">
        <x:v>Available</x:v>
      </x:c>
      <x:c r="Q54" s="72" t="n">
        <x:v>0</x:v>
      </x:c>
      <x:c r="R54" s="55" t="str">
        <x:f>IF($D54="","",ROUND(MAX(0,MIN(100,0.35*$J54+0.2*$K54+0.15*$L54+0.15*$M54+0.1*$N54+0.05*$O54-IF(OR($P54="Out",$P54="Suspended"),$Q54,IF($P54="Doubtful",$Q54*0.5,IF($P54="Limited",$Q54*0.25,0))))),2))</x:f>
      </x:c>
      <x:c r="S54" s="55" t="n">
        <x:f>IF($D54="",0,ROUND(IF(OR($P54="Out",$P54="Suspended"),$Q54*$H54,IF($P54="Doubtful",$Q54*$H54*0.5,IF($P54="Limited",$Q54*$H54*0.25,0))),2))</x:f>
        <x:v>0</x:v>
      </x:c>
      <x:c r="T54" s="55" t="str"/>
      <x:c r="U54" s="51" t="str"/>
    </x:row>
    <x:row r="55">
      <x:c r="A55" s="51" t="str">
        <x:v>Mexico</x:v>
      </x:c>
      <x:c r="B55" s="51" t="str">
        <x:v>A</x:v>
      </x:c>
      <x:c r="C55" s="51" t="n">
        <x:v>25</x:v>
      </x:c>
      <x:c r="D55" s="71" t="str"/>
      <x:c r="E55" s="51" t="str">
        <x:v>ST</x:v>
      </x:c>
      <x:c r="F55" s="51" t="str">
        <x:v>Attack</x:v>
      </x:c>
      <x:c r="G55" s="51" t="str">
        <x:v>Depth</x:v>
      </x:c>
      <x:c r="H55" s="55" t="n">
        <x:v>0.1</x:v>
      </x:c>
      <x:c r="I55" s="51" t="str"/>
      <x:c r="J55" s="72" t="str"/>
      <x:c r="K55" s="72" t="str"/>
      <x:c r="L55" s="72" t="str"/>
      <x:c r="M55" s="72" t="str"/>
      <x:c r="N55" s="72" t="str"/>
      <x:c r="O55" s="72" t="str"/>
      <x:c r="P55" s="72" t="str">
        <x:v>Available</x:v>
      </x:c>
      <x:c r="Q55" s="72" t="n">
        <x:v>0</x:v>
      </x:c>
      <x:c r="R55" s="55" t="str">
        <x:f>IF($D55="","",ROUND(MAX(0,MIN(100,0.35*$J55+0.2*$K55+0.15*$L55+0.15*$M55+0.1*$N55+0.05*$O55-IF(OR($P55="Out",$P55="Suspended"),$Q55,IF($P55="Doubtful",$Q55*0.5,IF($P55="Limited",$Q55*0.25,0))))),2))</x:f>
      </x:c>
      <x:c r="S55" s="55" t="n">
        <x:f>IF($D55="",0,ROUND(IF(OR($P55="Out",$P55="Suspended"),$Q55*$H55,IF($P55="Doubtful",$Q55*$H55*0.5,IF($P55="Limited",$Q55*$H55*0.25,0))),2))</x:f>
        <x:v>0</x:v>
      </x:c>
      <x:c r="T55" s="55" t="str"/>
      <x:c r="U55" s="51" t="str"/>
    </x:row>
    <x:row r="56">
      <x:c r="A56" s="51" t="str">
        <x:v>Mexico</x:v>
      </x:c>
      <x:c r="B56" s="51" t="str">
        <x:v>A</x:v>
      </x:c>
      <x:c r="C56" s="51" t="n">
        <x:v>26</x:v>
      </x:c>
      <x:c r="D56" s="71" t="str"/>
      <x:c r="E56" s="51" t="str">
        <x:v>ST</x:v>
      </x:c>
      <x:c r="F56" s="51" t="str">
        <x:v>Attack</x:v>
      </x:c>
      <x:c r="G56" s="51" t="str">
        <x:v>Depth</x:v>
      </x:c>
      <x:c r="H56" s="55" t="n">
        <x:v>0.1</x:v>
      </x:c>
      <x:c r="I56" s="51" t="str"/>
      <x:c r="J56" s="72" t="str"/>
      <x:c r="K56" s="72" t="str"/>
      <x:c r="L56" s="72" t="str"/>
      <x:c r="M56" s="72" t="str"/>
      <x:c r="N56" s="72" t="str"/>
      <x:c r="O56" s="72" t="str"/>
      <x:c r="P56" s="72" t="str">
        <x:v>Available</x:v>
      </x:c>
      <x:c r="Q56" s="72" t="n">
        <x:v>0</x:v>
      </x:c>
      <x:c r="R56" s="55" t="str">
        <x:f>IF($D56="","",ROUND(MAX(0,MIN(100,0.35*$J56+0.2*$K56+0.15*$L56+0.15*$M56+0.1*$N56+0.05*$O56-IF(OR($P56="Out",$P56="Suspended"),$Q56,IF($P56="Doubtful",$Q56*0.5,IF($P56="Limited",$Q56*0.25,0))))),2))</x:f>
      </x:c>
      <x:c r="S56" s="55" t="n">
        <x:f>IF($D56="",0,ROUND(IF(OR($P56="Out",$P56="Suspended"),$Q56*$H56,IF($P56="Doubtful",$Q56*$H56*0.5,IF($P56="Limited",$Q56*$H56*0.25,0))),2))</x:f>
        <x:v>0</x:v>
      </x:c>
      <x:c r="T56" s="55" t="str"/>
      <x:c r="U56" s="51" t="str"/>
    </x:row>
    <x:row r="57">
      <x:c r="A57" s="51" t="str">
        <x:v>South Africa</x:v>
      </x:c>
      <x:c r="B57" s="51" t="str">
        <x:v>A</x:v>
      </x:c>
      <x:c r="C57" s="51" t="n">
        <x:v>1</x:v>
      </x:c>
      <x:c r="D57" s="71" t="str"/>
      <x:c r="E57" s="51" t="str">
        <x:v>GK</x:v>
      </x:c>
      <x:c r="F57" s="51" t="str">
        <x:v>GK</x:v>
      </x:c>
      <x:c r="G57" s="51" t="str">
        <x:v>Starter</x:v>
      </x:c>
      <x:c r="H57" s="55" t="n">
        <x:v>1</x:v>
      </x:c>
      <x:c r="I57" s="51" t="str"/>
      <x:c r="J57" s="72" t="str"/>
      <x:c r="K57" s="72" t="str"/>
      <x:c r="L57" s="72" t="str"/>
      <x:c r="M57" s="72" t="str"/>
      <x:c r="N57" s="72" t="str"/>
      <x:c r="O57" s="72" t="str"/>
      <x:c r="P57" s="72" t="str">
        <x:v>Available</x:v>
      </x:c>
      <x:c r="Q57" s="72" t="n">
        <x:v>0</x:v>
      </x:c>
      <x:c r="R57" s="55" t="str">
        <x:f>IF($D57="","",ROUND(MAX(0,MIN(100,0.35*$J57+0.2*$K57+0.15*$L57+0.15*$M57+0.1*$N57+0.05*$O57-IF(OR($P57="Out",$P57="Suspended"),$Q57,IF($P57="Doubtful",$Q57*0.5,IF($P57="Limited",$Q57*0.25,0))))),2))</x:f>
      </x:c>
      <x:c r="S57" s="55" t="n">
        <x:f>IF($D57="",0,ROUND(IF(OR($P57="Out",$P57="Suspended"),$Q57*$H57,IF($P57="Doubtful",$Q57*$H57*0.5,IF($P57="Limited",$Q57*$H57*0.25,0))),2))</x:f>
        <x:v>0</x:v>
      </x:c>
      <x:c r="T57" s="55" t="str"/>
      <x:c r="U57" s="51" t="str"/>
    </x:row>
    <x:row r="58">
      <x:c r="A58" s="51" t="str">
        <x:v>South Africa</x:v>
      </x:c>
      <x:c r="B58" s="51" t="str">
        <x:v>A</x:v>
      </x:c>
      <x:c r="C58" s="51" t="n">
        <x:v>2</x:v>
      </x:c>
      <x:c r="D58" s="71" t="str"/>
      <x:c r="E58" s="51" t="str">
        <x:v>GK</x:v>
      </x:c>
      <x:c r="F58" s="51" t="str">
        <x:v>GK</x:v>
      </x:c>
      <x:c r="G58" s="51" t="str">
        <x:v>Starter</x:v>
      </x:c>
      <x:c r="H58" s="55" t="n">
        <x:v>1</x:v>
      </x:c>
      <x:c r="I58" s="51" t="str"/>
      <x:c r="J58" s="72" t="str"/>
      <x:c r="K58" s="72" t="str"/>
      <x:c r="L58" s="72" t="str"/>
      <x:c r="M58" s="72" t="str"/>
      <x:c r="N58" s="72" t="str"/>
      <x:c r="O58" s="72" t="str"/>
      <x:c r="P58" s="72" t="str">
        <x:v>Available</x:v>
      </x:c>
      <x:c r="Q58" s="72" t="n">
        <x:v>0</x:v>
      </x:c>
      <x:c r="R58" s="55" t="str">
        <x:f>IF($D58="","",ROUND(MAX(0,MIN(100,0.35*$J58+0.2*$K58+0.15*$L58+0.15*$M58+0.1*$N58+0.05*$O58-IF(OR($P58="Out",$P58="Suspended"),$Q58,IF($P58="Doubtful",$Q58*0.5,IF($P58="Limited",$Q58*0.25,0))))),2))</x:f>
      </x:c>
      <x:c r="S58" s="55" t="n">
        <x:f>IF($D58="",0,ROUND(IF(OR($P58="Out",$P58="Suspended"),$Q58*$H58,IF($P58="Doubtful",$Q58*$H58*0.5,IF($P58="Limited",$Q58*$H58*0.25,0))),2))</x:f>
        <x:v>0</x:v>
      </x:c>
      <x:c r="T58" s="55" t="str"/>
      <x:c r="U58" s="51" t="str"/>
    </x:row>
    <x:row r="59">
      <x:c r="A59" s="51" t="str">
        <x:v>South Africa</x:v>
      </x:c>
      <x:c r="B59" s="51" t="str">
        <x:v>A</x:v>
      </x:c>
      <x:c r="C59" s="51" t="n">
        <x:v>3</x:v>
      </x:c>
      <x:c r="D59" s="71" t="str"/>
      <x:c r="E59" s="51" t="str">
        <x:v>GK</x:v>
      </x:c>
      <x:c r="F59" s="51" t="str">
        <x:v>GK</x:v>
      </x:c>
      <x:c r="G59" s="51" t="str">
        <x:v>Starter</x:v>
      </x:c>
      <x:c r="H59" s="55" t="n">
        <x:v>1</x:v>
      </x:c>
      <x:c r="I59" s="51" t="str"/>
      <x:c r="J59" s="72" t="str"/>
      <x:c r="K59" s="72" t="str"/>
      <x:c r="L59" s="72" t="str"/>
      <x:c r="M59" s="72" t="str"/>
      <x:c r="N59" s="72" t="str"/>
      <x:c r="O59" s="72" t="str"/>
      <x:c r="P59" s="72" t="str">
        <x:v>Available</x:v>
      </x:c>
      <x:c r="Q59" s="72" t="n">
        <x:v>0</x:v>
      </x:c>
      <x:c r="R59" s="55" t="str">
        <x:f>IF($D59="","",ROUND(MAX(0,MIN(100,0.35*$J59+0.2*$K59+0.15*$L59+0.15*$M59+0.1*$N59+0.05*$O59-IF(OR($P59="Out",$P59="Suspended"),$Q59,IF($P59="Doubtful",$Q59*0.5,IF($P59="Limited",$Q59*0.25,0))))),2))</x:f>
      </x:c>
      <x:c r="S59" s="55" t="n">
        <x:f>IF($D59="",0,ROUND(IF(OR($P59="Out",$P59="Suspended"),$Q59*$H59,IF($P59="Doubtful",$Q59*$H59*0.5,IF($P59="Limited",$Q59*$H59*0.25,0))),2))</x:f>
        <x:v>0</x:v>
      </x:c>
      <x:c r="T59" s="55" t="str"/>
      <x:c r="U59" s="51" t="str"/>
    </x:row>
    <x:row r="60">
      <x:c r="A60" s="51" t="str">
        <x:v>South Africa</x:v>
      </x:c>
      <x:c r="B60" s="51" t="str">
        <x:v>A</x:v>
      </x:c>
      <x:c r="C60" s="51" t="n">
        <x:v>4</x:v>
      </x:c>
      <x:c r="D60" s="71" t="str"/>
      <x:c r="E60" s="51" t="str">
        <x:v>CB</x:v>
      </x:c>
      <x:c r="F60" s="51" t="str">
        <x:v>Defence</x:v>
      </x:c>
      <x:c r="G60" s="51" t="str">
        <x:v>Starter</x:v>
      </x:c>
      <x:c r="H60" s="55" t="n">
        <x:v>1</x:v>
      </x:c>
      <x:c r="I60" s="51" t="str"/>
      <x:c r="J60" s="72" t="str"/>
      <x:c r="K60" s="72" t="str"/>
      <x:c r="L60" s="72" t="str"/>
      <x:c r="M60" s="72" t="str"/>
      <x:c r="N60" s="72" t="str"/>
      <x:c r="O60" s="72" t="str"/>
      <x:c r="P60" s="72" t="str">
        <x:v>Available</x:v>
      </x:c>
      <x:c r="Q60" s="72" t="n">
        <x:v>0</x:v>
      </x:c>
      <x:c r="R60" s="55" t="str">
        <x:f>IF($D60="","",ROUND(MAX(0,MIN(100,0.35*$J60+0.2*$K60+0.15*$L60+0.15*$M60+0.1*$N60+0.05*$O60-IF(OR($P60="Out",$P60="Suspended"),$Q60,IF($P60="Doubtful",$Q60*0.5,IF($P60="Limited",$Q60*0.25,0))))),2))</x:f>
      </x:c>
      <x:c r="S60" s="55" t="n">
        <x:f>IF($D60="",0,ROUND(IF(OR($P60="Out",$P60="Suspended"),$Q60*$H60,IF($P60="Doubtful",$Q60*$H60*0.5,IF($P60="Limited",$Q60*$H60*0.25,0))),2))</x:f>
        <x:v>0</x:v>
      </x:c>
      <x:c r="T60" s="55" t="str"/>
      <x:c r="U60" s="51" t="str"/>
    </x:row>
    <x:row r="61">
      <x:c r="A61" s="51" t="str">
        <x:v>South Africa</x:v>
      </x:c>
      <x:c r="B61" s="51" t="str">
        <x:v>A</x:v>
      </x:c>
      <x:c r="C61" s="51" t="n">
        <x:v>5</x:v>
      </x:c>
      <x:c r="D61" s="71" t="str"/>
      <x:c r="E61" s="51" t="str">
        <x:v>CB</x:v>
      </x:c>
      <x:c r="F61" s="51" t="str">
        <x:v>Defence</x:v>
      </x:c>
      <x:c r="G61" s="51" t="str">
        <x:v>Starter</x:v>
      </x:c>
      <x:c r="H61" s="55" t="n">
        <x:v>1</x:v>
      </x:c>
      <x:c r="I61" s="51" t="str"/>
      <x:c r="J61" s="72" t="str"/>
      <x:c r="K61" s="72" t="str"/>
      <x:c r="L61" s="72" t="str"/>
      <x:c r="M61" s="72" t="str"/>
      <x:c r="N61" s="72" t="str"/>
      <x:c r="O61" s="72" t="str"/>
      <x:c r="P61" s="72" t="str">
        <x:v>Available</x:v>
      </x:c>
      <x:c r="Q61" s="72" t="n">
        <x:v>0</x:v>
      </x:c>
      <x:c r="R61" s="55" t="str">
        <x:f>IF($D61="","",ROUND(MAX(0,MIN(100,0.35*$J61+0.2*$K61+0.15*$L61+0.15*$M61+0.1*$N61+0.05*$O61-IF(OR($P61="Out",$P61="Suspended"),$Q61,IF($P61="Doubtful",$Q61*0.5,IF($P61="Limited",$Q61*0.25,0))))),2))</x:f>
      </x:c>
      <x:c r="S61" s="55" t="n">
        <x:f>IF($D61="",0,ROUND(IF(OR($P61="Out",$P61="Suspended"),$Q61*$H61,IF($P61="Doubtful",$Q61*$H61*0.5,IF($P61="Limited",$Q61*$H61*0.25,0))),2))</x:f>
        <x:v>0</x:v>
      </x:c>
      <x:c r="T61" s="55" t="str"/>
      <x:c r="U61" s="51" t="str"/>
    </x:row>
    <x:row r="62">
      <x:c r="A62" s="51" t="str">
        <x:v>South Africa</x:v>
      </x:c>
      <x:c r="B62" s="51" t="str">
        <x:v>A</x:v>
      </x:c>
      <x:c r="C62" s="51" t="n">
        <x:v>6</x:v>
      </x:c>
      <x:c r="D62" s="71" t="str"/>
      <x:c r="E62" s="51" t="str">
        <x:v>CB</x:v>
      </x:c>
      <x:c r="F62" s="51" t="str">
        <x:v>Defence</x:v>
      </x:c>
      <x:c r="G62" s="51" t="str">
        <x:v>Starter</x:v>
      </x:c>
      <x:c r="H62" s="55" t="n">
        <x:v>1</x:v>
      </x:c>
      <x:c r="I62" s="51" t="str"/>
      <x:c r="J62" s="72" t="str"/>
      <x:c r="K62" s="72" t="str"/>
      <x:c r="L62" s="72" t="str"/>
      <x:c r="M62" s="72" t="str"/>
      <x:c r="N62" s="72" t="str"/>
      <x:c r="O62" s="72" t="str"/>
      <x:c r="P62" s="72" t="str">
        <x:v>Available</x:v>
      </x:c>
      <x:c r="Q62" s="72" t="n">
        <x:v>0</x:v>
      </x:c>
      <x:c r="R62" s="55" t="str">
        <x:f>IF($D62="","",ROUND(MAX(0,MIN(100,0.35*$J62+0.2*$K62+0.15*$L62+0.15*$M62+0.1*$N62+0.05*$O62-IF(OR($P62="Out",$P62="Suspended"),$Q62,IF($P62="Doubtful",$Q62*0.5,IF($P62="Limited",$Q62*0.25,0))))),2))</x:f>
      </x:c>
      <x:c r="S62" s="55" t="n">
        <x:f>IF($D62="",0,ROUND(IF(OR($P62="Out",$P62="Suspended"),$Q62*$H62,IF($P62="Doubtful",$Q62*$H62*0.5,IF($P62="Limited",$Q62*$H62*0.25,0))),2))</x:f>
        <x:v>0</x:v>
      </x:c>
      <x:c r="T62" s="55" t="str"/>
      <x:c r="U62" s="51" t="str"/>
    </x:row>
    <x:row r="63">
      <x:c r="A63" s="51" t="str">
        <x:v>South Africa</x:v>
      </x:c>
      <x:c r="B63" s="51" t="str">
        <x:v>A</x:v>
      </x:c>
      <x:c r="C63" s="51" t="n">
        <x:v>7</x:v>
      </x:c>
      <x:c r="D63" s="71" t="str"/>
      <x:c r="E63" s="51" t="str">
        <x:v>FB</x:v>
      </x:c>
      <x:c r="F63" s="51" t="str">
        <x:v>Defence</x:v>
      </x:c>
      <x:c r="G63" s="51" t="str">
        <x:v>Starter</x:v>
      </x:c>
      <x:c r="H63" s="55" t="n">
        <x:v>1</x:v>
      </x:c>
      <x:c r="I63" s="51" t="str"/>
      <x:c r="J63" s="72" t="str"/>
      <x:c r="K63" s="72" t="str"/>
      <x:c r="L63" s="72" t="str"/>
      <x:c r="M63" s="72" t="str"/>
      <x:c r="N63" s="72" t="str"/>
      <x:c r="O63" s="72" t="str"/>
      <x:c r="P63" s="72" t="str">
        <x:v>Available</x:v>
      </x:c>
      <x:c r="Q63" s="72" t="n">
        <x:v>0</x:v>
      </x:c>
      <x:c r="R63" s="55" t="str">
        <x:f>IF($D63="","",ROUND(MAX(0,MIN(100,0.35*$J63+0.2*$K63+0.15*$L63+0.15*$M63+0.1*$N63+0.05*$O63-IF(OR($P63="Out",$P63="Suspended"),$Q63,IF($P63="Doubtful",$Q63*0.5,IF($P63="Limited",$Q63*0.25,0))))),2))</x:f>
      </x:c>
      <x:c r="S63" s="55" t="n">
        <x:f>IF($D63="",0,ROUND(IF(OR($P63="Out",$P63="Suspended"),$Q63*$H63,IF($P63="Doubtful",$Q63*$H63*0.5,IF($P63="Limited",$Q63*$H63*0.25,0))),2))</x:f>
        <x:v>0</x:v>
      </x:c>
      <x:c r="T63" s="55" t="str"/>
      <x:c r="U63" s="51" t="str"/>
    </x:row>
    <x:row r="64">
      <x:c r="A64" s="51" t="str">
        <x:v>South Africa</x:v>
      </x:c>
      <x:c r="B64" s="51" t="str">
        <x:v>A</x:v>
      </x:c>
      <x:c r="C64" s="51" t="n">
        <x:v>8</x:v>
      </x:c>
      <x:c r="D64" s="71" t="str"/>
      <x:c r="E64" s="51" t="str">
        <x:v>FB</x:v>
      </x:c>
      <x:c r="F64" s="51" t="str">
        <x:v>Defence</x:v>
      </x:c>
      <x:c r="G64" s="51" t="str">
        <x:v>Starter</x:v>
      </x:c>
      <x:c r="H64" s="55" t="n">
        <x:v>1</x:v>
      </x:c>
      <x:c r="I64" s="51" t="str"/>
      <x:c r="J64" s="72" t="str"/>
      <x:c r="K64" s="72" t="str"/>
      <x:c r="L64" s="72" t="str"/>
      <x:c r="M64" s="72" t="str"/>
      <x:c r="N64" s="72" t="str"/>
      <x:c r="O64" s="72" t="str"/>
      <x:c r="P64" s="72" t="str">
        <x:v>Available</x:v>
      </x:c>
      <x:c r="Q64" s="72" t="n">
        <x:v>0</x:v>
      </x:c>
      <x:c r="R64" s="55" t="str">
        <x:f>IF($D64="","",ROUND(MAX(0,MIN(100,0.35*$J64+0.2*$K64+0.15*$L64+0.15*$M64+0.1*$N64+0.05*$O64-IF(OR($P64="Out",$P64="Suspended"),$Q64,IF($P64="Doubtful",$Q64*0.5,IF($P64="Limited",$Q64*0.25,0))))),2))</x:f>
      </x:c>
      <x:c r="S64" s="55" t="n">
        <x:f>IF($D64="",0,ROUND(IF(OR($P64="Out",$P64="Suspended"),$Q64*$H64,IF($P64="Doubtful",$Q64*$H64*0.5,IF($P64="Limited",$Q64*$H64*0.25,0))),2))</x:f>
        <x:v>0</x:v>
      </x:c>
      <x:c r="T64" s="55" t="str"/>
      <x:c r="U64" s="51" t="str"/>
    </x:row>
    <x:row r="65">
      <x:c r="A65" s="51" t="str">
        <x:v>South Africa</x:v>
      </x:c>
      <x:c r="B65" s="51" t="str">
        <x:v>A</x:v>
      </x:c>
      <x:c r="C65" s="51" t="n">
        <x:v>9</x:v>
      </x:c>
      <x:c r="D65" s="71" t="str"/>
      <x:c r="E65" s="51" t="str">
        <x:v>DM</x:v>
      </x:c>
      <x:c r="F65" s="51" t="str">
        <x:v>Midfield</x:v>
      </x:c>
      <x:c r="G65" s="51" t="str">
        <x:v>Starter</x:v>
      </x:c>
      <x:c r="H65" s="55" t="n">
        <x:v>1</x:v>
      </x:c>
      <x:c r="I65" s="51" t="str"/>
      <x:c r="J65" s="72" t="str"/>
      <x:c r="K65" s="72" t="str"/>
      <x:c r="L65" s="72" t="str"/>
      <x:c r="M65" s="72" t="str"/>
      <x:c r="N65" s="72" t="str"/>
      <x:c r="O65" s="72" t="str"/>
      <x:c r="P65" s="72" t="str">
        <x:v>Available</x:v>
      </x:c>
      <x:c r="Q65" s="72" t="n">
        <x:v>0</x:v>
      </x:c>
      <x:c r="R65" s="55" t="str">
        <x:f>IF($D65="","",ROUND(MAX(0,MIN(100,0.35*$J65+0.2*$K65+0.15*$L65+0.15*$M65+0.1*$N65+0.05*$O65-IF(OR($P65="Out",$P65="Suspended"),$Q65,IF($P65="Doubtful",$Q65*0.5,IF($P65="Limited",$Q65*0.25,0))))),2))</x:f>
      </x:c>
      <x:c r="S65" s="55" t="n">
        <x:f>IF($D65="",0,ROUND(IF(OR($P65="Out",$P65="Suspended"),$Q65*$H65,IF($P65="Doubtful",$Q65*$H65*0.5,IF($P65="Limited",$Q65*$H65*0.25,0))),2))</x:f>
        <x:v>0</x:v>
      </x:c>
      <x:c r="T65" s="55" t="str"/>
      <x:c r="U65" s="51" t="str"/>
    </x:row>
    <x:row r="66">
      <x:c r="A66" s="51" t="str">
        <x:v>South Africa</x:v>
      </x:c>
      <x:c r="B66" s="51" t="str">
        <x:v>A</x:v>
      </x:c>
      <x:c r="C66" s="51" t="n">
        <x:v>10</x:v>
      </x:c>
      <x:c r="D66" s="71" t="str"/>
      <x:c r="E66" s="51" t="str">
        <x:v>DM</x:v>
      </x:c>
      <x:c r="F66" s="51" t="str">
        <x:v>Midfield</x:v>
      </x:c>
      <x:c r="G66" s="51" t="str">
        <x:v>Starter</x:v>
      </x:c>
      <x:c r="H66" s="55" t="n">
        <x:v>1</x:v>
      </x:c>
      <x:c r="I66" s="51" t="str"/>
      <x:c r="J66" s="72" t="str"/>
      <x:c r="K66" s="72" t="str"/>
      <x:c r="L66" s="72" t="str"/>
      <x:c r="M66" s="72" t="str"/>
      <x:c r="N66" s="72" t="str"/>
      <x:c r="O66" s="72" t="str"/>
      <x:c r="P66" s="72" t="str">
        <x:v>Available</x:v>
      </x:c>
      <x:c r="Q66" s="72" t="n">
        <x:v>0</x:v>
      </x:c>
      <x:c r="R66" s="55" t="str">
        <x:f>IF($D66="","",ROUND(MAX(0,MIN(100,0.35*$J66+0.2*$K66+0.15*$L66+0.15*$M66+0.1*$N66+0.05*$O66-IF(OR($P66="Out",$P66="Suspended"),$Q66,IF($P66="Doubtful",$Q66*0.5,IF($P66="Limited",$Q66*0.25,0))))),2))</x:f>
      </x:c>
      <x:c r="S66" s="55" t="n">
        <x:f>IF($D66="",0,ROUND(IF(OR($P66="Out",$P66="Suspended"),$Q66*$H66,IF($P66="Doubtful",$Q66*$H66*0.5,IF($P66="Limited",$Q66*$H66*0.25,0))),2))</x:f>
        <x:v>0</x:v>
      </x:c>
      <x:c r="T66" s="55" t="str"/>
      <x:c r="U66" s="51" t="str"/>
    </x:row>
    <x:row r="67">
      <x:c r="A67" s="51" t="str">
        <x:v>South Africa</x:v>
      </x:c>
      <x:c r="B67" s="51" t="str">
        <x:v>A</x:v>
      </x:c>
      <x:c r="C67" s="51" t="n">
        <x:v>11</x:v>
      </x:c>
      <x:c r="D67" s="71" t="str"/>
      <x:c r="E67" s="51" t="str">
        <x:v>DM</x:v>
      </x:c>
      <x:c r="F67" s="51" t="str">
        <x:v>Midfield</x:v>
      </x:c>
      <x:c r="G67" s="51" t="str">
        <x:v>Starter</x:v>
      </x:c>
      <x:c r="H67" s="55" t="n">
        <x:v>1</x:v>
      </x:c>
      <x:c r="I67" s="51" t="str"/>
      <x:c r="J67" s="72" t="str"/>
      <x:c r="K67" s="72" t="str"/>
      <x:c r="L67" s="72" t="str"/>
      <x:c r="M67" s="72" t="str"/>
      <x:c r="N67" s="72" t="str"/>
      <x:c r="O67" s="72" t="str"/>
      <x:c r="P67" s="72" t="str">
        <x:v>Available</x:v>
      </x:c>
      <x:c r="Q67" s="72" t="n">
        <x:v>0</x:v>
      </x:c>
      <x:c r="R67" s="55" t="str">
        <x:f>IF($D67="","",ROUND(MAX(0,MIN(100,0.35*$J67+0.2*$K67+0.15*$L67+0.15*$M67+0.1*$N67+0.05*$O67-IF(OR($P67="Out",$P67="Suspended"),$Q67,IF($P67="Doubtful",$Q67*0.5,IF($P67="Limited",$Q67*0.25,0))))),2))</x:f>
      </x:c>
      <x:c r="S67" s="55" t="n">
        <x:f>IF($D67="",0,ROUND(IF(OR($P67="Out",$P67="Suspended"),$Q67*$H67,IF($P67="Doubtful",$Q67*$H67*0.5,IF($P67="Limited",$Q67*$H67*0.25,0))),2))</x:f>
        <x:v>0</x:v>
      </x:c>
      <x:c r="T67" s="55" t="str"/>
      <x:c r="U67" s="51" t="str"/>
    </x:row>
    <x:row r="68">
      <x:c r="A68" s="51" t="str">
        <x:v>South Africa</x:v>
      </x:c>
      <x:c r="B68" s="51" t="str">
        <x:v>A</x:v>
      </x:c>
      <x:c r="C68" s="51" t="n">
        <x:v>12</x:v>
      </x:c>
      <x:c r="D68" s="71" t="str"/>
      <x:c r="E68" s="51" t="str">
        <x:v>CM</x:v>
      </x:c>
      <x:c r="F68" s="51" t="str">
        <x:v>Midfield</x:v>
      </x:c>
      <x:c r="G68" s="51" t="str">
        <x:v>Rotation</x:v>
      </x:c>
      <x:c r="H68" s="55" t="n">
        <x:v>0.35</x:v>
      </x:c>
      <x:c r="I68" s="51" t="str"/>
      <x:c r="J68" s="72" t="str"/>
      <x:c r="K68" s="72" t="str"/>
      <x:c r="L68" s="72" t="str"/>
      <x:c r="M68" s="72" t="str"/>
      <x:c r="N68" s="72" t="str"/>
      <x:c r="O68" s="72" t="str"/>
      <x:c r="P68" s="72" t="str">
        <x:v>Available</x:v>
      </x:c>
      <x:c r="Q68" s="72" t="n">
        <x:v>0</x:v>
      </x:c>
      <x:c r="R68" s="55" t="str">
        <x:f>IF($D68="","",ROUND(MAX(0,MIN(100,0.35*$J68+0.2*$K68+0.15*$L68+0.15*$M68+0.1*$N68+0.05*$O68-IF(OR($P68="Out",$P68="Suspended"),$Q68,IF($P68="Doubtful",$Q68*0.5,IF($P68="Limited",$Q68*0.25,0))))),2))</x:f>
      </x:c>
      <x:c r="S68" s="55" t="n">
        <x:f>IF($D68="",0,ROUND(IF(OR($P68="Out",$P68="Suspended"),$Q68*$H68,IF($P68="Doubtful",$Q68*$H68*0.5,IF($P68="Limited",$Q68*$H68*0.25,0))),2))</x:f>
        <x:v>0</x:v>
      </x:c>
      <x:c r="T68" s="55" t="str"/>
      <x:c r="U68" s="51" t="str"/>
    </x:row>
    <x:row r="69">
      <x:c r="A69" s="51" t="str">
        <x:v>South Africa</x:v>
      </x:c>
      <x:c r="B69" s="51" t="str">
        <x:v>A</x:v>
      </x:c>
      <x:c r="C69" s="51" t="n">
        <x:v>13</x:v>
      </x:c>
      <x:c r="D69" s="71" t="str"/>
      <x:c r="E69" s="51" t="str">
        <x:v>CM</x:v>
      </x:c>
      <x:c r="F69" s="51" t="str">
        <x:v>Midfield</x:v>
      </x:c>
      <x:c r="G69" s="51" t="str">
        <x:v>Rotation</x:v>
      </x:c>
      <x:c r="H69" s="55" t="n">
        <x:v>0.35</x:v>
      </x:c>
      <x:c r="I69" s="51" t="str"/>
      <x:c r="J69" s="72" t="str"/>
      <x:c r="K69" s="72" t="str"/>
      <x:c r="L69" s="72" t="str"/>
      <x:c r="M69" s="72" t="str"/>
      <x:c r="N69" s="72" t="str"/>
      <x:c r="O69" s="72" t="str"/>
      <x:c r="P69" s="72" t="str">
        <x:v>Available</x:v>
      </x:c>
      <x:c r="Q69" s="72" t="n">
        <x:v>0</x:v>
      </x:c>
      <x:c r="R69" s="55" t="str">
        <x:f>IF($D69="","",ROUND(MAX(0,MIN(100,0.35*$J69+0.2*$K69+0.15*$L69+0.15*$M69+0.1*$N69+0.05*$O69-IF(OR($P69="Out",$P69="Suspended"),$Q69,IF($P69="Doubtful",$Q69*0.5,IF($P69="Limited",$Q69*0.25,0))))),2))</x:f>
      </x:c>
      <x:c r="S69" s="55" t="n">
        <x:f>IF($D69="",0,ROUND(IF(OR($P69="Out",$P69="Suspended"),$Q69*$H69,IF($P69="Doubtful",$Q69*$H69*0.5,IF($P69="Limited",$Q69*$H69*0.25,0))),2))</x:f>
        <x:v>0</x:v>
      </x:c>
      <x:c r="T69" s="55" t="str"/>
      <x:c r="U69" s="51" t="str"/>
    </x:row>
    <x:row r="70">
      <x:c r="A70" s="51" t="str">
        <x:v>South Africa</x:v>
      </x:c>
      <x:c r="B70" s="51" t="str">
        <x:v>A</x:v>
      </x:c>
      <x:c r="C70" s="51" t="n">
        <x:v>14</x:v>
      </x:c>
      <x:c r="D70" s="71" t="str"/>
      <x:c r="E70" s="51" t="str">
        <x:v>CM</x:v>
      </x:c>
      <x:c r="F70" s="51" t="str">
        <x:v>Midfield</x:v>
      </x:c>
      <x:c r="G70" s="51" t="str">
        <x:v>Rotation</x:v>
      </x:c>
      <x:c r="H70" s="55" t="n">
        <x:v>0.35</x:v>
      </x:c>
      <x:c r="I70" s="51" t="str"/>
      <x:c r="J70" s="72" t="str"/>
      <x:c r="K70" s="72" t="str"/>
      <x:c r="L70" s="72" t="str"/>
      <x:c r="M70" s="72" t="str"/>
      <x:c r="N70" s="72" t="str"/>
      <x:c r="O70" s="72" t="str"/>
      <x:c r="P70" s="72" t="str">
        <x:v>Available</x:v>
      </x:c>
      <x:c r="Q70" s="72" t="n">
        <x:v>0</x:v>
      </x:c>
      <x:c r="R70" s="55" t="str">
        <x:f>IF($D70="","",ROUND(MAX(0,MIN(100,0.35*$J70+0.2*$K70+0.15*$L70+0.15*$M70+0.1*$N70+0.05*$O70-IF(OR($P70="Out",$P70="Suspended"),$Q70,IF($P70="Doubtful",$Q70*0.5,IF($P70="Limited",$Q70*0.25,0))))),2))</x:f>
      </x:c>
      <x:c r="S70" s="55" t="n">
        <x:f>IF($D70="",0,ROUND(IF(OR($P70="Out",$P70="Suspended"),$Q70*$H70,IF($P70="Doubtful",$Q70*$H70*0.5,IF($P70="Limited",$Q70*$H70*0.25,0))),2))</x:f>
        <x:v>0</x:v>
      </x:c>
      <x:c r="T70" s="55" t="str"/>
      <x:c r="U70" s="51" t="str"/>
    </x:row>
    <x:row r="71">
      <x:c r="A71" s="51" t="str">
        <x:v>South Africa</x:v>
      </x:c>
      <x:c r="B71" s="51" t="str">
        <x:v>A</x:v>
      </x:c>
      <x:c r="C71" s="51" t="n">
        <x:v>15</x:v>
      </x:c>
      <x:c r="D71" s="71" t="str"/>
      <x:c r="E71" s="51" t="str">
        <x:v>CM</x:v>
      </x:c>
      <x:c r="F71" s="51" t="str">
        <x:v>Midfield</x:v>
      </x:c>
      <x:c r="G71" s="51" t="str">
        <x:v>Rotation</x:v>
      </x:c>
      <x:c r="H71" s="55" t="n">
        <x:v>0.35</x:v>
      </x:c>
      <x:c r="I71" s="51" t="str"/>
      <x:c r="J71" s="72" t="str"/>
      <x:c r="K71" s="72" t="str"/>
      <x:c r="L71" s="72" t="str"/>
      <x:c r="M71" s="72" t="str"/>
      <x:c r="N71" s="72" t="str"/>
      <x:c r="O71" s="72" t="str"/>
      <x:c r="P71" s="72" t="str">
        <x:v>Available</x:v>
      </x:c>
      <x:c r="Q71" s="72" t="n">
        <x:v>0</x:v>
      </x:c>
      <x:c r="R71" s="55" t="str">
        <x:f>IF($D71="","",ROUND(MAX(0,MIN(100,0.35*$J71+0.2*$K71+0.15*$L71+0.15*$M71+0.1*$N71+0.05*$O71-IF(OR($P71="Out",$P71="Suspended"),$Q71,IF($P71="Doubtful",$Q71*0.5,IF($P71="Limited",$Q71*0.25,0))))),2))</x:f>
      </x:c>
      <x:c r="S71" s="55" t="n">
        <x:f>IF($D71="",0,ROUND(IF(OR($P71="Out",$P71="Suspended"),$Q71*$H71,IF($P71="Doubtful",$Q71*$H71*0.5,IF($P71="Limited",$Q71*$H71*0.25,0))),2))</x:f>
        <x:v>0</x:v>
      </x:c>
      <x:c r="T71" s="55" t="str"/>
      <x:c r="U71" s="51" t="str"/>
    </x:row>
    <x:row r="72">
      <x:c r="A72" s="51" t="str">
        <x:v>South Africa</x:v>
      </x:c>
      <x:c r="B72" s="51" t="str">
        <x:v>A</x:v>
      </x:c>
      <x:c r="C72" s="51" t="n">
        <x:v>16</x:v>
      </x:c>
      <x:c r="D72" s="71" t="str"/>
      <x:c r="E72" s="51" t="str">
        <x:v>AM</x:v>
      </x:c>
      <x:c r="F72" s="51" t="str">
        <x:v>Attack</x:v>
      </x:c>
      <x:c r="G72" s="51" t="str">
        <x:v>Rotation</x:v>
      </x:c>
      <x:c r="H72" s="55" t="n">
        <x:v>0.35</x:v>
      </x:c>
      <x:c r="I72" s="51" t="str"/>
      <x:c r="J72" s="72" t="str"/>
      <x:c r="K72" s="72" t="str"/>
      <x:c r="L72" s="72" t="str"/>
      <x:c r="M72" s="72" t="str"/>
      <x:c r="N72" s="72" t="str"/>
      <x:c r="O72" s="72" t="str"/>
      <x:c r="P72" s="72" t="str">
        <x:v>Available</x:v>
      </x:c>
      <x:c r="Q72" s="72" t="n">
        <x:v>0</x:v>
      </x:c>
      <x:c r="R72" s="55" t="str">
        <x:f>IF($D72="","",ROUND(MAX(0,MIN(100,0.35*$J72+0.2*$K72+0.15*$L72+0.15*$M72+0.1*$N72+0.05*$O72-IF(OR($P72="Out",$P72="Suspended"),$Q72,IF($P72="Doubtful",$Q72*0.5,IF($P72="Limited",$Q72*0.25,0))))),2))</x:f>
      </x:c>
      <x:c r="S72" s="55" t="n">
        <x:f>IF($D72="",0,ROUND(IF(OR($P72="Out",$P72="Suspended"),$Q72*$H72,IF($P72="Doubtful",$Q72*$H72*0.5,IF($P72="Limited",$Q72*$H72*0.25,0))),2))</x:f>
        <x:v>0</x:v>
      </x:c>
      <x:c r="T72" s="55" t="str"/>
      <x:c r="U72" s="51" t="str"/>
    </x:row>
    <x:row r="73">
      <x:c r="A73" s="51" t="str">
        <x:v>South Africa</x:v>
      </x:c>
      <x:c r="B73" s="51" t="str">
        <x:v>A</x:v>
      </x:c>
      <x:c r="C73" s="51" t="n">
        <x:v>17</x:v>
      </x:c>
      <x:c r="D73" s="71" t="str"/>
      <x:c r="E73" s="51" t="str">
        <x:v>AM</x:v>
      </x:c>
      <x:c r="F73" s="51" t="str">
        <x:v>Attack</x:v>
      </x:c>
      <x:c r="G73" s="51" t="str">
        <x:v>Rotation</x:v>
      </x:c>
      <x:c r="H73" s="55" t="n">
        <x:v>0.35</x:v>
      </x:c>
      <x:c r="I73" s="51" t="str"/>
      <x:c r="J73" s="72" t="str"/>
      <x:c r="K73" s="72" t="str"/>
      <x:c r="L73" s="72" t="str"/>
      <x:c r="M73" s="72" t="str"/>
      <x:c r="N73" s="72" t="str"/>
      <x:c r="O73" s="72" t="str"/>
      <x:c r="P73" s="72" t="str">
        <x:v>Available</x:v>
      </x:c>
      <x:c r="Q73" s="72" t="n">
        <x:v>0</x:v>
      </x:c>
      <x:c r="R73" s="55" t="str">
        <x:f>IF($D73="","",ROUND(MAX(0,MIN(100,0.35*$J73+0.2*$K73+0.15*$L73+0.15*$M73+0.1*$N73+0.05*$O73-IF(OR($P73="Out",$P73="Suspended"),$Q73,IF($P73="Doubtful",$Q73*0.5,IF($P73="Limited",$Q73*0.25,0))))),2))</x:f>
      </x:c>
      <x:c r="S73" s="55" t="n">
        <x:f>IF($D73="",0,ROUND(IF(OR($P73="Out",$P73="Suspended"),$Q73*$H73,IF($P73="Doubtful",$Q73*$H73*0.5,IF($P73="Limited",$Q73*$H73*0.25,0))),2))</x:f>
        <x:v>0</x:v>
      </x:c>
      <x:c r="T73" s="55" t="str"/>
      <x:c r="U73" s="51" t="str"/>
    </x:row>
    <x:row r="74">
      <x:c r="A74" s="51" t="str">
        <x:v>South Africa</x:v>
      </x:c>
      <x:c r="B74" s="51" t="str">
        <x:v>A</x:v>
      </x:c>
      <x:c r="C74" s="51" t="n">
        <x:v>18</x:v>
      </x:c>
      <x:c r="D74" s="71" t="str"/>
      <x:c r="E74" s="51" t="str">
        <x:v>AM</x:v>
      </x:c>
      <x:c r="F74" s="51" t="str">
        <x:v>Attack</x:v>
      </x:c>
      <x:c r="G74" s="51" t="str">
        <x:v>Rotation</x:v>
      </x:c>
      <x:c r="H74" s="55" t="n">
        <x:v>0.35</x:v>
      </x:c>
      <x:c r="I74" s="51" t="str"/>
      <x:c r="J74" s="72" t="str"/>
      <x:c r="K74" s="72" t="str"/>
      <x:c r="L74" s="72" t="str"/>
      <x:c r="M74" s="72" t="str"/>
      <x:c r="N74" s="72" t="str"/>
      <x:c r="O74" s="72" t="str"/>
      <x:c r="P74" s="72" t="str">
        <x:v>Available</x:v>
      </x:c>
      <x:c r="Q74" s="72" t="n">
        <x:v>0</x:v>
      </x:c>
      <x:c r="R74" s="55" t="str">
        <x:f>IF($D74="","",ROUND(MAX(0,MIN(100,0.35*$J74+0.2*$K74+0.15*$L74+0.15*$M74+0.1*$N74+0.05*$O74-IF(OR($P74="Out",$P74="Suspended"),$Q74,IF($P74="Doubtful",$Q74*0.5,IF($P74="Limited",$Q74*0.25,0))))),2))</x:f>
      </x:c>
      <x:c r="S74" s="55" t="n">
        <x:f>IF($D74="",0,ROUND(IF(OR($P74="Out",$P74="Suspended"),$Q74*$H74,IF($P74="Doubtful",$Q74*$H74*0.5,IF($P74="Limited",$Q74*$H74*0.25,0))),2))</x:f>
        <x:v>0</x:v>
      </x:c>
      <x:c r="T74" s="55" t="str"/>
      <x:c r="U74" s="51" t="str"/>
    </x:row>
    <x:row r="75">
      <x:c r="A75" s="51" t="str">
        <x:v>South Africa</x:v>
      </x:c>
      <x:c r="B75" s="51" t="str">
        <x:v>A</x:v>
      </x:c>
      <x:c r="C75" s="51" t="n">
        <x:v>19</x:v>
      </x:c>
      <x:c r="D75" s="71" t="str"/>
      <x:c r="E75" s="51" t="str">
        <x:v>AM</x:v>
      </x:c>
      <x:c r="F75" s="51" t="str">
        <x:v>Attack</x:v>
      </x:c>
      <x:c r="G75" s="51" t="str">
        <x:v>Rotation</x:v>
      </x:c>
      <x:c r="H75" s="55" t="n">
        <x:v>0.35</x:v>
      </x:c>
      <x:c r="I75" s="51" t="str"/>
      <x:c r="J75" s="72" t="str"/>
      <x:c r="K75" s="72" t="str"/>
      <x:c r="L75" s="72" t="str"/>
      <x:c r="M75" s="72" t="str"/>
      <x:c r="N75" s="72" t="str"/>
      <x:c r="O75" s="72" t="str"/>
      <x:c r="P75" s="72" t="str">
        <x:v>Available</x:v>
      </x:c>
      <x:c r="Q75" s="72" t="n">
        <x:v>0</x:v>
      </x:c>
      <x:c r="R75" s="55" t="str">
        <x:f>IF($D75="","",ROUND(MAX(0,MIN(100,0.35*$J75+0.2*$K75+0.15*$L75+0.15*$M75+0.1*$N75+0.05*$O75-IF(OR($P75="Out",$P75="Suspended"),$Q75,IF($P75="Doubtful",$Q75*0.5,IF($P75="Limited",$Q75*0.25,0))))),2))</x:f>
      </x:c>
      <x:c r="S75" s="55" t="n">
        <x:f>IF($D75="",0,ROUND(IF(OR($P75="Out",$P75="Suspended"),$Q75*$H75,IF($P75="Doubtful",$Q75*$H75*0.5,IF($P75="Limited",$Q75*$H75*0.25,0))),2))</x:f>
        <x:v>0</x:v>
      </x:c>
      <x:c r="T75" s="55" t="str"/>
      <x:c r="U75" s="51" t="str"/>
    </x:row>
    <x:row r="76">
      <x:c r="A76" s="51" t="str">
        <x:v>South Africa</x:v>
      </x:c>
      <x:c r="B76" s="51" t="str">
        <x:v>A</x:v>
      </x:c>
      <x:c r="C76" s="51" t="n">
        <x:v>20</x:v>
      </x:c>
      <x:c r="D76" s="71" t="str"/>
      <x:c r="E76" s="51" t="str">
        <x:v>Winger</x:v>
      </x:c>
      <x:c r="F76" s="51" t="str">
        <x:v>Attack</x:v>
      </x:c>
      <x:c r="G76" s="51" t="str">
        <x:v>Rotation</x:v>
      </x:c>
      <x:c r="H76" s="55" t="n">
        <x:v>0.35</x:v>
      </x:c>
      <x:c r="I76" s="51" t="str"/>
      <x:c r="J76" s="72" t="str"/>
      <x:c r="K76" s="72" t="str"/>
      <x:c r="L76" s="72" t="str"/>
      <x:c r="M76" s="72" t="str"/>
      <x:c r="N76" s="72" t="str"/>
      <x:c r="O76" s="72" t="str"/>
      <x:c r="P76" s="72" t="str">
        <x:v>Available</x:v>
      </x:c>
      <x:c r="Q76" s="72" t="n">
        <x:v>0</x:v>
      </x:c>
      <x:c r="R76" s="55" t="str">
        <x:f>IF($D76="","",ROUND(MAX(0,MIN(100,0.35*$J76+0.2*$K76+0.15*$L76+0.15*$M76+0.1*$N76+0.05*$O76-IF(OR($P76="Out",$P76="Suspended"),$Q76,IF($P76="Doubtful",$Q76*0.5,IF($P76="Limited",$Q76*0.25,0))))),2))</x:f>
      </x:c>
      <x:c r="S76" s="55" t="n">
        <x:f>IF($D76="",0,ROUND(IF(OR($P76="Out",$P76="Suspended"),$Q76*$H76,IF($P76="Doubtful",$Q76*$H76*0.5,IF($P76="Limited",$Q76*$H76*0.25,0))),2))</x:f>
        <x:v>0</x:v>
      </x:c>
      <x:c r="T76" s="55" t="str"/>
      <x:c r="U76" s="51" t="str"/>
    </x:row>
    <x:row r="77">
      <x:c r="A77" s="51" t="str">
        <x:v>South Africa</x:v>
      </x:c>
      <x:c r="B77" s="51" t="str">
        <x:v>A</x:v>
      </x:c>
      <x:c r="C77" s="51" t="n">
        <x:v>21</x:v>
      </x:c>
      <x:c r="D77" s="71" t="str"/>
      <x:c r="E77" s="51" t="str">
        <x:v>Winger</x:v>
      </x:c>
      <x:c r="F77" s="51" t="str">
        <x:v>Attack</x:v>
      </x:c>
      <x:c r="G77" s="51" t="str">
        <x:v>Depth</x:v>
      </x:c>
      <x:c r="H77" s="55" t="n">
        <x:v>0.1</x:v>
      </x:c>
      <x:c r="I77" s="51" t="str"/>
      <x:c r="J77" s="72" t="str"/>
      <x:c r="K77" s="72" t="str"/>
      <x:c r="L77" s="72" t="str"/>
      <x:c r="M77" s="72" t="str"/>
      <x:c r="N77" s="72" t="str"/>
      <x:c r="O77" s="72" t="str"/>
      <x:c r="P77" s="72" t="str">
        <x:v>Available</x:v>
      </x:c>
      <x:c r="Q77" s="72" t="n">
        <x:v>0</x:v>
      </x:c>
      <x:c r="R77" s="55" t="str">
        <x:f>IF($D77="","",ROUND(MAX(0,MIN(100,0.35*$J77+0.2*$K77+0.15*$L77+0.15*$M77+0.1*$N77+0.05*$O77-IF(OR($P77="Out",$P77="Suspended"),$Q77,IF($P77="Doubtful",$Q77*0.5,IF($P77="Limited",$Q77*0.25,0))))),2))</x:f>
      </x:c>
      <x:c r="S77" s="55" t="n">
        <x:f>IF($D77="",0,ROUND(IF(OR($P77="Out",$P77="Suspended"),$Q77*$H77,IF($P77="Doubtful",$Q77*$H77*0.5,IF($P77="Limited",$Q77*$H77*0.25,0))),2))</x:f>
        <x:v>0</x:v>
      </x:c>
      <x:c r="T77" s="55" t="str"/>
      <x:c r="U77" s="51" t="str"/>
    </x:row>
    <x:row r="78">
      <x:c r="A78" s="51" t="str">
        <x:v>South Africa</x:v>
      </x:c>
      <x:c r="B78" s="51" t="str">
        <x:v>A</x:v>
      </x:c>
      <x:c r="C78" s="51" t="n">
        <x:v>22</x:v>
      </x:c>
      <x:c r="D78" s="71" t="str"/>
      <x:c r="E78" s="51" t="str">
        <x:v>Winger</x:v>
      </x:c>
      <x:c r="F78" s="51" t="str">
        <x:v>Attack</x:v>
      </x:c>
      <x:c r="G78" s="51" t="str">
        <x:v>Depth</x:v>
      </x:c>
      <x:c r="H78" s="55" t="n">
        <x:v>0.1</x:v>
      </x:c>
      <x:c r="I78" s="51" t="str"/>
      <x:c r="J78" s="72" t="str"/>
      <x:c r="K78" s="72" t="str"/>
      <x:c r="L78" s="72" t="str"/>
      <x:c r="M78" s="72" t="str"/>
      <x:c r="N78" s="72" t="str"/>
      <x:c r="O78" s="72" t="str"/>
      <x:c r="P78" s="72" t="str">
        <x:v>Available</x:v>
      </x:c>
      <x:c r="Q78" s="72" t="n">
        <x:v>0</x:v>
      </x:c>
      <x:c r="R78" s="55" t="str">
        <x:f>IF($D78="","",ROUND(MAX(0,MIN(100,0.35*$J78+0.2*$K78+0.15*$L78+0.15*$M78+0.1*$N78+0.05*$O78-IF(OR($P78="Out",$P78="Suspended"),$Q78,IF($P78="Doubtful",$Q78*0.5,IF($P78="Limited",$Q78*0.25,0))))),2))</x:f>
      </x:c>
      <x:c r="S78" s="55" t="n">
        <x:f>IF($D78="",0,ROUND(IF(OR($P78="Out",$P78="Suspended"),$Q78*$H78,IF($P78="Doubtful",$Q78*$H78*0.5,IF($P78="Limited",$Q78*$H78*0.25,0))),2))</x:f>
        <x:v>0</x:v>
      </x:c>
      <x:c r="T78" s="55" t="str"/>
      <x:c r="U78" s="51" t="str"/>
    </x:row>
    <x:row r="79">
      <x:c r="A79" s="51" t="str">
        <x:v>South Africa</x:v>
      </x:c>
      <x:c r="B79" s="51" t="str">
        <x:v>A</x:v>
      </x:c>
      <x:c r="C79" s="51" t="n">
        <x:v>23</x:v>
      </x:c>
      <x:c r="D79" s="71" t="str"/>
      <x:c r="E79" s="51" t="str">
        <x:v>Winger</x:v>
      </x:c>
      <x:c r="F79" s="51" t="str">
        <x:v>Attack</x:v>
      </x:c>
      <x:c r="G79" s="51" t="str">
        <x:v>Depth</x:v>
      </x:c>
      <x:c r="H79" s="55" t="n">
        <x:v>0.1</x:v>
      </x:c>
      <x:c r="I79" s="51" t="str"/>
      <x:c r="J79" s="72" t="str"/>
      <x:c r="K79" s="72" t="str"/>
      <x:c r="L79" s="72" t="str"/>
      <x:c r="M79" s="72" t="str"/>
      <x:c r="N79" s="72" t="str"/>
      <x:c r="O79" s="72" t="str"/>
      <x:c r="P79" s="72" t="str">
        <x:v>Available</x:v>
      </x:c>
      <x:c r="Q79" s="72" t="n">
        <x:v>0</x:v>
      </x:c>
      <x:c r="R79" s="55" t="str">
        <x:f>IF($D79="","",ROUND(MAX(0,MIN(100,0.35*$J79+0.2*$K79+0.15*$L79+0.15*$M79+0.1*$N79+0.05*$O79-IF(OR($P79="Out",$P79="Suspended"),$Q79,IF($P79="Doubtful",$Q79*0.5,IF($P79="Limited",$Q79*0.25,0))))),2))</x:f>
      </x:c>
      <x:c r="S79" s="55" t="n">
        <x:f>IF($D79="",0,ROUND(IF(OR($P79="Out",$P79="Suspended"),$Q79*$H79,IF($P79="Doubtful",$Q79*$H79*0.5,IF($P79="Limited",$Q79*$H79*0.25,0))),2))</x:f>
        <x:v>0</x:v>
      </x:c>
      <x:c r="T79" s="55" t="str"/>
      <x:c r="U79" s="51" t="str"/>
    </x:row>
    <x:row r="80">
      <x:c r="A80" s="51" t="str">
        <x:v>South Africa</x:v>
      </x:c>
      <x:c r="B80" s="51" t="str">
        <x:v>A</x:v>
      </x:c>
      <x:c r="C80" s="51" t="n">
        <x:v>24</x:v>
      </x:c>
      <x:c r="D80" s="71" t="str"/>
      <x:c r="E80" s="51" t="str">
        <x:v>ST</x:v>
      </x:c>
      <x:c r="F80" s="51" t="str">
        <x:v>Attack</x:v>
      </x:c>
      <x:c r="G80" s="51" t="str">
        <x:v>Depth</x:v>
      </x:c>
      <x:c r="H80" s="55" t="n">
        <x:v>0.1</x:v>
      </x:c>
      <x:c r="I80" s="51" t="str"/>
      <x:c r="J80" s="72" t="str"/>
      <x:c r="K80" s="72" t="str"/>
      <x:c r="L80" s="72" t="str"/>
      <x:c r="M80" s="72" t="str"/>
      <x:c r="N80" s="72" t="str"/>
      <x:c r="O80" s="72" t="str"/>
      <x:c r="P80" s="72" t="str">
        <x:v>Available</x:v>
      </x:c>
      <x:c r="Q80" s="72" t="n">
        <x:v>0</x:v>
      </x:c>
      <x:c r="R80" s="55" t="str">
        <x:f>IF($D80="","",ROUND(MAX(0,MIN(100,0.35*$J80+0.2*$K80+0.15*$L80+0.15*$M80+0.1*$N80+0.05*$O80-IF(OR($P80="Out",$P80="Suspended"),$Q80,IF($P80="Doubtful",$Q80*0.5,IF($P80="Limited",$Q80*0.25,0))))),2))</x:f>
      </x:c>
      <x:c r="S80" s="55" t="n">
        <x:f>IF($D80="",0,ROUND(IF(OR($P80="Out",$P80="Suspended"),$Q80*$H80,IF($P80="Doubtful",$Q80*$H80*0.5,IF($P80="Limited",$Q80*$H80*0.25,0))),2))</x:f>
        <x:v>0</x:v>
      </x:c>
      <x:c r="T80" s="55" t="str"/>
      <x:c r="U80" s="51" t="str"/>
    </x:row>
    <x:row r="81">
      <x:c r="A81" s="51" t="str">
        <x:v>South Africa</x:v>
      </x:c>
      <x:c r="B81" s="51" t="str">
        <x:v>A</x:v>
      </x:c>
      <x:c r="C81" s="51" t="n">
        <x:v>25</x:v>
      </x:c>
      <x:c r="D81" s="71" t="str"/>
      <x:c r="E81" s="51" t="str">
        <x:v>ST</x:v>
      </x:c>
      <x:c r="F81" s="51" t="str">
        <x:v>Attack</x:v>
      </x:c>
      <x:c r="G81" s="51" t="str">
        <x:v>Depth</x:v>
      </x:c>
      <x:c r="H81" s="55" t="n">
        <x:v>0.1</x:v>
      </x:c>
      <x:c r="I81" s="51" t="str"/>
      <x:c r="J81" s="72" t="str"/>
      <x:c r="K81" s="72" t="str"/>
      <x:c r="L81" s="72" t="str"/>
      <x:c r="M81" s="72" t="str"/>
      <x:c r="N81" s="72" t="str"/>
      <x:c r="O81" s="72" t="str"/>
      <x:c r="P81" s="72" t="str">
        <x:v>Available</x:v>
      </x:c>
      <x:c r="Q81" s="72" t="n">
        <x:v>0</x:v>
      </x:c>
      <x:c r="R81" s="55" t="str">
        <x:f>IF($D81="","",ROUND(MAX(0,MIN(100,0.35*$J81+0.2*$K81+0.15*$L81+0.15*$M81+0.1*$N81+0.05*$O81-IF(OR($P81="Out",$P81="Suspended"),$Q81,IF($P81="Doubtful",$Q81*0.5,IF($P81="Limited",$Q81*0.25,0))))),2))</x:f>
      </x:c>
      <x:c r="S81" s="55" t="n">
        <x:f>IF($D81="",0,ROUND(IF(OR($P81="Out",$P81="Suspended"),$Q81*$H81,IF($P81="Doubtful",$Q81*$H81*0.5,IF($P81="Limited",$Q81*$H81*0.25,0))),2))</x:f>
        <x:v>0</x:v>
      </x:c>
      <x:c r="T81" s="55" t="str"/>
      <x:c r="U81" s="51" t="str"/>
    </x:row>
    <x:row r="82">
      <x:c r="A82" s="51" t="str">
        <x:v>South Africa</x:v>
      </x:c>
      <x:c r="B82" s="51" t="str">
        <x:v>A</x:v>
      </x:c>
      <x:c r="C82" s="51" t="n">
        <x:v>26</x:v>
      </x:c>
      <x:c r="D82" s="71" t="str"/>
      <x:c r="E82" s="51" t="str">
        <x:v>ST</x:v>
      </x:c>
      <x:c r="F82" s="51" t="str">
        <x:v>Attack</x:v>
      </x:c>
      <x:c r="G82" s="51" t="str">
        <x:v>Depth</x:v>
      </x:c>
      <x:c r="H82" s="55" t="n">
        <x:v>0.1</x:v>
      </x:c>
      <x:c r="I82" s="51" t="str"/>
      <x:c r="J82" s="72" t="str"/>
      <x:c r="K82" s="72" t="str"/>
      <x:c r="L82" s="72" t="str"/>
      <x:c r="M82" s="72" t="str"/>
      <x:c r="N82" s="72" t="str"/>
      <x:c r="O82" s="72" t="str"/>
      <x:c r="P82" s="72" t="str">
        <x:v>Available</x:v>
      </x:c>
      <x:c r="Q82" s="72" t="n">
        <x:v>0</x:v>
      </x:c>
      <x:c r="R82" s="55" t="str">
        <x:f>IF($D82="","",ROUND(MAX(0,MIN(100,0.35*$J82+0.2*$K82+0.15*$L82+0.15*$M82+0.1*$N82+0.05*$O82-IF(OR($P82="Out",$P82="Suspended"),$Q82,IF($P82="Doubtful",$Q82*0.5,IF($P82="Limited",$Q82*0.25,0))))),2))</x:f>
      </x:c>
      <x:c r="S82" s="55" t="n">
        <x:f>IF($D82="",0,ROUND(IF(OR($P82="Out",$P82="Suspended"),$Q82*$H82,IF($P82="Doubtful",$Q82*$H82*0.5,IF($P82="Limited",$Q82*$H82*0.25,0))),2))</x:f>
        <x:v>0</x:v>
      </x:c>
      <x:c r="T82" s="55" t="str"/>
      <x:c r="U82" s="51" t="str"/>
    </x:row>
    <x:row r="83">
      <x:c r="A83" s="51" t="str">
        <x:v>South Korea</x:v>
      </x:c>
      <x:c r="B83" s="51" t="str">
        <x:v>A</x:v>
      </x:c>
      <x:c r="C83" s="51" t="n">
        <x:v>1</x:v>
      </x:c>
      <x:c r="D83" s="71" t="str"/>
      <x:c r="E83" s="51" t="str">
        <x:v>GK</x:v>
      </x:c>
      <x:c r="F83" s="51" t="str">
        <x:v>GK</x:v>
      </x:c>
      <x:c r="G83" s="51" t="str">
        <x:v>Starter</x:v>
      </x:c>
      <x:c r="H83" s="55" t="n">
        <x:v>1</x:v>
      </x:c>
      <x:c r="I83" s="51" t="str"/>
      <x:c r="J83" s="72" t="str"/>
      <x:c r="K83" s="72" t="str"/>
      <x:c r="L83" s="72" t="str"/>
      <x:c r="M83" s="72" t="str"/>
      <x:c r="N83" s="72" t="str"/>
      <x:c r="O83" s="72" t="str"/>
      <x:c r="P83" s="72" t="str">
        <x:v>Available</x:v>
      </x:c>
      <x:c r="Q83" s="72" t="n">
        <x:v>0</x:v>
      </x:c>
      <x:c r="R83" s="55" t="str">
        <x:f>IF($D83="","",ROUND(MAX(0,MIN(100,0.35*$J83+0.2*$K83+0.15*$L83+0.15*$M83+0.1*$N83+0.05*$O83-IF(OR($P83="Out",$P83="Suspended"),$Q83,IF($P83="Doubtful",$Q83*0.5,IF($P83="Limited",$Q83*0.25,0))))),2))</x:f>
      </x:c>
      <x:c r="S83" s="55" t="n">
        <x:f>IF($D83="",0,ROUND(IF(OR($P83="Out",$P83="Suspended"),$Q83*$H83,IF($P83="Doubtful",$Q83*$H83*0.5,IF($P83="Limited",$Q83*$H83*0.25,0))),2))</x:f>
        <x:v>0</x:v>
      </x:c>
      <x:c r="T83" s="55" t="str"/>
      <x:c r="U83" s="51" t="str"/>
    </x:row>
    <x:row r="84">
      <x:c r="A84" s="51" t="str">
        <x:v>South Korea</x:v>
      </x:c>
      <x:c r="B84" s="51" t="str">
        <x:v>A</x:v>
      </x:c>
      <x:c r="C84" s="51" t="n">
        <x:v>2</x:v>
      </x:c>
      <x:c r="D84" s="71" t="str"/>
      <x:c r="E84" s="51" t="str">
        <x:v>GK</x:v>
      </x:c>
      <x:c r="F84" s="51" t="str">
        <x:v>GK</x:v>
      </x:c>
      <x:c r="G84" s="51" t="str">
        <x:v>Starter</x:v>
      </x:c>
      <x:c r="H84" s="55" t="n">
        <x:v>1</x:v>
      </x:c>
      <x:c r="I84" s="51" t="str"/>
      <x:c r="J84" s="72" t="str"/>
      <x:c r="K84" s="72" t="str"/>
      <x:c r="L84" s="72" t="str"/>
      <x:c r="M84" s="72" t="str"/>
      <x:c r="N84" s="72" t="str"/>
      <x:c r="O84" s="72" t="str"/>
      <x:c r="P84" s="72" t="str">
        <x:v>Available</x:v>
      </x:c>
      <x:c r="Q84" s="72" t="n">
        <x:v>0</x:v>
      </x:c>
      <x:c r="R84" s="55" t="str">
        <x:f>IF($D84="","",ROUND(MAX(0,MIN(100,0.35*$J84+0.2*$K84+0.15*$L84+0.15*$M84+0.1*$N84+0.05*$O84-IF(OR($P84="Out",$P84="Suspended"),$Q84,IF($P84="Doubtful",$Q84*0.5,IF($P84="Limited",$Q84*0.25,0))))),2))</x:f>
      </x:c>
      <x:c r="S84" s="55" t="n">
        <x:f>IF($D84="",0,ROUND(IF(OR($P84="Out",$P84="Suspended"),$Q84*$H84,IF($P84="Doubtful",$Q84*$H84*0.5,IF($P84="Limited",$Q84*$H84*0.25,0))),2))</x:f>
        <x:v>0</x:v>
      </x:c>
      <x:c r="T84" s="55" t="str"/>
      <x:c r="U84" s="51" t="str"/>
    </x:row>
    <x:row r="85">
      <x:c r="A85" s="51" t="str">
        <x:v>South Korea</x:v>
      </x:c>
      <x:c r="B85" s="51" t="str">
        <x:v>A</x:v>
      </x:c>
      <x:c r="C85" s="51" t="n">
        <x:v>3</x:v>
      </x:c>
      <x:c r="D85" s="71" t="str"/>
      <x:c r="E85" s="51" t="str">
        <x:v>GK</x:v>
      </x:c>
      <x:c r="F85" s="51" t="str">
        <x:v>GK</x:v>
      </x:c>
      <x:c r="G85" s="51" t="str">
        <x:v>Starter</x:v>
      </x:c>
      <x:c r="H85" s="55" t="n">
        <x:v>1</x:v>
      </x:c>
      <x:c r="I85" s="51" t="str"/>
      <x:c r="J85" s="72" t="str"/>
      <x:c r="K85" s="72" t="str"/>
      <x:c r="L85" s="72" t="str"/>
      <x:c r="M85" s="72" t="str"/>
      <x:c r="N85" s="72" t="str"/>
      <x:c r="O85" s="72" t="str"/>
      <x:c r="P85" s="72" t="str">
        <x:v>Available</x:v>
      </x:c>
      <x:c r="Q85" s="72" t="n">
        <x:v>0</x:v>
      </x:c>
      <x:c r="R85" s="55" t="str">
        <x:f>IF($D85="","",ROUND(MAX(0,MIN(100,0.35*$J85+0.2*$K85+0.15*$L85+0.15*$M85+0.1*$N85+0.05*$O85-IF(OR($P85="Out",$P85="Suspended"),$Q85,IF($P85="Doubtful",$Q85*0.5,IF($P85="Limited",$Q85*0.25,0))))),2))</x:f>
      </x:c>
      <x:c r="S85" s="55" t="n">
        <x:f>IF($D85="",0,ROUND(IF(OR($P85="Out",$P85="Suspended"),$Q85*$H85,IF($P85="Doubtful",$Q85*$H85*0.5,IF($P85="Limited",$Q85*$H85*0.25,0))),2))</x:f>
        <x:v>0</x:v>
      </x:c>
      <x:c r="T85" s="55" t="str"/>
      <x:c r="U85" s="51" t="str"/>
    </x:row>
    <x:row r="86">
      <x:c r="A86" s="51" t="str">
        <x:v>South Korea</x:v>
      </x:c>
      <x:c r="B86" s="51" t="str">
        <x:v>A</x:v>
      </x:c>
      <x:c r="C86" s="51" t="n">
        <x:v>4</x:v>
      </x:c>
      <x:c r="D86" s="71" t="str"/>
      <x:c r="E86" s="51" t="str">
        <x:v>CB</x:v>
      </x:c>
      <x:c r="F86" s="51" t="str">
        <x:v>Defence</x:v>
      </x:c>
      <x:c r="G86" s="51" t="str">
        <x:v>Starter</x:v>
      </x:c>
      <x:c r="H86" s="55" t="n">
        <x:v>1</x:v>
      </x:c>
      <x:c r="I86" s="51" t="str"/>
      <x:c r="J86" s="72" t="str"/>
      <x:c r="K86" s="72" t="str"/>
      <x:c r="L86" s="72" t="str"/>
      <x:c r="M86" s="72" t="str"/>
      <x:c r="N86" s="72" t="str"/>
      <x:c r="O86" s="72" t="str"/>
      <x:c r="P86" s="72" t="str">
        <x:v>Available</x:v>
      </x:c>
      <x:c r="Q86" s="72" t="n">
        <x:v>0</x:v>
      </x:c>
      <x:c r="R86" s="55" t="str">
        <x:f>IF($D86="","",ROUND(MAX(0,MIN(100,0.35*$J86+0.2*$K86+0.15*$L86+0.15*$M86+0.1*$N86+0.05*$O86-IF(OR($P86="Out",$P86="Suspended"),$Q86,IF($P86="Doubtful",$Q86*0.5,IF($P86="Limited",$Q86*0.25,0))))),2))</x:f>
      </x:c>
      <x:c r="S86" s="55" t="n">
        <x:f>IF($D86="",0,ROUND(IF(OR($P86="Out",$P86="Suspended"),$Q86*$H86,IF($P86="Doubtful",$Q86*$H86*0.5,IF($P86="Limited",$Q86*$H86*0.25,0))),2))</x:f>
        <x:v>0</x:v>
      </x:c>
      <x:c r="T86" s="55" t="str"/>
      <x:c r="U86" s="51" t="str"/>
    </x:row>
    <x:row r="87">
      <x:c r="A87" s="51" t="str">
        <x:v>South Korea</x:v>
      </x:c>
      <x:c r="B87" s="51" t="str">
        <x:v>A</x:v>
      </x:c>
      <x:c r="C87" s="51" t="n">
        <x:v>5</x:v>
      </x:c>
      <x:c r="D87" s="71" t="str"/>
      <x:c r="E87" s="51" t="str">
        <x:v>CB</x:v>
      </x:c>
      <x:c r="F87" s="51" t="str">
        <x:v>Defence</x:v>
      </x:c>
      <x:c r="G87" s="51" t="str">
        <x:v>Starter</x:v>
      </x:c>
      <x:c r="H87" s="55" t="n">
        <x:v>1</x:v>
      </x:c>
      <x:c r="I87" s="51" t="str"/>
      <x:c r="J87" s="72" t="str"/>
      <x:c r="K87" s="72" t="str"/>
      <x:c r="L87" s="72" t="str"/>
      <x:c r="M87" s="72" t="str"/>
      <x:c r="N87" s="72" t="str"/>
      <x:c r="O87" s="72" t="str"/>
      <x:c r="P87" s="72" t="str">
        <x:v>Available</x:v>
      </x:c>
      <x:c r="Q87" s="72" t="n">
        <x:v>0</x:v>
      </x:c>
      <x:c r="R87" s="55" t="str">
        <x:f>IF($D87="","",ROUND(MAX(0,MIN(100,0.35*$J87+0.2*$K87+0.15*$L87+0.15*$M87+0.1*$N87+0.05*$O87-IF(OR($P87="Out",$P87="Suspended"),$Q87,IF($P87="Doubtful",$Q87*0.5,IF($P87="Limited",$Q87*0.25,0))))),2))</x:f>
      </x:c>
      <x:c r="S87" s="55" t="n">
        <x:f>IF($D87="",0,ROUND(IF(OR($P87="Out",$P87="Suspended"),$Q87*$H87,IF($P87="Doubtful",$Q87*$H87*0.5,IF($P87="Limited",$Q87*$H87*0.25,0))),2))</x:f>
        <x:v>0</x:v>
      </x:c>
      <x:c r="T87" s="55" t="str"/>
      <x:c r="U87" s="51" t="str"/>
    </x:row>
    <x:row r="88">
      <x:c r="A88" s="51" t="str">
        <x:v>South Korea</x:v>
      </x:c>
      <x:c r="B88" s="51" t="str">
        <x:v>A</x:v>
      </x:c>
      <x:c r="C88" s="51" t="n">
        <x:v>6</x:v>
      </x:c>
      <x:c r="D88" s="71" t="str"/>
      <x:c r="E88" s="51" t="str">
        <x:v>CB</x:v>
      </x:c>
      <x:c r="F88" s="51" t="str">
        <x:v>Defence</x:v>
      </x:c>
      <x:c r="G88" s="51" t="str">
        <x:v>Starter</x:v>
      </x:c>
      <x:c r="H88" s="55" t="n">
        <x:v>1</x:v>
      </x:c>
      <x:c r="I88" s="51" t="str"/>
      <x:c r="J88" s="72" t="str"/>
      <x:c r="K88" s="72" t="str"/>
      <x:c r="L88" s="72" t="str"/>
      <x:c r="M88" s="72" t="str"/>
      <x:c r="N88" s="72" t="str"/>
      <x:c r="O88" s="72" t="str"/>
      <x:c r="P88" s="72" t="str">
        <x:v>Available</x:v>
      </x:c>
      <x:c r="Q88" s="72" t="n">
        <x:v>0</x:v>
      </x:c>
      <x:c r="R88" s="55" t="str">
        <x:f>IF($D88="","",ROUND(MAX(0,MIN(100,0.35*$J88+0.2*$K88+0.15*$L88+0.15*$M88+0.1*$N88+0.05*$O88-IF(OR($P88="Out",$P88="Suspended"),$Q88,IF($P88="Doubtful",$Q88*0.5,IF($P88="Limited",$Q88*0.25,0))))),2))</x:f>
      </x:c>
      <x:c r="S88" s="55" t="n">
        <x:f>IF($D88="",0,ROUND(IF(OR($P88="Out",$P88="Suspended"),$Q88*$H88,IF($P88="Doubtful",$Q88*$H88*0.5,IF($P88="Limited",$Q88*$H88*0.25,0))),2))</x:f>
        <x:v>0</x:v>
      </x:c>
      <x:c r="T88" s="55" t="str"/>
      <x:c r="U88" s="51" t="str"/>
    </x:row>
    <x:row r="89">
      <x:c r="A89" s="51" t="str">
        <x:v>South Korea</x:v>
      </x:c>
      <x:c r="B89" s="51" t="str">
        <x:v>A</x:v>
      </x:c>
      <x:c r="C89" s="51" t="n">
        <x:v>7</x:v>
      </x:c>
      <x:c r="D89" s="71" t="str"/>
      <x:c r="E89" s="51" t="str">
        <x:v>FB</x:v>
      </x:c>
      <x:c r="F89" s="51" t="str">
        <x:v>Defence</x:v>
      </x:c>
      <x:c r="G89" s="51" t="str">
        <x:v>Starter</x:v>
      </x:c>
      <x:c r="H89" s="55" t="n">
        <x:v>1</x:v>
      </x:c>
      <x:c r="I89" s="51" t="str"/>
      <x:c r="J89" s="72" t="str"/>
      <x:c r="K89" s="72" t="str"/>
      <x:c r="L89" s="72" t="str"/>
      <x:c r="M89" s="72" t="str"/>
      <x:c r="N89" s="72" t="str"/>
      <x:c r="O89" s="72" t="str"/>
      <x:c r="P89" s="72" t="str">
        <x:v>Available</x:v>
      </x:c>
      <x:c r="Q89" s="72" t="n">
        <x:v>0</x:v>
      </x:c>
      <x:c r="R89" s="55" t="str">
        <x:f>IF($D89="","",ROUND(MAX(0,MIN(100,0.35*$J89+0.2*$K89+0.15*$L89+0.15*$M89+0.1*$N89+0.05*$O89-IF(OR($P89="Out",$P89="Suspended"),$Q89,IF($P89="Doubtful",$Q89*0.5,IF($P89="Limited",$Q89*0.25,0))))),2))</x:f>
      </x:c>
      <x:c r="S89" s="55" t="n">
        <x:f>IF($D89="",0,ROUND(IF(OR($P89="Out",$P89="Suspended"),$Q89*$H89,IF($P89="Doubtful",$Q89*$H89*0.5,IF($P89="Limited",$Q89*$H89*0.25,0))),2))</x:f>
        <x:v>0</x:v>
      </x:c>
      <x:c r="T89" s="55" t="str"/>
      <x:c r="U89" s="51" t="str"/>
    </x:row>
    <x:row r="90">
      <x:c r="A90" s="51" t="str">
        <x:v>South Korea</x:v>
      </x:c>
      <x:c r="B90" s="51" t="str">
        <x:v>A</x:v>
      </x:c>
      <x:c r="C90" s="51" t="n">
        <x:v>8</x:v>
      </x:c>
      <x:c r="D90" s="71" t="str"/>
      <x:c r="E90" s="51" t="str">
        <x:v>FB</x:v>
      </x:c>
      <x:c r="F90" s="51" t="str">
        <x:v>Defence</x:v>
      </x:c>
      <x:c r="G90" s="51" t="str">
        <x:v>Starter</x:v>
      </x:c>
      <x:c r="H90" s="55" t="n">
        <x:v>1</x:v>
      </x:c>
      <x:c r="I90" s="51" t="str"/>
      <x:c r="J90" s="72" t="str"/>
      <x:c r="K90" s="72" t="str"/>
      <x:c r="L90" s="72" t="str"/>
      <x:c r="M90" s="72" t="str"/>
      <x:c r="N90" s="72" t="str"/>
      <x:c r="O90" s="72" t="str"/>
      <x:c r="P90" s="72" t="str">
        <x:v>Available</x:v>
      </x:c>
      <x:c r="Q90" s="72" t="n">
        <x:v>0</x:v>
      </x:c>
      <x:c r="R90" s="55" t="str">
        <x:f>IF($D90="","",ROUND(MAX(0,MIN(100,0.35*$J90+0.2*$K90+0.15*$L90+0.15*$M90+0.1*$N90+0.05*$O90-IF(OR($P90="Out",$P90="Suspended"),$Q90,IF($P90="Doubtful",$Q90*0.5,IF($P90="Limited",$Q90*0.25,0))))),2))</x:f>
      </x:c>
      <x:c r="S90" s="55" t="n">
        <x:f>IF($D90="",0,ROUND(IF(OR($P90="Out",$P90="Suspended"),$Q90*$H90,IF($P90="Doubtful",$Q90*$H90*0.5,IF($P90="Limited",$Q90*$H90*0.25,0))),2))</x:f>
        <x:v>0</x:v>
      </x:c>
      <x:c r="T90" s="55" t="str"/>
      <x:c r="U90" s="51" t="str"/>
    </x:row>
    <x:row r="91">
      <x:c r="A91" s="51" t="str">
        <x:v>South Korea</x:v>
      </x:c>
      <x:c r="B91" s="51" t="str">
        <x:v>A</x:v>
      </x:c>
      <x:c r="C91" s="51" t="n">
        <x:v>9</x:v>
      </x:c>
      <x:c r="D91" s="71" t="str"/>
      <x:c r="E91" s="51" t="str">
        <x:v>DM</x:v>
      </x:c>
      <x:c r="F91" s="51" t="str">
        <x:v>Midfield</x:v>
      </x:c>
      <x:c r="G91" s="51" t="str">
        <x:v>Starter</x:v>
      </x:c>
      <x:c r="H91" s="55" t="n">
        <x:v>1</x:v>
      </x:c>
      <x:c r="I91" s="51" t="str"/>
      <x:c r="J91" s="72" t="str"/>
      <x:c r="K91" s="72" t="str"/>
      <x:c r="L91" s="72" t="str"/>
      <x:c r="M91" s="72" t="str"/>
      <x:c r="N91" s="72" t="str"/>
      <x:c r="O91" s="72" t="str"/>
      <x:c r="P91" s="72" t="str">
        <x:v>Available</x:v>
      </x:c>
      <x:c r="Q91" s="72" t="n">
        <x:v>0</x:v>
      </x:c>
      <x:c r="R91" s="55" t="str">
        <x:f>IF($D91="","",ROUND(MAX(0,MIN(100,0.35*$J91+0.2*$K91+0.15*$L91+0.15*$M91+0.1*$N91+0.05*$O91-IF(OR($P91="Out",$P91="Suspended"),$Q91,IF($P91="Doubtful",$Q91*0.5,IF($P91="Limited",$Q91*0.25,0))))),2))</x:f>
      </x:c>
      <x:c r="S91" s="55" t="n">
        <x:f>IF($D91="",0,ROUND(IF(OR($P91="Out",$P91="Suspended"),$Q91*$H91,IF($P91="Doubtful",$Q91*$H91*0.5,IF($P91="Limited",$Q91*$H91*0.25,0))),2))</x:f>
        <x:v>0</x:v>
      </x:c>
      <x:c r="T91" s="55" t="str"/>
      <x:c r="U91" s="51" t="str"/>
    </x:row>
    <x:row r="92">
      <x:c r="A92" s="51" t="str">
        <x:v>South Korea</x:v>
      </x:c>
      <x:c r="B92" s="51" t="str">
        <x:v>A</x:v>
      </x:c>
      <x:c r="C92" s="51" t="n">
        <x:v>10</x:v>
      </x:c>
      <x:c r="D92" s="71" t="str"/>
      <x:c r="E92" s="51" t="str">
        <x:v>DM</x:v>
      </x:c>
      <x:c r="F92" s="51" t="str">
        <x:v>Midfield</x:v>
      </x:c>
      <x:c r="G92" s="51" t="str">
        <x:v>Starter</x:v>
      </x:c>
      <x:c r="H92" s="55" t="n">
        <x:v>1</x:v>
      </x:c>
      <x:c r="I92" s="51" t="str"/>
      <x:c r="J92" s="72" t="str"/>
      <x:c r="K92" s="72" t="str"/>
      <x:c r="L92" s="72" t="str"/>
      <x:c r="M92" s="72" t="str"/>
      <x:c r="N92" s="72" t="str"/>
      <x:c r="O92" s="72" t="str"/>
      <x:c r="P92" s="72" t="str">
        <x:v>Available</x:v>
      </x:c>
      <x:c r="Q92" s="72" t="n">
        <x:v>0</x:v>
      </x:c>
      <x:c r="R92" s="55" t="str">
        <x:f>IF($D92="","",ROUND(MAX(0,MIN(100,0.35*$J92+0.2*$K92+0.15*$L92+0.15*$M92+0.1*$N92+0.05*$O92-IF(OR($P92="Out",$P92="Suspended"),$Q92,IF($P92="Doubtful",$Q92*0.5,IF($P92="Limited",$Q92*0.25,0))))),2))</x:f>
      </x:c>
      <x:c r="S92" s="55" t="n">
        <x:f>IF($D92="",0,ROUND(IF(OR($P92="Out",$P92="Suspended"),$Q92*$H92,IF($P92="Doubtful",$Q92*$H92*0.5,IF($P92="Limited",$Q92*$H92*0.25,0))),2))</x:f>
        <x:v>0</x:v>
      </x:c>
      <x:c r="T92" s="55" t="str"/>
      <x:c r="U92" s="51" t="str"/>
    </x:row>
    <x:row r="93">
      <x:c r="A93" s="51" t="str">
        <x:v>South Korea</x:v>
      </x:c>
      <x:c r="B93" s="51" t="str">
        <x:v>A</x:v>
      </x:c>
      <x:c r="C93" s="51" t="n">
        <x:v>11</x:v>
      </x:c>
      <x:c r="D93" s="71" t="str"/>
      <x:c r="E93" s="51" t="str">
        <x:v>DM</x:v>
      </x:c>
      <x:c r="F93" s="51" t="str">
        <x:v>Midfield</x:v>
      </x:c>
      <x:c r="G93" s="51" t="str">
        <x:v>Starter</x:v>
      </x:c>
      <x:c r="H93" s="55" t="n">
        <x:v>1</x:v>
      </x:c>
      <x:c r="I93" s="51" t="str"/>
      <x:c r="J93" s="72" t="str"/>
      <x:c r="K93" s="72" t="str"/>
      <x:c r="L93" s="72" t="str"/>
      <x:c r="M93" s="72" t="str"/>
      <x:c r="N93" s="72" t="str"/>
      <x:c r="O93" s="72" t="str"/>
      <x:c r="P93" s="72" t="str">
        <x:v>Available</x:v>
      </x:c>
      <x:c r="Q93" s="72" t="n">
        <x:v>0</x:v>
      </x:c>
      <x:c r="R93" s="55" t="str">
        <x:f>IF($D93="","",ROUND(MAX(0,MIN(100,0.35*$J93+0.2*$K93+0.15*$L93+0.15*$M93+0.1*$N93+0.05*$O93-IF(OR($P93="Out",$P93="Suspended"),$Q93,IF($P93="Doubtful",$Q93*0.5,IF($P93="Limited",$Q93*0.25,0))))),2))</x:f>
      </x:c>
      <x:c r="S93" s="55" t="n">
        <x:f>IF($D93="",0,ROUND(IF(OR($P93="Out",$P93="Suspended"),$Q93*$H93,IF($P93="Doubtful",$Q93*$H93*0.5,IF($P93="Limited",$Q93*$H93*0.25,0))),2))</x:f>
        <x:v>0</x:v>
      </x:c>
      <x:c r="T93" s="55" t="str"/>
      <x:c r="U93" s="51" t="str"/>
    </x:row>
    <x:row r="94">
      <x:c r="A94" s="51" t="str">
        <x:v>South Korea</x:v>
      </x:c>
      <x:c r="B94" s="51" t="str">
        <x:v>A</x:v>
      </x:c>
      <x:c r="C94" s="51" t="n">
        <x:v>12</x:v>
      </x:c>
      <x:c r="D94" s="71" t="str"/>
      <x:c r="E94" s="51" t="str">
        <x:v>CM</x:v>
      </x:c>
      <x:c r="F94" s="51" t="str">
        <x:v>Midfield</x:v>
      </x:c>
      <x:c r="G94" s="51" t="str">
        <x:v>Rotation</x:v>
      </x:c>
      <x:c r="H94" s="55" t="n">
        <x:v>0.35</x:v>
      </x:c>
      <x:c r="I94" s="51" t="str"/>
      <x:c r="J94" s="72" t="str"/>
      <x:c r="K94" s="72" t="str"/>
      <x:c r="L94" s="72" t="str"/>
      <x:c r="M94" s="72" t="str"/>
      <x:c r="N94" s="72" t="str"/>
      <x:c r="O94" s="72" t="str"/>
      <x:c r="P94" s="72" t="str">
        <x:v>Available</x:v>
      </x:c>
      <x:c r="Q94" s="72" t="n">
        <x:v>0</x:v>
      </x:c>
      <x:c r="R94" s="55" t="str">
        <x:f>IF($D94="","",ROUND(MAX(0,MIN(100,0.35*$J94+0.2*$K94+0.15*$L94+0.15*$M94+0.1*$N94+0.05*$O94-IF(OR($P94="Out",$P94="Suspended"),$Q94,IF($P94="Doubtful",$Q94*0.5,IF($P94="Limited",$Q94*0.25,0))))),2))</x:f>
      </x:c>
      <x:c r="S94" s="55" t="n">
        <x:f>IF($D94="",0,ROUND(IF(OR($P94="Out",$P94="Suspended"),$Q94*$H94,IF($P94="Doubtful",$Q94*$H94*0.5,IF($P94="Limited",$Q94*$H94*0.25,0))),2))</x:f>
        <x:v>0</x:v>
      </x:c>
      <x:c r="T94" s="55" t="str"/>
      <x:c r="U94" s="51" t="str"/>
    </x:row>
    <x:row r="95">
      <x:c r="A95" s="51" t="str">
        <x:v>South Korea</x:v>
      </x:c>
      <x:c r="B95" s="51" t="str">
        <x:v>A</x:v>
      </x:c>
      <x:c r="C95" s="51" t="n">
        <x:v>13</x:v>
      </x:c>
      <x:c r="D95" s="71" t="str"/>
      <x:c r="E95" s="51" t="str">
        <x:v>CM</x:v>
      </x:c>
      <x:c r="F95" s="51" t="str">
        <x:v>Midfield</x:v>
      </x:c>
      <x:c r="G95" s="51" t="str">
        <x:v>Rotation</x:v>
      </x:c>
      <x:c r="H95" s="55" t="n">
        <x:v>0.35</x:v>
      </x:c>
      <x:c r="I95" s="51" t="str"/>
      <x:c r="J95" s="72" t="str"/>
      <x:c r="K95" s="72" t="str"/>
      <x:c r="L95" s="72" t="str"/>
      <x:c r="M95" s="72" t="str"/>
      <x:c r="N95" s="72" t="str"/>
      <x:c r="O95" s="72" t="str"/>
      <x:c r="P95" s="72" t="str">
        <x:v>Available</x:v>
      </x:c>
      <x:c r="Q95" s="72" t="n">
        <x:v>0</x:v>
      </x:c>
      <x:c r="R95" s="55" t="str">
        <x:f>IF($D95="","",ROUND(MAX(0,MIN(100,0.35*$J95+0.2*$K95+0.15*$L95+0.15*$M95+0.1*$N95+0.05*$O95-IF(OR($P95="Out",$P95="Suspended"),$Q95,IF($P95="Doubtful",$Q95*0.5,IF($P95="Limited",$Q95*0.25,0))))),2))</x:f>
      </x:c>
      <x:c r="S95" s="55" t="n">
        <x:f>IF($D95="",0,ROUND(IF(OR($P95="Out",$P95="Suspended"),$Q95*$H95,IF($P95="Doubtful",$Q95*$H95*0.5,IF($P95="Limited",$Q95*$H95*0.25,0))),2))</x:f>
        <x:v>0</x:v>
      </x:c>
      <x:c r="T95" s="55" t="str"/>
      <x:c r="U95" s="51" t="str"/>
    </x:row>
    <x:row r="96">
      <x:c r="A96" s="51" t="str">
        <x:v>South Korea</x:v>
      </x:c>
      <x:c r="B96" s="51" t="str">
        <x:v>A</x:v>
      </x:c>
      <x:c r="C96" s="51" t="n">
        <x:v>14</x:v>
      </x:c>
      <x:c r="D96" s="71" t="str"/>
      <x:c r="E96" s="51" t="str">
        <x:v>CM</x:v>
      </x:c>
      <x:c r="F96" s="51" t="str">
        <x:v>Midfield</x:v>
      </x:c>
      <x:c r="G96" s="51" t="str">
        <x:v>Rotation</x:v>
      </x:c>
      <x:c r="H96" s="55" t="n">
        <x:v>0.35</x:v>
      </x:c>
      <x:c r="I96" s="51" t="str"/>
      <x:c r="J96" s="72" t="str"/>
      <x:c r="K96" s="72" t="str"/>
      <x:c r="L96" s="72" t="str"/>
      <x:c r="M96" s="72" t="str"/>
      <x:c r="N96" s="72" t="str"/>
      <x:c r="O96" s="72" t="str"/>
      <x:c r="P96" s="72" t="str">
        <x:v>Available</x:v>
      </x:c>
      <x:c r="Q96" s="72" t="n">
        <x:v>0</x:v>
      </x:c>
      <x:c r="R96" s="55" t="str">
        <x:f>IF($D96="","",ROUND(MAX(0,MIN(100,0.35*$J96+0.2*$K96+0.15*$L96+0.15*$M96+0.1*$N96+0.05*$O96-IF(OR($P96="Out",$P96="Suspended"),$Q96,IF($P96="Doubtful",$Q96*0.5,IF($P96="Limited",$Q96*0.25,0))))),2))</x:f>
      </x:c>
      <x:c r="S96" s="55" t="n">
        <x:f>IF($D96="",0,ROUND(IF(OR($P96="Out",$P96="Suspended"),$Q96*$H96,IF($P96="Doubtful",$Q96*$H96*0.5,IF($P96="Limited",$Q96*$H96*0.25,0))),2))</x:f>
        <x:v>0</x:v>
      </x:c>
      <x:c r="T96" s="55" t="str"/>
      <x:c r="U96" s="51" t="str"/>
    </x:row>
    <x:row r="97">
      <x:c r="A97" s="51" t="str">
        <x:v>South Korea</x:v>
      </x:c>
      <x:c r="B97" s="51" t="str">
        <x:v>A</x:v>
      </x:c>
      <x:c r="C97" s="51" t="n">
        <x:v>15</x:v>
      </x:c>
      <x:c r="D97" s="71" t="str"/>
      <x:c r="E97" s="51" t="str">
        <x:v>CM</x:v>
      </x:c>
      <x:c r="F97" s="51" t="str">
        <x:v>Midfield</x:v>
      </x:c>
      <x:c r="G97" s="51" t="str">
        <x:v>Rotation</x:v>
      </x:c>
      <x:c r="H97" s="55" t="n">
        <x:v>0.35</x:v>
      </x:c>
      <x:c r="I97" s="51" t="str"/>
      <x:c r="J97" s="72" t="str"/>
      <x:c r="K97" s="72" t="str"/>
      <x:c r="L97" s="72" t="str"/>
      <x:c r="M97" s="72" t="str"/>
      <x:c r="N97" s="72" t="str"/>
      <x:c r="O97" s="72" t="str"/>
      <x:c r="P97" s="72" t="str">
        <x:v>Available</x:v>
      </x:c>
      <x:c r="Q97" s="72" t="n">
        <x:v>0</x:v>
      </x:c>
      <x:c r="R97" s="55" t="str">
        <x:f>IF($D97="","",ROUND(MAX(0,MIN(100,0.35*$J97+0.2*$K97+0.15*$L97+0.15*$M97+0.1*$N97+0.05*$O97-IF(OR($P97="Out",$P97="Suspended"),$Q97,IF($P97="Doubtful",$Q97*0.5,IF($P97="Limited",$Q97*0.25,0))))),2))</x:f>
      </x:c>
      <x:c r="S97" s="55" t="n">
        <x:f>IF($D97="",0,ROUND(IF(OR($P97="Out",$P97="Suspended"),$Q97*$H97,IF($P97="Doubtful",$Q97*$H97*0.5,IF($P97="Limited",$Q97*$H97*0.25,0))),2))</x:f>
        <x:v>0</x:v>
      </x:c>
      <x:c r="T97" s="55" t="str"/>
      <x:c r="U97" s="51" t="str"/>
    </x:row>
    <x:row r="98">
      <x:c r="A98" s="51" t="str">
        <x:v>South Korea</x:v>
      </x:c>
      <x:c r="B98" s="51" t="str">
        <x:v>A</x:v>
      </x:c>
      <x:c r="C98" s="51" t="n">
        <x:v>16</x:v>
      </x:c>
      <x:c r="D98" s="71" t="str"/>
      <x:c r="E98" s="51" t="str">
        <x:v>AM</x:v>
      </x:c>
      <x:c r="F98" s="51" t="str">
        <x:v>Attack</x:v>
      </x:c>
      <x:c r="G98" s="51" t="str">
        <x:v>Rotation</x:v>
      </x:c>
      <x:c r="H98" s="55" t="n">
        <x:v>0.35</x:v>
      </x:c>
      <x:c r="I98" s="51" t="str"/>
      <x:c r="J98" s="72" t="str"/>
      <x:c r="K98" s="72" t="str"/>
      <x:c r="L98" s="72" t="str"/>
      <x:c r="M98" s="72" t="str"/>
      <x:c r="N98" s="72" t="str"/>
      <x:c r="O98" s="72" t="str"/>
      <x:c r="P98" s="72" t="str">
        <x:v>Available</x:v>
      </x:c>
      <x:c r="Q98" s="72" t="n">
        <x:v>0</x:v>
      </x:c>
      <x:c r="R98" s="55" t="str">
        <x:f>IF($D98="","",ROUND(MAX(0,MIN(100,0.35*$J98+0.2*$K98+0.15*$L98+0.15*$M98+0.1*$N98+0.05*$O98-IF(OR($P98="Out",$P98="Suspended"),$Q98,IF($P98="Doubtful",$Q98*0.5,IF($P98="Limited",$Q98*0.25,0))))),2))</x:f>
      </x:c>
      <x:c r="S98" s="55" t="n">
        <x:f>IF($D98="",0,ROUND(IF(OR($P98="Out",$P98="Suspended"),$Q98*$H98,IF($P98="Doubtful",$Q98*$H98*0.5,IF($P98="Limited",$Q98*$H98*0.25,0))),2))</x:f>
        <x:v>0</x:v>
      </x:c>
      <x:c r="T98" s="55" t="str"/>
      <x:c r="U98" s="51" t="str"/>
    </x:row>
    <x:row r="99">
      <x:c r="A99" s="51" t="str">
        <x:v>South Korea</x:v>
      </x:c>
      <x:c r="B99" s="51" t="str">
        <x:v>A</x:v>
      </x:c>
      <x:c r="C99" s="51" t="n">
        <x:v>17</x:v>
      </x:c>
      <x:c r="D99" s="71" t="str"/>
      <x:c r="E99" s="51" t="str">
        <x:v>AM</x:v>
      </x:c>
      <x:c r="F99" s="51" t="str">
        <x:v>Attack</x:v>
      </x:c>
      <x:c r="G99" s="51" t="str">
        <x:v>Rotation</x:v>
      </x:c>
      <x:c r="H99" s="55" t="n">
        <x:v>0.35</x:v>
      </x:c>
      <x:c r="I99" s="51" t="str"/>
      <x:c r="J99" s="72" t="str"/>
      <x:c r="K99" s="72" t="str"/>
      <x:c r="L99" s="72" t="str"/>
      <x:c r="M99" s="72" t="str"/>
      <x:c r="N99" s="72" t="str"/>
      <x:c r="O99" s="72" t="str"/>
      <x:c r="P99" s="72" t="str">
        <x:v>Available</x:v>
      </x:c>
      <x:c r="Q99" s="72" t="n">
        <x:v>0</x:v>
      </x:c>
      <x:c r="R99" s="55" t="str">
        <x:f>IF($D99="","",ROUND(MAX(0,MIN(100,0.35*$J99+0.2*$K99+0.15*$L99+0.15*$M99+0.1*$N99+0.05*$O99-IF(OR($P99="Out",$P99="Suspended"),$Q99,IF($P99="Doubtful",$Q99*0.5,IF($P99="Limited",$Q99*0.25,0))))),2))</x:f>
      </x:c>
      <x:c r="S99" s="55" t="n">
        <x:f>IF($D99="",0,ROUND(IF(OR($P99="Out",$P99="Suspended"),$Q99*$H99,IF($P99="Doubtful",$Q99*$H99*0.5,IF($P99="Limited",$Q99*$H99*0.25,0))),2))</x:f>
        <x:v>0</x:v>
      </x:c>
      <x:c r="T99" s="55" t="str"/>
      <x:c r="U99" s="51" t="str"/>
    </x:row>
    <x:row r="100">
      <x:c r="A100" s="51" t="str">
        <x:v>South Korea</x:v>
      </x:c>
      <x:c r="B100" s="51" t="str">
        <x:v>A</x:v>
      </x:c>
      <x:c r="C100" s="51" t="n">
        <x:v>18</x:v>
      </x:c>
      <x:c r="D100" s="71" t="str"/>
      <x:c r="E100" s="51" t="str">
        <x:v>AM</x:v>
      </x:c>
      <x:c r="F100" s="51" t="str">
        <x:v>Attack</x:v>
      </x:c>
      <x:c r="G100" s="51" t="str">
        <x:v>Rotation</x:v>
      </x:c>
      <x:c r="H100" s="55" t="n">
        <x:v>0.35</x:v>
      </x:c>
      <x:c r="I100" s="51" t="str"/>
      <x:c r="J100" s="72" t="str"/>
      <x:c r="K100" s="72" t="str"/>
      <x:c r="L100" s="72" t="str"/>
      <x:c r="M100" s="72" t="str"/>
      <x:c r="N100" s="72" t="str"/>
      <x:c r="O100" s="72" t="str"/>
      <x:c r="P100" s="72" t="str">
        <x:v>Available</x:v>
      </x:c>
      <x:c r="Q100" s="72" t="n">
        <x:v>0</x:v>
      </x:c>
      <x:c r="R100" s="55" t="str">
        <x:f>IF($D100="","",ROUND(MAX(0,MIN(100,0.35*$J100+0.2*$K100+0.15*$L100+0.15*$M100+0.1*$N100+0.05*$O100-IF(OR($P100="Out",$P100="Suspended"),$Q100,IF($P100="Doubtful",$Q100*0.5,IF($P100="Limited",$Q100*0.25,0))))),2))</x:f>
      </x:c>
      <x:c r="S100" s="55" t="n">
        <x:f>IF($D100="",0,ROUND(IF(OR($P100="Out",$P100="Suspended"),$Q100*$H100,IF($P100="Doubtful",$Q100*$H100*0.5,IF($P100="Limited",$Q100*$H100*0.25,0))),2))</x:f>
        <x:v>0</x:v>
      </x:c>
      <x:c r="T100" s="55" t="str"/>
      <x:c r="U100" s="51" t="str"/>
    </x:row>
    <x:row r="101">
      <x:c r="A101" s="51" t="str">
        <x:v>South Korea</x:v>
      </x:c>
      <x:c r="B101" s="51" t="str">
        <x:v>A</x:v>
      </x:c>
      <x:c r="C101" s="51" t="n">
        <x:v>19</x:v>
      </x:c>
      <x:c r="D101" s="71" t="str"/>
      <x:c r="E101" s="51" t="str">
        <x:v>AM</x:v>
      </x:c>
      <x:c r="F101" s="51" t="str">
        <x:v>Attack</x:v>
      </x:c>
      <x:c r="G101" s="51" t="str">
        <x:v>Rotation</x:v>
      </x:c>
      <x:c r="H101" s="55" t="n">
        <x:v>0.35</x:v>
      </x:c>
      <x:c r="I101" s="51" t="str"/>
      <x:c r="J101" s="72" t="str"/>
      <x:c r="K101" s="72" t="str"/>
      <x:c r="L101" s="72" t="str"/>
      <x:c r="M101" s="72" t="str"/>
      <x:c r="N101" s="72" t="str"/>
      <x:c r="O101" s="72" t="str"/>
      <x:c r="P101" s="72" t="str">
        <x:v>Available</x:v>
      </x:c>
      <x:c r="Q101" s="72" t="n">
        <x:v>0</x:v>
      </x:c>
      <x:c r="R101" s="55" t="str">
        <x:f>IF($D101="","",ROUND(MAX(0,MIN(100,0.35*$J101+0.2*$K101+0.15*$L101+0.15*$M101+0.1*$N101+0.05*$O101-IF(OR($P101="Out",$P101="Suspended"),$Q101,IF($P101="Doubtful",$Q101*0.5,IF($P101="Limited",$Q101*0.25,0))))),2))</x:f>
      </x:c>
      <x:c r="S101" s="55" t="n">
        <x:f>IF($D101="",0,ROUND(IF(OR($P101="Out",$P101="Suspended"),$Q101*$H101,IF($P101="Doubtful",$Q101*$H101*0.5,IF($P101="Limited",$Q101*$H101*0.25,0))),2))</x:f>
        <x:v>0</x:v>
      </x:c>
      <x:c r="T101" s="55" t="str"/>
      <x:c r="U101" s="51" t="str"/>
    </x:row>
    <x:row r="102">
      <x:c r="A102" s="51" t="str">
        <x:v>South Korea</x:v>
      </x:c>
      <x:c r="B102" s="51" t="str">
        <x:v>A</x:v>
      </x:c>
      <x:c r="C102" s="51" t="n">
        <x:v>20</x:v>
      </x:c>
      <x:c r="D102" s="71" t="str"/>
      <x:c r="E102" s="51" t="str">
        <x:v>Winger</x:v>
      </x:c>
      <x:c r="F102" s="51" t="str">
        <x:v>Attack</x:v>
      </x:c>
      <x:c r="G102" s="51" t="str">
        <x:v>Rotation</x:v>
      </x:c>
      <x:c r="H102" s="55" t="n">
        <x:v>0.35</x:v>
      </x:c>
      <x:c r="I102" s="51" t="str"/>
      <x:c r="J102" s="72" t="str"/>
      <x:c r="K102" s="72" t="str"/>
      <x:c r="L102" s="72" t="str"/>
      <x:c r="M102" s="72" t="str"/>
      <x:c r="N102" s="72" t="str"/>
      <x:c r="O102" s="72" t="str"/>
      <x:c r="P102" s="72" t="str">
        <x:v>Available</x:v>
      </x:c>
      <x:c r="Q102" s="72" t="n">
        <x:v>0</x:v>
      </x:c>
      <x:c r="R102" s="55" t="str">
        <x:f>IF($D102="","",ROUND(MAX(0,MIN(100,0.35*$J102+0.2*$K102+0.15*$L102+0.15*$M102+0.1*$N102+0.05*$O102-IF(OR($P102="Out",$P102="Suspended"),$Q102,IF($P102="Doubtful",$Q102*0.5,IF($P102="Limited",$Q102*0.25,0))))),2))</x:f>
      </x:c>
      <x:c r="S102" s="55" t="n">
        <x:f>IF($D102="",0,ROUND(IF(OR($P102="Out",$P102="Suspended"),$Q102*$H102,IF($P102="Doubtful",$Q102*$H102*0.5,IF($P102="Limited",$Q102*$H102*0.25,0))),2))</x:f>
        <x:v>0</x:v>
      </x:c>
      <x:c r="T102" s="55" t="str"/>
      <x:c r="U102" s="51" t="str"/>
    </x:row>
    <x:row r="103">
      <x:c r="A103" s="51" t="str">
        <x:v>South Korea</x:v>
      </x:c>
      <x:c r="B103" s="51" t="str">
        <x:v>A</x:v>
      </x:c>
      <x:c r="C103" s="51" t="n">
        <x:v>21</x:v>
      </x:c>
      <x:c r="D103" s="71" t="str"/>
      <x:c r="E103" s="51" t="str">
        <x:v>Winger</x:v>
      </x:c>
      <x:c r="F103" s="51" t="str">
        <x:v>Attack</x:v>
      </x:c>
      <x:c r="G103" s="51" t="str">
        <x:v>Depth</x:v>
      </x:c>
      <x:c r="H103" s="55" t="n">
        <x:v>0.1</x:v>
      </x:c>
      <x:c r="I103" s="51" t="str"/>
      <x:c r="J103" s="72" t="str"/>
      <x:c r="K103" s="72" t="str"/>
      <x:c r="L103" s="72" t="str"/>
      <x:c r="M103" s="72" t="str"/>
      <x:c r="N103" s="72" t="str"/>
      <x:c r="O103" s="72" t="str"/>
      <x:c r="P103" s="72" t="str">
        <x:v>Available</x:v>
      </x:c>
      <x:c r="Q103" s="72" t="n">
        <x:v>0</x:v>
      </x:c>
      <x:c r="R103" s="55" t="str">
        <x:f>IF($D103="","",ROUND(MAX(0,MIN(100,0.35*$J103+0.2*$K103+0.15*$L103+0.15*$M103+0.1*$N103+0.05*$O103-IF(OR($P103="Out",$P103="Suspended"),$Q103,IF($P103="Doubtful",$Q103*0.5,IF($P103="Limited",$Q103*0.25,0))))),2))</x:f>
      </x:c>
      <x:c r="S103" s="55" t="n">
        <x:f>IF($D103="",0,ROUND(IF(OR($P103="Out",$P103="Suspended"),$Q103*$H103,IF($P103="Doubtful",$Q103*$H103*0.5,IF($P103="Limited",$Q103*$H103*0.25,0))),2))</x:f>
        <x:v>0</x:v>
      </x:c>
      <x:c r="T103" s="55" t="str"/>
      <x:c r="U103" s="51" t="str"/>
    </x:row>
    <x:row r="104">
      <x:c r="A104" s="51" t="str">
        <x:v>South Korea</x:v>
      </x:c>
      <x:c r="B104" s="51" t="str">
        <x:v>A</x:v>
      </x:c>
      <x:c r="C104" s="51" t="n">
        <x:v>22</x:v>
      </x:c>
      <x:c r="D104" s="71" t="str"/>
      <x:c r="E104" s="51" t="str">
        <x:v>Winger</x:v>
      </x:c>
      <x:c r="F104" s="51" t="str">
        <x:v>Attack</x:v>
      </x:c>
      <x:c r="G104" s="51" t="str">
        <x:v>Depth</x:v>
      </x:c>
      <x:c r="H104" s="55" t="n">
        <x:v>0.1</x:v>
      </x:c>
      <x:c r="I104" s="51" t="str"/>
      <x:c r="J104" s="72" t="str"/>
      <x:c r="K104" s="72" t="str"/>
      <x:c r="L104" s="72" t="str"/>
      <x:c r="M104" s="72" t="str"/>
      <x:c r="N104" s="72" t="str"/>
      <x:c r="O104" s="72" t="str"/>
      <x:c r="P104" s="72" t="str">
        <x:v>Available</x:v>
      </x:c>
      <x:c r="Q104" s="72" t="n">
        <x:v>0</x:v>
      </x:c>
      <x:c r="R104" s="55" t="str">
        <x:f>IF($D104="","",ROUND(MAX(0,MIN(100,0.35*$J104+0.2*$K104+0.15*$L104+0.15*$M104+0.1*$N104+0.05*$O104-IF(OR($P104="Out",$P104="Suspended"),$Q104,IF($P104="Doubtful",$Q104*0.5,IF($P104="Limited",$Q104*0.25,0))))),2))</x:f>
      </x:c>
      <x:c r="S104" s="55" t="n">
        <x:f>IF($D104="",0,ROUND(IF(OR($P104="Out",$P104="Suspended"),$Q104*$H104,IF($P104="Doubtful",$Q104*$H104*0.5,IF($P104="Limited",$Q104*$H104*0.25,0))),2))</x:f>
        <x:v>0</x:v>
      </x:c>
      <x:c r="T104" s="55" t="str"/>
      <x:c r="U104" s="51" t="str"/>
    </x:row>
    <x:row r="105">
      <x:c r="A105" s="51" t="str">
        <x:v>South Korea</x:v>
      </x:c>
      <x:c r="B105" s="51" t="str">
        <x:v>A</x:v>
      </x:c>
      <x:c r="C105" s="51" t="n">
        <x:v>23</x:v>
      </x:c>
      <x:c r="D105" s="71" t="str"/>
      <x:c r="E105" s="51" t="str">
        <x:v>Winger</x:v>
      </x:c>
      <x:c r="F105" s="51" t="str">
        <x:v>Attack</x:v>
      </x:c>
      <x:c r="G105" s="51" t="str">
        <x:v>Depth</x:v>
      </x:c>
      <x:c r="H105" s="55" t="n">
        <x:v>0.1</x:v>
      </x:c>
      <x:c r="I105" s="51" t="str"/>
      <x:c r="J105" s="72" t="str"/>
      <x:c r="K105" s="72" t="str"/>
      <x:c r="L105" s="72" t="str"/>
      <x:c r="M105" s="72" t="str"/>
      <x:c r="N105" s="72" t="str"/>
      <x:c r="O105" s="72" t="str"/>
      <x:c r="P105" s="72" t="str">
        <x:v>Available</x:v>
      </x:c>
      <x:c r="Q105" s="72" t="n">
        <x:v>0</x:v>
      </x:c>
      <x:c r="R105" s="55" t="str">
        <x:f>IF($D105="","",ROUND(MAX(0,MIN(100,0.35*$J105+0.2*$K105+0.15*$L105+0.15*$M105+0.1*$N105+0.05*$O105-IF(OR($P105="Out",$P105="Suspended"),$Q105,IF($P105="Doubtful",$Q105*0.5,IF($P105="Limited",$Q105*0.25,0))))),2))</x:f>
      </x:c>
      <x:c r="S105" s="55" t="n">
        <x:f>IF($D105="",0,ROUND(IF(OR($P105="Out",$P105="Suspended"),$Q105*$H105,IF($P105="Doubtful",$Q105*$H105*0.5,IF($P105="Limited",$Q105*$H105*0.25,0))),2))</x:f>
        <x:v>0</x:v>
      </x:c>
      <x:c r="T105" s="55" t="str"/>
      <x:c r="U105" s="51" t="str"/>
    </x:row>
    <x:row r="106">
      <x:c r="A106" s="51" t="str">
        <x:v>South Korea</x:v>
      </x:c>
      <x:c r="B106" s="51" t="str">
        <x:v>A</x:v>
      </x:c>
      <x:c r="C106" s="51" t="n">
        <x:v>24</x:v>
      </x:c>
      <x:c r="D106" s="71" t="str"/>
      <x:c r="E106" s="51" t="str">
        <x:v>ST</x:v>
      </x:c>
      <x:c r="F106" s="51" t="str">
        <x:v>Attack</x:v>
      </x:c>
      <x:c r="G106" s="51" t="str">
        <x:v>Depth</x:v>
      </x:c>
      <x:c r="H106" s="55" t="n">
        <x:v>0.1</x:v>
      </x:c>
      <x:c r="I106" s="51" t="str"/>
      <x:c r="J106" s="72" t="str"/>
      <x:c r="K106" s="72" t="str"/>
      <x:c r="L106" s="72" t="str"/>
      <x:c r="M106" s="72" t="str"/>
      <x:c r="N106" s="72" t="str"/>
      <x:c r="O106" s="72" t="str"/>
      <x:c r="P106" s="72" t="str">
        <x:v>Available</x:v>
      </x:c>
      <x:c r="Q106" s="72" t="n">
        <x:v>0</x:v>
      </x:c>
      <x:c r="R106" s="55" t="str">
        <x:f>IF($D106="","",ROUND(MAX(0,MIN(100,0.35*$J106+0.2*$K106+0.15*$L106+0.15*$M106+0.1*$N106+0.05*$O106-IF(OR($P106="Out",$P106="Suspended"),$Q106,IF($P106="Doubtful",$Q106*0.5,IF($P106="Limited",$Q106*0.25,0))))),2))</x:f>
      </x:c>
      <x:c r="S106" s="55" t="n">
        <x:f>IF($D106="",0,ROUND(IF(OR($P106="Out",$P106="Suspended"),$Q106*$H106,IF($P106="Doubtful",$Q106*$H106*0.5,IF($P106="Limited",$Q106*$H106*0.25,0))),2))</x:f>
        <x:v>0</x:v>
      </x:c>
      <x:c r="T106" s="55" t="str"/>
      <x:c r="U106" s="51" t="str"/>
    </x:row>
    <x:row r="107">
      <x:c r="A107" s="51" t="str">
        <x:v>South Korea</x:v>
      </x:c>
      <x:c r="B107" s="51" t="str">
        <x:v>A</x:v>
      </x:c>
      <x:c r="C107" s="51" t="n">
        <x:v>25</x:v>
      </x:c>
      <x:c r="D107" s="71" t="str"/>
      <x:c r="E107" s="51" t="str">
        <x:v>ST</x:v>
      </x:c>
      <x:c r="F107" s="51" t="str">
        <x:v>Attack</x:v>
      </x:c>
      <x:c r="G107" s="51" t="str">
        <x:v>Depth</x:v>
      </x:c>
      <x:c r="H107" s="55" t="n">
        <x:v>0.1</x:v>
      </x:c>
      <x:c r="I107" s="51" t="str"/>
      <x:c r="J107" s="72" t="str"/>
      <x:c r="K107" s="72" t="str"/>
      <x:c r="L107" s="72" t="str"/>
      <x:c r="M107" s="72" t="str"/>
      <x:c r="N107" s="72" t="str"/>
      <x:c r="O107" s="72" t="str"/>
      <x:c r="P107" s="72" t="str">
        <x:v>Available</x:v>
      </x:c>
      <x:c r="Q107" s="72" t="n">
        <x:v>0</x:v>
      </x:c>
      <x:c r="R107" s="55" t="str">
        <x:f>IF($D107="","",ROUND(MAX(0,MIN(100,0.35*$J107+0.2*$K107+0.15*$L107+0.15*$M107+0.1*$N107+0.05*$O107-IF(OR($P107="Out",$P107="Suspended"),$Q107,IF($P107="Doubtful",$Q107*0.5,IF($P107="Limited",$Q107*0.25,0))))),2))</x:f>
      </x:c>
      <x:c r="S107" s="55" t="n">
        <x:f>IF($D107="",0,ROUND(IF(OR($P107="Out",$P107="Suspended"),$Q107*$H107,IF($P107="Doubtful",$Q107*$H107*0.5,IF($P107="Limited",$Q107*$H107*0.25,0))),2))</x:f>
        <x:v>0</x:v>
      </x:c>
      <x:c r="T107" s="55" t="str"/>
      <x:c r="U107" s="51" t="str"/>
    </x:row>
    <x:row r="108">
      <x:c r="A108" s="51" t="str">
        <x:v>South Korea</x:v>
      </x:c>
      <x:c r="B108" s="51" t="str">
        <x:v>A</x:v>
      </x:c>
      <x:c r="C108" s="51" t="n">
        <x:v>26</x:v>
      </x:c>
      <x:c r="D108" s="71" t="str"/>
      <x:c r="E108" s="51" t="str">
        <x:v>ST</x:v>
      </x:c>
      <x:c r="F108" s="51" t="str">
        <x:v>Attack</x:v>
      </x:c>
      <x:c r="G108" s="51" t="str">
        <x:v>Depth</x:v>
      </x:c>
      <x:c r="H108" s="55" t="n">
        <x:v>0.1</x:v>
      </x:c>
      <x:c r="I108" s="51" t="str"/>
      <x:c r="J108" s="72" t="str"/>
      <x:c r="K108" s="72" t="str"/>
      <x:c r="L108" s="72" t="str"/>
      <x:c r="M108" s="72" t="str"/>
      <x:c r="N108" s="72" t="str"/>
      <x:c r="O108" s="72" t="str"/>
      <x:c r="P108" s="72" t="str">
        <x:v>Available</x:v>
      </x:c>
      <x:c r="Q108" s="72" t="n">
        <x:v>0</x:v>
      </x:c>
      <x:c r="R108" s="55" t="str">
        <x:f>IF($D108="","",ROUND(MAX(0,MIN(100,0.35*$J108+0.2*$K108+0.15*$L108+0.15*$M108+0.1*$N108+0.05*$O108-IF(OR($P108="Out",$P108="Suspended"),$Q108,IF($P108="Doubtful",$Q108*0.5,IF($P108="Limited",$Q108*0.25,0))))),2))</x:f>
      </x:c>
      <x:c r="S108" s="55" t="n">
        <x:f>IF($D108="",0,ROUND(IF(OR($P108="Out",$P108="Suspended"),$Q108*$H108,IF($P108="Doubtful",$Q108*$H108*0.5,IF($P108="Limited",$Q108*$H108*0.25,0))),2))</x:f>
        <x:v>0</x:v>
      </x:c>
      <x:c r="T108" s="55" t="str"/>
      <x:c r="U108" s="51" t="str"/>
    </x:row>
    <x:row r="109">
      <x:c r="A109" s="51" t="str">
        <x:v>Bosnia &amp; Herzegovina</x:v>
      </x:c>
      <x:c r="B109" s="51" t="str">
        <x:v>B</x:v>
      </x:c>
      <x:c r="C109" s="51" t="n">
        <x:v>1</x:v>
      </x:c>
      <x:c r="D109" s="71" t="str"/>
      <x:c r="E109" s="51" t="str">
        <x:v>GK</x:v>
      </x:c>
      <x:c r="F109" s="51" t="str">
        <x:v>GK</x:v>
      </x:c>
      <x:c r="G109" s="51" t="str">
        <x:v>Starter</x:v>
      </x:c>
      <x:c r="H109" s="55" t="n">
        <x:v>1</x:v>
      </x:c>
      <x:c r="I109" s="51" t="str"/>
      <x:c r="J109" s="72" t="str"/>
      <x:c r="K109" s="72" t="str"/>
      <x:c r="L109" s="72" t="str"/>
      <x:c r="M109" s="72" t="str"/>
      <x:c r="N109" s="72" t="str"/>
      <x:c r="O109" s="72" t="str"/>
      <x:c r="P109" s="72" t="str">
        <x:v>Available</x:v>
      </x:c>
      <x:c r="Q109" s="72" t="n">
        <x:v>0</x:v>
      </x:c>
      <x:c r="R109" s="55" t="str">
        <x:f>IF($D109="","",ROUND(MAX(0,MIN(100,0.35*$J109+0.2*$K109+0.15*$L109+0.15*$M109+0.1*$N109+0.05*$O109-IF(OR($P109="Out",$P109="Suspended"),$Q109,IF($P109="Doubtful",$Q109*0.5,IF($P109="Limited",$Q109*0.25,0))))),2))</x:f>
      </x:c>
      <x:c r="S109" s="55" t="n">
        <x:f>IF($D109="",0,ROUND(IF(OR($P109="Out",$P109="Suspended"),$Q109*$H109,IF($P109="Doubtful",$Q109*$H109*0.5,IF($P109="Limited",$Q109*$H109*0.25,0))),2))</x:f>
        <x:v>0</x:v>
      </x:c>
      <x:c r="T109" s="55" t="str"/>
      <x:c r="U109" s="51" t="str"/>
    </x:row>
    <x:row r="110">
      <x:c r="A110" s="51" t="str">
        <x:v>Bosnia &amp; Herzegovina</x:v>
      </x:c>
      <x:c r="B110" s="51" t="str">
        <x:v>B</x:v>
      </x:c>
      <x:c r="C110" s="51" t="n">
        <x:v>2</x:v>
      </x:c>
      <x:c r="D110" s="71" t="str"/>
      <x:c r="E110" s="51" t="str">
        <x:v>GK</x:v>
      </x:c>
      <x:c r="F110" s="51" t="str">
        <x:v>GK</x:v>
      </x:c>
      <x:c r="G110" s="51" t="str">
        <x:v>Starter</x:v>
      </x:c>
      <x:c r="H110" s="55" t="n">
        <x:v>1</x:v>
      </x:c>
      <x:c r="I110" s="51" t="str"/>
      <x:c r="J110" s="72" t="str"/>
      <x:c r="K110" s="72" t="str"/>
      <x:c r="L110" s="72" t="str"/>
      <x:c r="M110" s="72" t="str"/>
      <x:c r="N110" s="72" t="str"/>
      <x:c r="O110" s="72" t="str"/>
      <x:c r="P110" s="72" t="str">
        <x:v>Available</x:v>
      </x:c>
      <x:c r="Q110" s="72" t="n">
        <x:v>0</x:v>
      </x:c>
      <x:c r="R110" s="55" t="str">
        <x:f>IF($D110="","",ROUND(MAX(0,MIN(100,0.35*$J110+0.2*$K110+0.15*$L110+0.15*$M110+0.1*$N110+0.05*$O110-IF(OR($P110="Out",$P110="Suspended"),$Q110,IF($P110="Doubtful",$Q110*0.5,IF($P110="Limited",$Q110*0.25,0))))),2))</x:f>
      </x:c>
      <x:c r="S110" s="55" t="n">
        <x:f>IF($D110="",0,ROUND(IF(OR($P110="Out",$P110="Suspended"),$Q110*$H110,IF($P110="Doubtful",$Q110*$H110*0.5,IF($P110="Limited",$Q110*$H110*0.25,0))),2))</x:f>
        <x:v>0</x:v>
      </x:c>
      <x:c r="T110" s="55" t="str"/>
      <x:c r="U110" s="51" t="str"/>
    </x:row>
    <x:row r="111">
      <x:c r="A111" s="51" t="str">
        <x:v>Bosnia &amp; Herzegovina</x:v>
      </x:c>
      <x:c r="B111" s="51" t="str">
        <x:v>B</x:v>
      </x:c>
      <x:c r="C111" s="51" t="n">
        <x:v>3</x:v>
      </x:c>
      <x:c r="D111" s="71" t="str"/>
      <x:c r="E111" s="51" t="str">
        <x:v>GK</x:v>
      </x:c>
      <x:c r="F111" s="51" t="str">
        <x:v>GK</x:v>
      </x:c>
      <x:c r="G111" s="51" t="str">
        <x:v>Starter</x:v>
      </x:c>
      <x:c r="H111" s="55" t="n">
        <x:v>1</x:v>
      </x:c>
      <x:c r="I111" s="51" t="str"/>
      <x:c r="J111" s="72" t="str"/>
      <x:c r="K111" s="72" t="str"/>
      <x:c r="L111" s="72" t="str"/>
      <x:c r="M111" s="72" t="str"/>
      <x:c r="N111" s="72" t="str"/>
      <x:c r="O111" s="72" t="str"/>
      <x:c r="P111" s="72" t="str">
        <x:v>Available</x:v>
      </x:c>
      <x:c r="Q111" s="72" t="n">
        <x:v>0</x:v>
      </x:c>
      <x:c r="R111" s="55" t="str">
        <x:f>IF($D111="","",ROUND(MAX(0,MIN(100,0.35*$J111+0.2*$K111+0.15*$L111+0.15*$M111+0.1*$N111+0.05*$O111-IF(OR($P111="Out",$P111="Suspended"),$Q111,IF($P111="Doubtful",$Q111*0.5,IF($P111="Limited",$Q111*0.25,0))))),2))</x:f>
      </x:c>
      <x:c r="S111" s="55" t="n">
        <x:f>IF($D111="",0,ROUND(IF(OR($P111="Out",$P111="Suspended"),$Q111*$H111,IF($P111="Doubtful",$Q111*$H111*0.5,IF($P111="Limited",$Q111*$H111*0.25,0))),2))</x:f>
        <x:v>0</x:v>
      </x:c>
      <x:c r="T111" s="55" t="str"/>
      <x:c r="U111" s="51" t="str"/>
    </x:row>
    <x:row r="112">
      <x:c r="A112" s="51" t="str">
        <x:v>Bosnia &amp; Herzegovina</x:v>
      </x:c>
      <x:c r="B112" s="51" t="str">
        <x:v>B</x:v>
      </x:c>
      <x:c r="C112" s="51" t="n">
        <x:v>4</x:v>
      </x:c>
      <x:c r="D112" s="71" t="str"/>
      <x:c r="E112" s="51" t="str">
        <x:v>CB</x:v>
      </x:c>
      <x:c r="F112" s="51" t="str">
        <x:v>Defence</x:v>
      </x:c>
      <x:c r="G112" s="51" t="str">
        <x:v>Starter</x:v>
      </x:c>
      <x:c r="H112" s="55" t="n">
        <x:v>1</x:v>
      </x:c>
      <x:c r="I112" s="51" t="str"/>
      <x:c r="J112" s="72" t="str"/>
      <x:c r="K112" s="72" t="str"/>
      <x:c r="L112" s="72" t="str"/>
      <x:c r="M112" s="72" t="str"/>
      <x:c r="N112" s="72" t="str"/>
      <x:c r="O112" s="72" t="str"/>
      <x:c r="P112" s="72" t="str">
        <x:v>Available</x:v>
      </x:c>
      <x:c r="Q112" s="72" t="n">
        <x:v>0</x:v>
      </x:c>
      <x:c r="R112" s="55" t="str">
        <x:f>IF($D112="","",ROUND(MAX(0,MIN(100,0.35*$J112+0.2*$K112+0.15*$L112+0.15*$M112+0.1*$N112+0.05*$O112-IF(OR($P112="Out",$P112="Suspended"),$Q112,IF($P112="Doubtful",$Q112*0.5,IF($P112="Limited",$Q112*0.25,0))))),2))</x:f>
      </x:c>
      <x:c r="S112" s="55" t="n">
        <x:f>IF($D112="",0,ROUND(IF(OR($P112="Out",$P112="Suspended"),$Q112*$H112,IF($P112="Doubtful",$Q112*$H112*0.5,IF($P112="Limited",$Q112*$H112*0.25,0))),2))</x:f>
        <x:v>0</x:v>
      </x:c>
      <x:c r="T112" s="55" t="str"/>
      <x:c r="U112" s="51" t="str"/>
    </x:row>
    <x:row r="113">
      <x:c r="A113" s="51" t="str">
        <x:v>Bosnia &amp; Herzegovina</x:v>
      </x:c>
      <x:c r="B113" s="51" t="str">
        <x:v>B</x:v>
      </x:c>
      <x:c r="C113" s="51" t="n">
        <x:v>5</x:v>
      </x:c>
      <x:c r="D113" s="71" t="str"/>
      <x:c r="E113" s="51" t="str">
        <x:v>CB</x:v>
      </x:c>
      <x:c r="F113" s="51" t="str">
        <x:v>Defence</x:v>
      </x:c>
      <x:c r="G113" s="51" t="str">
        <x:v>Starter</x:v>
      </x:c>
      <x:c r="H113" s="55" t="n">
        <x:v>1</x:v>
      </x:c>
      <x:c r="I113" s="51" t="str"/>
      <x:c r="J113" s="72" t="str"/>
      <x:c r="K113" s="72" t="str"/>
      <x:c r="L113" s="72" t="str"/>
      <x:c r="M113" s="72" t="str"/>
      <x:c r="N113" s="72" t="str"/>
      <x:c r="O113" s="72" t="str"/>
      <x:c r="P113" s="72" t="str">
        <x:v>Available</x:v>
      </x:c>
      <x:c r="Q113" s="72" t="n">
        <x:v>0</x:v>
      </x:c>
      <x:c r="R113" s="55" t="str">
        <x:f>IF($D113="","",ROUND(MAX(0,MIN(100,0.35*$J113+0.2*$K113+0.15*$L113+0.15*$M113+0.1*$N113+0.05*$O113-IF(OR($P113="Out",$P113="Suspended"),$Q113,IF($P113="Doubtful",$Q113*0.5,IF($P113="Limited",$Q113*0.25,0))))),2))</x:f>
      </x:c>
      <x:c r="S113" s="55" t="n">
        <x:f>IF($D113="",0,ROUND(IF(OR($P113="Out",$P113="Suspended"),$Q113*$H113,IF($P113="Doubtful",$Q113*$H113*0.5,IF($P113="Limited",$Q113*$H113*0.25,0))),2))</x:f>
        <x:v>0</x:v>
      </x:c>
      <x:c r="T113" s="55" t="str"/>
      <x:c r="U113" s="51" t="str"/>
    </x:row>
    <x:row r="114">
      <x:c r="A114" s="51" t="str">
        <x:v>Bosnia &amp; Herzegovina</x:v>
      </x:c>
      <x:c r="B114" s="51" t="str">
        <x:v>B</x:v>
      </x:c>
      <x:c r="C114" s="51" t="n">
        <x:v>6</x:v>
      </x:c>
      <x:c r="D114" s="71" t="str"/>
      <x:c r="E114" s="51" t="str">
        <x:v>CB</x:v>
      </x:c>
      <x:c r="F114" s="51" t="str">
        <x:v>Defence</x:v>
      </x:c>
      <x:c r="G114" s="51" t="str">
        <x:v>Starter</x:v>
      </x:c>
      <x:c r="H114" s="55" t="n">
        <x:v>1</x:v>
      </x:c>
      <x:c r="I114" s="51" t="str"/>
      <x:c r="J114" s="72" t="str"/>
      <x:c r="K114" s="72" t="str"/>
      <x:c r="L114" s="72" t="str"/>
      <x:c r="M114" s="72" t="str"/>
      <x:c r="N114" s="72" t="str"/>
      <x:c r="O114" s="72" t="str"/>
      <x:c r="P114" s="72" t="str">
        <x:v>Available</x:v>
      </x:c>
      <x:c r="Q114" s="72" t="n">
        <x:v>0</x:v>
      </x:c>
      <x:c r="R114" s="55" t="str">
        <x:f>IF($D114="","",ROUND(MAX(0,MIN(100,0.35*$J114+0.2*$K114+0.15*$L114+0.15*$M114+0.1*$N114+0.05*$O114-IF(OR($P114="Out",$P114="Suspended"),$Q114,IF($P114="Doubtful",$Q114*0.5,IF($P114="Limited",$Q114*0.25,0))))),2))</x:f>
      </x:c>
      <x:c r="S114" s="55" t="n">
        <x:f>IF($D114="",0,ROUND(IF(OR($P114="Out",$P114="Suspended"),$Q114*$H114,IF($P114="Doubtful",$Q114*$H114*0.5,IF($P114="Limited",$Q114*$H114*0.25,0))),2))</x:f>
        <x:v>0</x:v>
      </x:c>
      <x:c r="T114" s="55" t="str"/>
      <x:c r="U114" s="51" t="str"/>
    </x:row>
    <x:row r="115">
      <x:c r="A115" s="51" t="str">
        <x:v>Bosnia &amp; Herzegovina</x:v>
      </x:c>
      <x:c r="B115" s="51" t="str">
        <x:v>B</x:v>
      </x:c>
      <x:c r="C115" s="51" t="n">
        <x:v>7</x:v>
      </x:c>
      <x:c r="D115" s="71" t="str"/>
      <x:c r="E115" s="51" t="str">
        <x:v>FB</x:v>
      </x:c>
      <x:c r="F115" s="51" t="str">
        <x:v>Defence</x:v>
      </x:c>
      <x:c r="G115" s="51" t="str">
        <x:v>Starter</x:v>
      </x:c>
      <x:c r="H115" s="55" t="n">
        <x:v>1</x:v>
      </x:c>
      <x:c r="I115" s="51" t="str"/>
      <x:c r="J115" s="72" t="str"/>
      <x:c r="K115" s="72" t="str"/>
      <x:c r="L115" s="72" t="str"/>
      <x:c r="M115" s="72" t="str"/>
      <x:c r="N115" s="72" t="str"/>
      <x:c r="O115" s="72" t="str"/>
      <x:c r="P115" s="72" t="str">
        <x:v>Available</x:v>
      </x:c>
      <x:c r="Q115" s="72" t="n">
        <x:v>0</x:v>
      </x:c>
      <x:c r="R115" s="55" t="str">
        <x:f>IF($D115="","",ROUND(MAX(0,MIN(100,0.35*$J115+0.2*$K115+0.15*$L115+0.15*$M115+0.1*$N115+0.05*$O115-IF(OR($P115="Out",$P115="Suspended"),$Q115,IF($P115="Doubtful",$Q115*0.5,IF($P115="Limited",$Q115*0.25,0))))),2))</x:f>
      </x:c>
      <x:c r="S115" s="55" t="n">
        <x:f>IF($D115="",0,ROUND(IF(OR($P115="Out",$P115="Suspended"),$Q115*$H115,IF($P115="Doubtful",$Q115*$H115*0.5,IF($P115="Limited",$Q115*$H115*0.25,0))),2))</x:f>
        <x:v>0</x:v>
      </x:c>
      <x:c r="T115" s="55" t="str"/>
      <x:c r="U115" s="51" t="str"/>
    </x:row>
    <x:row r="116">
      <x:c r="A116" s="51" t="str">
        <x:v>Bosnia &amp; Herzegovina</x:v>
      </x:c>
      <x:c r="B116" s="51" t="str">
        <x:v>B</x:v>
      </x:c>
      <x:c r="C116" s="51" t="n">
        <x:v>8</x:v>
      </x:c>
      <x:c r="D116" s="71" t="str"/>
      <x:c r="E116" s="51" t="str">
        <x:v>FB</x:v>
      </x:c>
      <x:c r="F116" s="51" t="str">
        <x:v>Defence</x:v>
      </x:c>
      <x:c r="G116" s="51" t="str">
        <x:v>Starter</x:v>
      </x:c>
      <x:c r="H116" s="55" t="n">
        <x:v>1</x:v>
      </x:c>
      <x:c r="I116" s="51" t="str"/>
      <x:c r="J116" s="72" t="str"/>
      <x:c r="K116" s="72" t="str"/>
      <x:c r="L116" s="72" t="str"/>
      <x:c r="M116" s="72" t="str"/>
      <x:c r="N116" s="72" t="str"/>
      <x:c r="O116" s="72" t="str"/>
      <x:c r="P116" s="72" t="str">
        <x:v>Available</x:v>
      </x:c>
      <x:c r="Q116" s="72" t="n">
        <x:v>0</x:v>
      </x:c>
      <x:c r="R116" s="55" t="str">
        <x:f>IF($D116="","",ROUND(MAX(0,MIN(100,0.35*$J116+0.2*$K116+0.15*$L116+0.15*$M116+0.1*$N116+0.05*$O116-IF(OR($P116="Out",$P116="Suspended"),$Q116,IF($P116="Doubtful",$Q116*0.5,IF($P116="Limited",$Q116*0.25,0))))),2))</x:f>
      </x:c>
      <x:c r="S116" s="55" t="n">
        <x:f>IF($D116="",0,ROUND(IF(OR($P116="Out",$P116="Suspended"),$Q116*$H116,IF($P116="Doubtful",$Q116*$H116*0.5,IF($P116="Limited",$Q116*$H116*0.25,0))),2))</x:f>
        <x:v>0</x:v>
      </x:c>
      <x:c r="T116" s="55" t="str"/>
      <x:c r="U116" s="51" t="str"/>
    </x:row>
    <x:row r="117">
      <x:c r="A117" s="51" t="str">
        <x:v>Bosnia &amp; Herzegovina</x:v>
      </x:c>
      <x:c r="B117" s="51" t="str">
        <x:v>B</x:v>
      </x:c>
      <x:c r="C117" s="51" t="n">
        <x:v>9</x:v>
      </x:c>
      <x:c r="D117" s="71" t="str"/>
      <x:c r="E117" s="51" t="str">
        <x:v>DM</x:v>
      </x:c>
      <x:c r="F117" s="51" t="str">
        <x:v>Midfield</x:v>
      </x:c>
      <x:c r="G117" s="51" t="str">
        <x:v>Starter</x:v>
      </x:c>
      <x:c r="H117" s="55" t="n">
        <x:v>1</x:v>
      </x:c>
      <x:c r="I117" s="51" t="str"/>
      <x:c r="J117" s="72" t="str"/>
      <x:c r="K117" s="72" t="str"/>
      <x:c r="L117" s="72" t="str"/>
      <x:c r="M117" s="72" t="str"/>
      <x:c r="N117" s="72" t="str"/>
      <x:c r="O117" s="72" t="str"/>
      <x:c r="P117" s="72" t="str">
        <x:v>Available</x:v>
      </x:c>
      <x:c r="Q117" s="72" t="n">
        <x:v>0</x:v>
      </x:c>
      <x:c r="R117" s="55" t="str">
        <x:f>IF($D117="","",ROUND(MAX(0,MIN(100,0.35*$J117+0.2*$K117+0.15*$L117+0.15*$M117+0.1*$N117+0.05*$O117-IF(OR($P117="Out",$P117="Suspended"),$Q117,IF($P117="Doubtful",$Q117*0.5,IF($P117="Limited",$Q117*0.25,0))))),2))</x:f>
      </x:c>
      <x:c r="S117" s="55" t="n">
        <x:f>IF($D117="",0,ROUND(IF(OR($P117="Out",$P117="Suspended"),$Q117*$H117,IF($P117="Doubtful",$Q117*$H117*0.5,IF($P117="Limited",$Q117*$H117*0.25,0))),2))</x:f>
        <x:v>0</x:v>
      </x:c>
      <x:c r="T117" s="55" t="str"/>
      <x:c r="U117" s="51" t="str"/>
    </x:row>
    <x:row r="118">
      <x:c r="A118" s="51" t="str">
        <x:v>Bosnia &amp; Herzegovina</x:v>
      </x:c>
      <x:c r="B118" s="51" t="str">
        <x:v>B</x:v>
      </x:c>
      <x:c r="C118" s="51" t="n">
        <x:v>10</x:v>
      </x:c>
      <x:c r="D118" s="71" t="str"/>
      <x:c r="E118" s="51" t="str">
        <x:v>DM</x:v>
      </x:c>
      <x:c r="F118" s="51" t="str">
        <x:v>Midfield</x:v>
      </x:c>
      <x:c r="G118" s="51" t="str">
        <x:v>Starter</x:v>
      </x:c>
      <x:c r="H118" s="55" t="n">
        <x:v>1</x:v>
      </x:c>
      <x:c r="I118" s="51" t="str"/>
      <x:c r="J118" s="72" t="str"/>
      <x:c r="K118" s="72" t="str"/>
      <x:c r="L118" s="72" t="str"/>
      <x:c r="M118" s="72" t="str"/>
      <x:c r="N118" s="72" t="str"/>
      <x:c r="O118" s="72" t="str"/>
      <x:c r="P118" s="72" t="str">
        <x:v>Available</x:v>
      </x:c>
      <x:c r="Q118" s="72" t="n">
        <x:v>0</x:v>
      </x:c>
      <x:c r="R118" s="55" t="str">
        <x:f>IF($D118="","",ROUND(MAX(0,MIN(100,0.35*$J118+0.2*$K118+0.15*$L118+0.15*$M118+0.1*$N118+0.05*$O118-IF(OR($P118="Out",$P118="Suspended"),$Q118,IF($P118="Doubtful",$Q118*0.5,IF($P118="Limited",$Q118*0.25,0))))),2))</x:f>
      </x:c>
      <x:c r="S118" s="55" t="n">
        <x:f>IF($D118="",0,ROUND(IF(OR($P118="Out",$P118="Suspended"),$Q118*$H118,IF($P118="Doubtful",$Q118*$H118*0.5,IF($P118="Limited",$Q118*$H118*0.25,0))),2))</x:f>
        <x:v>0</x:v>
      </x:c>
      <x:c r="T118" s="55" t="str"/>
      <x:c r="U118" s="51" t="str"/>
    </x:row>
    <x:row r="119">
      <x:c r="A119" s="51" t="str">
        <x:v>Bosnia &amp; Herzegovina</x:v>
      </x:c>
      <x:c r="B119" s="51" t="str">
        <x:v>B</x:v>
      </x:c>
      <x:c r="C119" s="51" t="n">
        <x:v>11</x:v>
      </x:c>
      <x:c r="D119" s="71" t="str"/>
      <x:c r="E119" s="51" t="str">
        <x:v>DM</x:v>
      </x:c>
      <x:c r="F119" s="51" t="str">
        <x:v>Midfield</x:v>
      </x:c>
      <x:c r="G119" s="51" t="str">
        <x:v>Starter</x:v>
      </x:c>
      <x:c r="H119" s="55" t="n">
        <x:v>1</x:v>
      </x:c>
      <x:c r="I119" s="51" t="str"/>
      <x:c r="J119" s="72" t="str"/>
      <x:c r="K119" s="72" t="str"/>
      <x:c r="L119" s="72" t="str"/>
      <x:c r="M119" s="72" t="str"/>
      <x:c r="N119" s="72" t="str"/>
      <x:c r="O119" s="72" t="str"/>
      <x:c r="P119" s="72" t="str">
        <x:v>Available</x:v>
      </x:c>
      <x:c r="Q119" s="72" t="n">
        <x:v>0</x:v>
      </x:c>
      <x:c r="R119" s="55" t="str">
        <x:f>IF($D119="","",ROUND(MAX(0,MIN(100,0.35*$J119+0.2*$K119+0.15*$L119+0.15*$M119+0.1*$N119+0.05*$O119-IF(OR($P119="Out",$P119="Suspended"),$Q119,IF($P119="Doubtful",$Q119*0.5,IF($P119="Limited",$Q119*0.25,0))))),2))</x:f>
      </x:c>
      <x:c r="S119" s="55" t="n">
        <x:f>IF($D119="",0,ROUND(IF(OR($P119="Out",$P119="Suspended"),$Q119*$H119,IF($P119="Doubtful",$Q119*$H119*0.5,IF($P119="Limited",$Q119*$H119*0.25,0))),2))</x:f>
        <x:v>0</x:v>
      </x:c>
      <x:c r="T119" s="55" t="str"/>
      <x:c r="U119" s="51" t="str"/>
    </x:row>
    <x:row r="120">
      <x:c r="A120" s="51" t="str">
        <x:v>Bosnia &amp; Herzegovina</x:v>
      </x:c>
      <x:c r="B120" s="51" t="str">
        <x:v>B</x:v>
      </x:c>
      <x:c r="C120" s="51" t="n">
        <x:v>12</x:v>
      </x:c>
      <x:c r="D120" s="71" t="str"/>
      <x:c r="E120" s="51" t="str">
        <x:v>CM</x:v>
      </x:c>
      <x:c r="F120" s="51" t="str">
        <x:v>Midfield</x:v>
      </x:c>
      <x:c r="G120" s="51" t="str">
        <x:v>Rotation</x:v>
      </x:c>
      <x:c r="H120" s="55" t="n">
        <x:v>0.35</x:v>
      </x:c>
      <x:c r="I120" s="51" t="str"/>
      <x:c r="J120" s="72" t="str"/>
      <x:c r="K120" s="72" t="str"/>
      <x:c r="L120" s="72" t="str"/>
      <x:c r="M120" s="72" t="str"/>
      <x:c r="N120" s="72" t="str"/>
      <x:c r="O120" s="72" t="str"/>
      <x:c r="P120" s="72" t="str">
        <x:v>Available</x:v>
      </x:c>
      <x:c r="Q120" s="72" t="n">
        <x:v>0</x:v>
      </x:c>
      <x:c r="R120" s="55" t="str">
        <x:f>IF($D120="","",ROUND(MAX(0,MIN(100,0.35*$J120+0.2*$K120+0.15*$L120+0.15*$M120+0.1*$N120+0.05*$O120-IF(OR($P120="Out",$P120="Suspended"),$Q120,IF($P120="Doubtful",$Q120*0.5,IF($P120="Limited",$Q120*0.25,0))))),2))</x:f>
      </x:c>
      <x:c r="S120" s="55" t="n">
        <x:f>IF($D120="",0,ROUND(IF(OR($P120="Out",$P120="Suspended"),$Q120*$H120,IF($P120="Doubtful",$Q120*$H120*0.5,IF($P120="Limited",$Q120*$H120*0.25,0))),2))</x:f>
        <x:v>0</x:v>
      </x:c>
      <x:c r="T120" s="55" t="str"/>
      <x:c r="U120" s="51" t="str"/>
    </x:row>
    <x:row r="121">
      <x:c r="A121" s="51" t="str">
        <x:v>Bosnia &amp; Herzegovina</x:v>
      </x:c>
      <x:c r="B121" s="51" t="str">
        <x:v>B</x:v>
      </x:c>
      <x:c r="C121" s="51" t="n">
        <x:v>13</x:v>
      </x:c>
      <x:c r="D121" s="71" t="str"/>
      <x:c r="E121" s="51" t="str">
        <x:v>CM</x:v>
      </x:c>
      <x:c r="F121" s="51" t="str">
        <x:v>Midfield</x:v>
      </x:c>
      <x:c r="G121" s="51" t="str">
        <x:v>Rotation</x:v>
      </x:c>
      <x:c r="H121" s="55" t="n">
        <x:v>0.35</x:v>
      </x:c>
      <x:c r="I121" s="51" t="str"/>
      <x:c r="J121" s="72" t="str"/>
      <x:c r="K121" s="72" t="str"/>
      <x:c r="L121" s="72" t="str"/>
      <x:c r="M121" s="72" t="str"/>
      <x:c r="N121" s="72" t="str"/>
      <x:c r="O121" s="72" t="str"/>
      <x:c r="P121" s="72" t="str">
        <x:v>Available</x:v>
      </x:c>
      <x:c r="Q121" s="72" t="n">
        <x:v>0</x:v>
      </x:c>
      <x:c r="R121" s="55" t="str">
        <x:f>IF($D121="","",ROUND(MAX(0,MIN(100,0.35*$J121+0.2*$K121+0.15*$L121+0.15*$M121+0.1*$N121+0.05*$O121-IF(OR($P121="Out",$P121="Suspended"),$Q121,IF($P121="Doubtful",$Q121*0.5,IF($P121="Limited",$Q121*0.25,0))))),2))</x:f>
      </x:c>
      <x:c r="S121" s="55" t="n">
        <x:f>IF($D121="",0,ROUND(IF(OR($P121="Out",$P121="Suspended"),$Q121*$H121,IF($P121="Doubtful",$Q121*$H121*0.5,IF($P121="Limited",$Q121*$H121*0.25,0))),2))</x:f>
        <x:v>0</x:v>
      </x:c>
      <x:c r="T121" s="55" t="str"/>
      <x:c r="U121" s="51" t="str"/>
    </x:row>
    <x:row r="122">
      <x:c r="A122" s="51" t="str">
        <x:v>Bosnia &amp; Herzegovina</x:v>
      </x:c>
      <x:c r="B122" s="51" t="str">
        <x:v>B</x:v>
      </x:c>
      <x:c r="C122" s="51" t="n">
        <x:v>14</x:v>
      </x:c>
      <x:c r="D122" s="71" t="str"/>
      <x:c r="E122" s="51" t="str">
        <x:v>CM</x:v>
      </x:c>
      <x:c r="F122" s="51" t="str">
        <x:v>Midfield</x:v>
      </x:c>
      <x:c r="G122" s="51" t="str">
        <x:v>Rotation</x:v>
      </x:c>
      <x:c r="H122" s="55" t="n">
        <x:v>0.35</x:v>
      </x:c>
      <x:c r="I122" s="51" t="str"/>
      <x:c r="J122" s="72" t="str"/>
      <x:c r="K122" s="72" t="str"/>
      <x:c r="L122" s="72" t="str"/>
      <x:c r="M122" s="72" t="str"/>
      <x:c r="N122" s="72" t="str"/>
      <x:c r="O122" s="72" t="str"/>
      <x:c r="P122" s="72" t="str">
        <x:v>Available</x:v>
      </x:c>
      <x:c r="Q122" s="72" t="n">
        <x:v>0</x:v>
      </x:c>
      <x:c r="R122" s="55" t="str">
        <x:f>IF($D122="","",ROUND(MAX(0,MIN(100,0.35*$J122+0.2*$K122+0.15*$L122+0.15*$M122+0.1*$N122+0.05*$O122-IF(OR($P122="Out",$P122="Suspended"),$Q122,IF($P122="Doubtful",$Q122*0.5,IF($P122="Limited",$Q122*0.25,0))))),2))</x:f>
      </x:c>
      <x:c r="S122" s="55" t="n">
        <x:f>IF($D122="",0,ROUND(IF(OR($P122="Out",$P122="Suspended"),$Q122*$H122,IF($P122="Doubtful",$Q122*$H122*0.5,IF($P122="Limited",$Q122*$H122*0.25,0))),2))</x:f>
        <x:v>0</x:v>
      </x:c>
      <x:c r="T122" s="55" t="str"/>
      <x:c r="U122" s="51" t="str"/>
    </x:row>
    <x:row r="123">
      <x:c r="A123" s="51" t="str">
        <x:v>Bosnia &amp; Herzegovina</x:v>
      </x:c>
      <x:c r="B123" s="51" t="str">
        <x:v>B</x:v>
      </x:c>
      <x:c r="C123" s="51" t="n">
        <x:v>15</x:v>
      </x:c>
      <x:c r="D123" s="71" t="str"/>
      <x:c r="E123" s="51" t="str">
        <x:v>CM</x:v>
      </x:c>
      <x:c r="F123" s="51" t="str">
        <x:v>Midfield</x:v>
      </x:c>
      <x:c r="G123" s="51" t="str">
        <x:v>Rotation</x:v>
      </x:c>
      <x:c r="H123" s="55" t="n">
        <x:v>0.35</x:v>
      </x:c>
      <x:c r="I123" s="51" t="str"/>
      <x:c r="J123" s="72" t="str"/>
      <x:c r="K123" s="72" t="str"/>
      <x:c r="L123" s="72" t="str"/>
      <x:c r="M123" s="72" t="str"/>
      <x:c r="N123" s="72" t="str"/>
      <x:c r="O123" s="72" t="str"/>
      <x:c r="P123" s="72" t="str">
        <x:v>Available</x:v>
      </x:c>
      <x:c r="Q123" s="72" t="n">
        <x:v>0</x:v>
      </x:c>
      <x:c r="R123" s="55" t="str">
        <x:f>IF($D123="","",ROUND(MAX(0,MIN(100,0.35*$J123+0.2*$K123+0.15*$L123+0.15*$M123+0.1*$N123+0.05*$O123-IF(OR($P123="Out",$P123="Suspended"),$Q123,IF($P123="Doubtful",$Q123*0.5,IF($P123="Limited",$Q123*0.25,0))))),2))</x:f>
      </x:c>
      <x:c r="S123" s="55" t="n">
        <x:f>IF($D123="",0,ROUND(IF(OR($P123="Out",$P123="Suspended"),$Q123*$H123,IF($P123="Doubtful",$Q123*$H123*0.5,IF($P123="Limited",$Q123*$H123*0.25,0))),2))</x:f>
        <x:v>0</x:v>
      </x:c>
      <x:c r="T123" s="55" t="str"/>
      <x:c r="U123" s="51" t="str"/>
    </x:row>
    <x:row r="124">
      <x:c r="A124" s="51" t="str">
        <x:v>Bosnia &amp; Herzegovina</x:v>
      </x:c>
      <x:c r="B124" s="51" t="str">
        <x:v>B</x:v>
      </x:c>
      <x:c r="C124" s="51" t="n">
        <x:v>16</x:v>
      </x:c>
      <x:c r="D124" s="71" t="str"/>
      <x:c r="E124" s="51" t="str">
        <x:v>AM</x:v>
      </x:c>
      <x:c r="F124" s="51" t="str">
        <x:v>Attack</x:v>
      </x:c>
      <x:c r="G124" s="51" t="str">
        <x:v>Rotation</x:v>
      </x:c>
      <x:c r="H124" s="55" t="n">
        <x:v>0.35</x:v>
      </x:c>
      <x:c r="I124" s="51" t="str"/>
      <x:c r="J124" s="72" t="str"/>
      <x:c r="K124" s="72" t="str"/>
      <x:c r="L124" s="72" t="str"/>
      <x:c r="M124" s="72" t="str"/>
      <x:c r="N124" s="72" t="str"/>
      <x:c r="O124" s="72" t="str"/>
      <x:c r="P124" s="72" t="str">
        <x:v>Available</x:v>
      </x:c>
      <x:c r="Q124" s="72" t="n">
        <x:v>0</x:v>
      </x:c>
      <x:c r="R124" s="55" t="str">
        <x:f>IF($D124="","",ROUND(MAX(0,MIN(100,0.35*$J124+0.2*$K124+0.15*$L124+0.15*$M124+0.1*$N124+0.05*$O124-IF(OR($P124="Out",$P124="Suspended"),$Q124,IF($P124="Doubtful",$Q124*0.5,IF($P124="Limited",$Q124*0.25,0))))),2))</x:f>
      </x:c>
      <x:c r="S124" s="55" t="n">
        <x:f>IF($D124="",0,ROUND(IF(OR($P124="Out",$P124="Suspended"),$Q124*$H124,IF($P124="Doubtful",$Q124*$H124*0.5,IF($P124="Limited",$Q124*$H124*0.25,0))),2))</x:f>
        <x:v>0</x:v>
      </x:c>
      <x:c r="T124" s="55" t="str"/>
      <x:c r="U124" s="51" t="str"/>
    </x:row>
    <x:row r="125">
      <x:c r="A125" s="51" t="str">
        <x:v>Bosnia &amp; Herzegovina</x:v>
      </x:c>
      <x:c r="B125" s="51" t="str">
        <x:v>B</x:v>
      </x:c>
      <x:c r="C125" s="51" t="n">
        <x:v>17</x:v>
      </x:c>
      <x:c r="D125" s="71" t="str"/>
      <x:c r="E125" s="51" t="str">
        <x:v>AM</x:v>
      </x:c>
      <x:c r="F125" s="51" t="str">
        <x:v>Attack</x:v>
      </x:c>
      <x:c r="G125" s="51" t="str">
        <x:v>Rotation</x:v>
      </x:c>
      <x:c r="H125" s="55" t="n">
        <x:v>0.35</x:v>
      </x:c>
      <x:c r="I125" s="51" t="str"/>
      <x:c r="J125" s="72" t="str"/>
      <x:c r="K125" s="72" t="str"/>
      <x:c r="L125" s="72" t="str"/>
      <x:c r="M125" s="72" t="str"/>
      <x:c r="N125" s="72" t="str"/>
      <x:c r="O125" s="72" t="str"/>
      <x:c r="P125" s="72" t="str">
        <x:v>Available</x:v>
      </x:c>
      <x:c r="Q125" s="72" t="n">
        <x:v>0</x:v>
      </x:c>
      <x:c r="R125" s="55" t="str">
        <x:f>IF($D125="","",ROUND(MAX(0,MIN(100,0.35*$J125+0.2*$K125+0.15*$L125+0.15*$M125+0.1*$N125+0.05*$O125-IF(OR($P125="Out",$P125="Suspended"),$Q125,IF($P125="Doubtful",$Q125*0.5,IF($P125="Limited",$Q125*0.25,0))))),2))</x:f>
      </x:c>
      <x:c r="S125" s="55" t="n">
        <x:f>IF($D125="",0,ROUND(IF(OR($P125="Out",$P125="Suspended"),$Q125*$H125,IF($P125="Doubtful",$Q125*$H125*0.5,IF($P125="Limited",$Q125*$H125*0.25,0))),2))</x:f>
        <x:v>0</x:v>
      </x:c>
      <x:c r="T125" s="55" t="str"/>
      <x:c r="U125" s="51" t="str"/>
    </x:row>
    <x:row r="126">
      <x:c r="A126" s="51" t="str">
        <x:v>Bosnia &amp; Herzegovina</x:v>
      </x:c>
      <x:c r="B126" s="51" t="str">
        <x:v>B</x:v>
      </x:c>
      <x:c r="C126" s="51" t="n">
        <x:v>18</x:v>
      </x:c>
      <x:c r="D126" s="71" t="str"/>
      <x:c r="E126" s="51" t="str">
        <x:v>AM</x:v>
      </x:c>
      <x:c r="F126" s="51" t="str">
        <x:v>Attack</x:v>
      </x:c>
      <x:c r="G126" s="51" t="str">
        <x:v>Rotation</x:v>
      </x:c>
      <x:c r="H126" s="55" t="n">
        <x:v>0.35</x:v>
      </x:c>
      <x:c r="I126" s="51" t="str"/>
      <x:c r="J126" s="72" t="str"/>
      <x:c r="K126" s="72" t="str"/>
      <x:c r="L126" s="72" t="str"/>
      <x:c r="M126" s="72" t="str"/>
      <x:c r="N126" s="72" t="str"/>
      <x:c r="O126" s="72" t="str"/>
      <x:c r="P126" s="72" t="str">
        <x:v>Available</x:v>
      </x:c>
      <x:c r="Q126" s="72" t="n">
        <x:v>0</x:v>
      </x:c>
      <x:c r="R126" s="55" t="str">
        <x:f>IF($D126="","",ROUND(MAX(0,MIN(100,0.35*$J126+0.2*$K126+0.15*$L126+0.15*$M126+0.1*$N126+0.05*$O126-IF(OR($P126="Out",$P126="Suspended"),$Q126,IF($P126="Doubtful",$Q126*0.5,IF($P126="Limited",$Q126*0.25,0))))),2))</x:f>
      </x:c>
      <x:c r="S126" s="55" t="n">
        <x:f>IF($D126="",0,ROUND(IF(OR($P126="Out",$P126="Suspended"),$Q126*$H126,IF($P126="Doubtful",$Q126*$H126*0.5,IF($P126="Limited",$Q126*$H126*0.25,0))),2))</x:f>
        <x:v>0</x:v>
      </x:c>
      <x:c r="T126" s="55" t="str"/>
      <x:c r="U126" s="51" t="str"/>
    </x:row>
    <x:row r="127">
      <x:c r="A127" s="51" t="str">
        <x:v>Bosnia &amp; Herzegovina</x:v>
      </x:c>
      <x:c r="B127" s="51" t="str">
        <x:v>B</x:v>
      </x:c>
      <x:c r="C127" s="51" t="n">
        <x:v>19</x:v>
      </x:c>
      <x:c r="D127" s="71" t="str"/>
      <x:c r="E127" s="51" t="str">
        <x:v>AM</x:v>
      </x:c>
      <x:c r="F127" s="51" t="str">
        <x:v>Attack</x:v>
      </x:c>
      <x:c r="G127" s="51" t="str">
        <x:v>Rotation</x:v>
      </x:c>
      <x:c r="H127" s="55" t="n">
        <x:v>0.35</x:v>
      </x:c>
      <x:c r="I127" s="51" t="str"/>
      <x:c r="J127" s="72" t="str"/>
      <x:c r="K127" s="72" t="str"/>
      <x:c r="L127" s="72" t="str"/>
      <x:c r="M127" s="72" t="str"/>
      <x:c r="N127" s="72" t="str"/>
      <x:c r="O127" s="72" t="str"/>
      <x:c r="P127" s="72" t="str">
        <x:v>Available</x:v>
      </x:c>
      <x:c r="Q127" s="72" t="n">
        <x:v>0</x:v>
      </x:c>
      <x:c r="R127" s="55" t="str">
        <x:f>IF($D127="","",ROUND(MAX(0,MIN(100,0.35*$J127+0.2*$K127+0.15*$L127+0.15*$M127+0.1*$N127+0.05*$O127-IF(OR($P127="Out",$P127="Suspended"),$Q127,IF($P127="Doubtful",$Q127*0.5,IF($P127="Limited",$Q127*0.25,0))))),2))</x:f>
      </x:c>
      <x:c r="S127" s="55" t="n">
        <x:f>IF($D127="",0,ROUND(IF(OR($P127="Out",$P127="Suspended"),$Q127*$H127,IF($P127="Doubtful",$Q127*$H127*0.5,IF($P127="Limited",$Q127*$H127*0.25,0))),2))</x:f>
        <x:v>0</x:v>
      </x:c>
      <x:c r="T127" s="55" t="str"/>
      <x:c r="U127" s="51" t="str"/>
    </x:row>
    <x:row r="128">
      <x:c r="A128" s="51" t="str">
        <x:v>Bosnia &amp; Herzegovina</x:v>
      </x:c>
      <x:c r="B128" s="51" t="str">
        <x:v>B</x:v>
      </x:c>
      <x:c r="C128" s="51" t="n">
        <x:v>20</x:v>
      </x:c>
      <x:c r="D128" s="71" t="str"/>
      <x:c r="E128" s="51" t="str">
        <x:v>Winger</x:v>
      </x:c>
      <x:c r="F128" s="51" t="str">
        <x:v>Attack</x:v>
      </x:c>
      <x:c r="G128" s="51" t="str">
        <x:v>Rotation</x:v>
      </x:c>
      <x:c r="H128" s="55" t="n">
        <x:v>0.35</x:v>
      </x:c>
      <x:c r="I128" s="51" t="str"/>
      <x:c r="J128" s="72" t="str"/>
      <x:c r="K128" s="72" t="str"/>
      <x:c r="L128" s="72" t="str"/>
      <x:c r="M128" s="72" t="str"/>
      <x:c r="N128" s="72" t="str"/>
      <x:c r="O128" s="72" t="str"/>
      <x:c r="P128" s="72" t="str">
        <x:v>Available</x:v>
      </x:c>
      <x:c r="Q128" s="72" t="n">
        <x:v>0</x:v>
      </x:c>
      <x:c r="R128" s="55" t="str">
        <x:f>IF($D128="","",ROUND(MAX(0,MIN(100,0.35*$J128+0.2*$K128+0.15*$L128+0.15*$M128+0.1*$N128+0.05*$O128-IF(OR($P128="Out",$P128="Suspended"),$Q128,IF($P128="Doubtful",$Q128*0.5,IF($P128="Limited",$Q128*0.25,0))))),2))</x:f>
      </x:c>
      <x:c r="S128" s="55" t="n">
        <x:f>IF($D128="",0,ROUND(IF(OR($P128="Out",$P128="Suspended"),$Q128*$H128,IF($P128="Doubtful",$Q128*$H128*0.5,IF($P128="Limited",$Q128*$H128*0.25,0))),2))</x:f>
        <x:v>0</x:v>
      </x:c>
      <x:c r="T128" s="55" t="str"/>
      <x:c r="U128" s="51" t="str"/>
    </x:row>
    <x:row r="129">
      <x:c r="A129" s="51" t="str">
        <x:v>Bosnia &amp; Herzegovina</x:v>
      </x:c>
      <x:c r="B129" s="51" t="str">
        <x:v>B</x:v>
      </x:c>
      <x:c r="C129" s="51" t="n">
        <x:v>21</x:v>
      </x:c>
      <x:c r="D129" s="71" t="str"/>
      <x:c r="E129" s="51" t="str">
        <x:v>Winger</x:v>
      </x:c>
      <x:c r="F129" s="51" t="str">
        <x:v>Attack</x:v>
      </x:c>
      <x:c r="G129" s="51" t="str">
        <x:v>Depth</x:v>
      </x:c>
      <x:c r="H129" s="55" t="n">
        <x:v>0.1</x:v>
      </x:c>
      <x:c r="I129" s="51" t="str"/>
      <x:c r="J129" s="72" t="str"/>
      <x:c r="K129" s="72" t="str"/>
      <x:c r="L129" s="72" t="str"/>
      <x:c r="M129" s="72" t="str"/>
      <x:c r="N129" s="72" t="str"/>
      <x:c r="O129" s="72" t="str"/>
      <x:c r="P129" s="72" t="str">
        <x:v>Available</x:v>
      </x:c>
      <x:c r="Q129" s="72" t="n">
        <x:v>0</x:v>
      </x:c>
      <x:c r="R129" s="55" t="str">
        <x:f>IF($D129="","",ROUND(MAX(0,MIN(100,0.35*$J129+0.2*$K129+0.15*$L129+0.15*$M129+0.1*$N129+0.05*$O129-IF(OR($P129="Out",$P129="Suspended"),$Q129,IF($P129="Doubtful",$Q129*0.5,IF($P129="Limited",$Q129*0.25,0))))),2))</x:f>
      </x:c>
      <x:c r="S129" s="55" t="n">
        <x:f>IF($D129="",0,ROUND(IF(OR($P129="Out",$P129="Suspended"),$Q129*$H129,IF($P129="Doubtful",$Q129*$H129*0.5,IF($P129="Limited",$Q129*$H129*0.25,0))),2))</x:f>
        <x:v>0</x:v>
      </x:c>
      <x:c r="T129" s="55" t="str"/>
      <x:c r="U129" s="51" t="str"/>
    </x:row>
    <x:row r="130">
      <x:c r="A130" s="51" t="str">
        <x:v>Bosnia &amp; Herzegovina</x:v>
      </x:c>
      <x:c r="B130" s="51" t="str">
        <x:v>B</x:v>
      </x:c>
      <x:c r="C130" s="51" t="n">
        <x:v>22</x:v>
      </x:c>
      <x:c r="D130" s="71" t="str"/>
      <x:c r="E130" s="51" t="str">
        <x:v>Winger</x:v>
      </x:c>
      <x:c r="F130" s="51" t="str">
        <x:v>Attack</x:v>
      </x:c>
      <x:c r="G130" s="51" t="str">
        <x:v>Depth</x:v>
      </x:c>
      <x:c r="H130" s="55" t="n">
        <x:v>0.1</x:v>
      </x:c>
      <x:c r="I130" s="51" t="str"/>
      <x:c r="J130" s="72" t="str"/>
      <x:c r="K130" s="72" t="str"/>
      <x:c r="L130" s="72" t="str"/>
      <x:c r="M130" s="72" t="str"/>
      <x:c r="N130" s="72" t="str"/>
      <x:c r="O130" s="72" t="str"/>
      <x:c r="P130" s="72" t="str">
        <x:v>Available</x:v>
      </x:c>
      <x:c r="Q130" s="72" t="n">
        <x:v>0</x:v>
      </x:c>
      <x:c r="R130" s="55" t="str">
        <x:f>IF($D130="","",ROUND(MAX(0,MIN(100,0.35*$J130+0.2*$K130+0.15*$L130+0.15*$M130+0.1*$N130+0.05*$O130-IF(OR($P130="Out",$P130="Suspended"),$Q130,IF($P130="Doubtful",$Q130*0.5,IF($P130="Limited",$Q130*0.25,0))))),2))</x:f>
      </x:c>
      <x:c r="S130" s="55" t="n">
        <x:f>IF($D130="",0,ROUND(IF(OR($P130="Out",$P130="Suspended"),$Q130*$H130,IF($P130="Doubtful",$Q130*$H130*0.5,IF($P130="Limited",$Q130*$H130*0.25,0))),2))</x:f>
        <x:v>0</x:v>
      </x:c>
      <x:c r="T130" s="55" t="str"/>
      <x:c r="U130" s="51" t="str"/>
    </x:row>
    <x:row r="131">
      <x:c r="A131" s="51" t="str">
        <x:v>Bosnia &amp; Herzegovina</x:v>
      </x:c>
      <x:c r="B131" s="51" t="str">
        <x:v>B</x:v>
      </x:c>
      <x:c r="C131" s="51" t="n">
        <x:v>23</x:v>
      </x:c>
      <x:c r="D131" s="71" t="str"/>
      <x:c r="E131" s="51" t="str">
        <x:v>Winger</x:v>
      </x:c>
      <x:c r="F131" s="51" t="str">
        <x:v>Attack</x:v>
      </x:c>
      <x:c r="G131" s="51" t="str">
        <x:v>Depth</x:v>
      </x:c>
      <x:c r="H131" s="55" t="n">
        <x:v>0.1</x:v>
      </x:c>
      <x:c r="I131" s="51" t="str"/>
      <x:c r="J131" s="72" t="str"/>
      <x:c r="K131" s="72" t="str"/>
      <x:c r="L131" s="72" t="str"/>
      <x:c r="M131" s="72" t="str"/>
      <x:c r="N131" s="72" t="str"/>
      <x:c r="O131" s="72" t="str"/>
      <x:c r="P131" s="72" t="str">
        <x:v>Available</x:v>
      </x:c>
      <x:c r="Q131" s="72" t="n">
        <x:v>0</x:v>
      </x:c>
      <x:c r="R131" s="55" t="str">
        <x:f>IF($D131="","",ROUND(MAX(0,MIN(100,0.35*$J131+0.2*$K131+0.15*$L131+0.15*$M131+0.1*$N131+0.05*$O131-IF(OR($P131="Out",$P131="Suspended"),$Q131,IF($P131="Doubtful",$Q131*0.5,IF($P131="Limited",$Q131*0.25,0))))),2))</x:f>
      </x:c>
      <x:c r="S131" s="55" t="n">
        <x:f>IF($D131="",0,ROUND(IF(OR($P131="Out",$P131="Suspended"),$Q131*$H131,IF($P131="Doubtful",$Q131*$H131*0.5,IF($P131="Limited",$Q131*$H131*0.25,0))),2))</x:f>
        <x:v>0</x:v>
      </x:c>
      <x:c r="T131" s="55" t="str"/>
      <x:c r="U131" s="51" t="str"/>
    </x:row>
    <x:row r="132">
      <x:c r="A132" s="51" t="str">
        <x:v>Bosnia &amp; Herzegovina</x:v>
      </x:c>
      <x:c r="B132" s="51" t="str">
        <x:v>B</x:v>
      </x:c>
      <x:c r="C132" s="51" t="n">
        <x:v>24</x:v>
      </x:c>
      <x:c r="D132" s="71" t="str"/>
      <x:c r="E132" s="51" t="str">
        <x:v>ST</x:v>
      </x:c>
      <x:c r="F132" s="51" t="str">
        <x:v>Attack</x:v>
      </x:c>
      <x:c r="G132" s="51" t="str">
        <x:v>Depth</x:v>
      </x:c>
      <x:c r="H132" s="55" t="n">
        <x:v>0.1</x:v>
      </x:c>
      <x:c r="I132" s="51" t="str"/>
      <x:c r="J132" s="72" t="str"/>
      <x:c r="K132" s="72" t="str"/>
      <x:c r="L132" s="72" t="str"/>
      <x:c r="M132" s="72" t="str"/>
      <x:c r="N132" s="72" t="str"/>
      <x:c r="O132" s="72" t="str"/>
      <x:c r="P132" s="72" t="str">
        <x:v>Available</x:v>
      </x:c>
      <x:c r="Q132" s="72" t="n">
        <x:v>0</x:v>
      </x:c>
      <x:c r="R132" s="55" t="str">
        <x:f>IF($D132="","",ROUND(MAX(0,MIN(100,0.35*$J132+0.2*$K132+0.15*$L132+0.15*$M132+0.1*$N132+0.05*$O132-IF(OR($P132="Out",$P132="Suspended"),$Q132,IF($P132="Doubtful",$Q132*0.5,IF($P132="Limited",$Q132*0.25,0))))),2))</x:f>
      </x:c>
      <x:c r="S132" s="55" t="n">
        <x:f>IF($D132="",0,ROUND(IF(OR($P132="Out",$P132="Suspended"),$Q132*$H132,IF($P132="Doubtful",$Q132*$H132*0.5,IF($P132="Limited",$Q132*$H132*0.25,0))),2))</x:f>
        <x:v>0</x:v>
      </x:c>
      <x:c r="T132" s="55" t="str"/>
      <x:c r="U132" s="51" t="str"/>
    </x:row>
    <x:row r="133">
      <x:c r="A133" s="51" t="str">
        <x:v>Bosnia &amp; Herzegovina</x:v>
      </x:c>
      <x:c r="B133" s="51" t="str">
        <x:v>B</x:v>
      </x:c>
      <x:c r="C133" s="51" t="n">
        <x:v>25</x:v>
      </x:c>
      <x:c r="D133" s="71" t="str"/>
      <x:c r="E133" s="51" t="str">
        <x:v>ST</x:v>
      </x:c>
      <x:c r="F133" s="51" t="str">
        <x:v>Attack</x:v>
      </x:c>
      <x:c r="G133" s="51" t="str">
        <x:v>Depth</x:v>
      </x:c>
      <x:c r="H133" s="55" t="n">
        <x:v>0.1</x:v>
      </x:c>
      <x:c r="I133" s="51" t="str"/>
      <x:c r="J133" s="72" t="str"/>
      <x:c r="K133" s="72" t="str"/>
      <x:c r="L133" s="72" t="str"/>
      <x:c r="M133" s="72" t="str"/>
      <x:c r="N133" s="72" t="str"/>
      <x:c r="O133" s="72" t="str"/>
      <x:c r="P133" s="72" t="str">
        <x:v>Available</x:v>
      </x:c>
      <x:c r="Q133" s="72" t="n">
        <x:v>0</x:v>
      </x:c>
      <x:c r="R133" s="55" t="str">
        <x:f>IF($D133="","",ROUND(MAX(0,MIN(100,0.35*$J133+0.2*$K133+0.15*$L133+0.15*$M133+0.1*$N133+0.05*$O133-IF(OR($P133="Out",$P133="Suspended"),$Q133,IF($P133="Doubtful",$Q133*0.5,IF($P133="Limited",$Q133*0.25,0))))),2))</x:f>
      </x:c>
      <x:c r="S133" s="55" t="n">
        <x:f>IF($D133="",0,ROUND(IF(OR($P133="Out",$P133="Suspended"),$Q133*$H133,IF($P133="Doubtful",$Q133*$H133*0.5,IF($P133="Limited",$Q133*$H133*0.25,0))),2))</x:f>
        <x:v>0</x:v>
      </x:c>
      <x:c r="T133" s="55" t="str"/>
      <x:c r="U133" s="51" t="str"/>
    </x:row>
    <x:row r="134">
      <x:c r="A134" s="51" t="str">
        <x:v>Bosnia &amp; Herzegovina</x:v>
      </x:c>
      <x:c r="B134" s="51" t="str">
        <x:v>B</x:v>
      </x:c>
      <x:c r="C134" s="51" t="n">
        <x:v>26</x:v>
      </x:c>
      <x:c r="D134" s="71" t="str"/>
      <x:c r="E134" s="51" t="str">
        <x:v>ST</x:v>
      </x:c>
      <x:c r="F134" s="51" t="str">
        <x:v>Attack</x:v>
      </x:c>
      <x:c r="G134" s="51" t="str">
        <x:v>Depth</x:v>
      </x:c>
      <x:c r="H134" s="55" t="n">
        <x:v>0.1</x:v>
      </x:c>
      <x:c r="I134" s="51" t="str"/>
      <x:c r="J134" s="72" t="str"/>
      <x:c r="K134" s="72" t="str"/>
      <x:c r="L134" s="72" t="str"/>
      <x:c r="M134" s="72" t="str"/>
      <x:c r="N134" s="72" t="str"/>
      <x:c r="O134" s="72" t="str"/>
      <x:c r="P134" s="72" t="str">
        <x:v>Available</x:v>
      </x:c>
      <x:c r="Q134" s="72" t="n">
        <x:v>0</x:v>
      </x:c>
      <x:c r="R134" s="55" t="str">
        <x:f>IF($D134="","",ROUND(MAX(0,MIN(100,0.35*$J134+0.2*$K134+0.15*$L134+0.15*$M134+0.1*$N134+0.05*$O134-IF(OR($P134="Out",$P134="Suspended"),$Q134,IF($P134="Doubtful",$Q134*0.5,IF($P134="Limited",$Q134*0.25,0))))),2))</x:f>
      </x:c>
      <x:c r="S134" s="55" t="n">
        <x:f>IF($D134="",0,ROUND(IF(OR($P134="Out",$P134="Suspended"),$Q134*$H134,IF($P134="Doubtful",$Q134*$H134*0.5,IF($P134="Limited",$Q134*$H134*0.25,0))),2))</x:f>
        <x:v>0</x:v>
      </x:c>
      <x:c r="T134" s="55" t="str"/>
      <x:c r="U134" s="51" t="str"/>
    </x:row>
    <x:row r="135">
      <x:c r="A135" s="51" t="str">
        <x:v>Canada</x:v>
      </x:c>
      <x:c r="B135" s="51" t="str">
        <x:v>B</x:v>
      </x:c>
      <x:c r="C135" s="51" t="n">
        <x:v>1</x:v>
      </x:c>
      <x:c r="D135" s="71" t="str"/>
      <x:c r="E135" s="51" t="str">
        <x:v>GK</x:v>
      </x:c>
      <x:c r="F135" s="51" t="str">
        <x:v>GK</x:v>
      </x:c>
      <x:c r="G135" s="51" t="str">
        <x:v>Starter</x:v>
      </x:c>
      <x:c r="H135" s="55" t="n">
        <x:v>1</x:v>
      </x:c>
      <x:c r="I135" s="51" t="str"/>
      <x:c r="J135" s="72" t="str"/>
      <x:c r="K135" s="72" t="str"/>
      <x:c r="L135" s="72" t="str"/>
      <x:c r="M135" s="72" t="str"/>
      <x:c r="N135" s="72" t="str"/>
      <x:c r="O135" s="72" t="str"/>
      <x:c r="P135" s="72" t="str">
        <x:v>Available</x:v>
      </x:c>
      <x:c r="Q135" s="72" t="n">
        <x:v>0</x:v>
      </x:c>
      <x:c r="R135" s="55" t="str">
        <x:f>IF($D135="","",ROUND(MAX(0,MIN(100,0.35*$J135+0.2*$K135+0.15*$L135+0.15*$M135+0.1*$N135+0.05*$O135-IF(OR($P135="Out",$P135="Suspended"),$Q135,IF($P135="Doubtful",$Q135*0.5,IF($P135="Limited",$Q135*0.25,0))))),2))</x:f>
      </x:c>
      <x:c r="S135" s="55" t="n">
        <x:f>IF($D135="",0,ROUND(IF(OR($P135="Out",$P135="Suspended"),$Q135*$H135,IF($P135="Doubtful",$Q135*$H135*0.5,IF($P135="Limited",$Q135*$H135*0.25,0))),2))</x:f>
        <x:v>0</x:v>
      </x:c>
      <x:c r="T135" s="55" t="str"/>
      <x:c r="U135" s="51" t="str"/>
    </x:row>
    <x:row r="136">
      <x:c r="A136" s="51" t="str">
        <x:v>Canada</x:v>
      </x:c>
      <x:c r="B136" s="51" t="str">
        <x:v>B</x:v>
      </x:c>
      <x:c r="C136" s="51" t="n">
        <x:v>2</x:v>
      </x:c>
      <x:c r="D136" s="71" t="str"/>
      <x:c r="E136" s="51" t="str">
        <x:v>GK</x:v>
      </x:c>
      <x:c r="F136" s="51" t="str">
        <x:v>GK</x:v>
      </x:c>
      <x:c r="G136" s="51" t="str">
        <x:v>Starter</x:v>
      </x:c>
      <x:c r="H136" s="55" t="n">
        <x:v>1</x:v>
      </x:c>
      <x:c r="I136" s="51" t="str"/>
      <x:c r="J136" s="72" t="str"/>
      <x:c r="K136" s="72" t="str"/>
      <x:c r="L136" s="72" t="str"/>
      <x:c r="M136" s="72" t="str"/>
      <x:c r="N136" s="72" t="str"/>
      <x:c r="O136" s="72" t="str"/>
      <x:c r="P136" s="72" t="str">
        <x:v>Available</x:v>
      </x:c>
      <x:c r="Q136" s="72" t="n">
        <x:v>0</x:v>
      </x:c>
      <x:c r="R136" s="55" t="str">
        <x:f>IF($D136="","",ROUND(MAX(0,MIN(100,0.35*$J136+0.2*$K136+0.15*$L136+0.15*$M136+0.1*$N136+0.05*$O136-IF(OR($P136="Out",$P136="Suspended"),$Q136,IF($P136="Doubtful",$Q136*0.5,IF($P136="Limited",$Q136*0.25,0))))),2))</x:f>
      </x:c>
      <x:c r="S136" s="55" t="n">
        <x:f>IF($D136="",0,ROUND(IF(OR($P136="Out",$P136="Suspended"),$Q136*$H136,IF($P136="Doubtful",$Q136*$H136*0.5,IF($P136="Limited",$Q136*$H136*0.25,0))),2))</x:f>
        <x:v>0</x:v>
      </x:c>
      <x:c r="T136" s="55" t="str"/>
      <x:c r="U136" s="51" t="str"/>
    </x:row>
    <x:row r="137">
      <x:c r="A137" s="51" t="str">
        <x:v>Canada</x:v>
      </x:c>
      <x:c r="B137" s="51" t="str">
        <x:v>B</x:v>
      </x:c>
      <x:c r="C137" s="51" t="n">
        <x:v>3</x:v>
      </x:c>
      <x:c r="D137" s="71" t="str"/>
      <x:c r="E137" s="51" t="str">
        <x:v>GK</x:v>
      </x:c>
      <x:c r="F137" s="51" t="str">
        <x:v>GK</x:v>
      </x:c>
      <x:c r="G137" s="51" t="str">
        <x:v>Starter</x:v>
      </x:c>
      <x:c r="H137" s="55" t="n">
        <x:v>1</x:v>
      </x:c>
      <x:c r="I137" s="51" t="str"/>
      <x:c r="J137" s="72" t="str"/>
      <x:c r="K137" s="72" t="str"/>
      <x:c r="L137" s="72" t="str"/>
      <x:c r="M137" s="72" t="str"/>
      <x:c r="N137" s="72" t="str"/>
      <x:c r="O137" s="72" t="str"/>
      <x:c r="P137" s="72" t="str">
        <x:v>Available</x:v>
      </x:c>
      <x:c r="Q137" s="72" t="n">
        <x:v>0</x:v>
      </x:c>
      <x:c r="R137" s="55" t="str">
        <x:f>IF($D137="","",ROUND(MAX(0,MIN(100,0.35*$J137+0.2*$K137+0.15*$L137+0.15*$M137+0.1*$N137+0.05*$O137-IF(OR($P137="Out",$P137="Suspended"),$Q137,IF($P137="Doubtful",$Q137*0.5,IF($P137="Limited",$Q137*0.25,0))))),2))</x:f>
      </x:c>
      <x:c r="S137" s="55" t="n">
        <x:f>IF($D137="",0,ROUND(IF(OR($P137="Out",$P137="Suspended"),$Q137*$H137,IF($P137="Doubtful",$Q137*$H137*0.5,IF($P137="Limited",$Q137*$H137*0.25,0))),2))</x:f>
        <x:v>0</x:v>
      </x:c>
      <x:c r="T137" s="55" t="str"/>
      <x:c r="U137" s="51" t="str"/>
    </x:row>
    <x:row r="138">
      <x:c r="A138" s="51" t="str">
        <x:v>Canada</x:v>
      </x:c>
      <x:c r="B138" s="51" t="str">
        <x:v>B</x:v>
      </x:c>
      <x:c r="C138" s="51" t="n">
        <x:v>4</x:v>
      </x:c>
      <x:c r="D138" s="71" t="str"/>
      <x:c r="E138" s="51" t="str">
        <x:v>CB</x:v>
      </x:c>
      <x:c r="F138" s="51" t="str">
        <x:v>Defence</x:v>
      </x:c>
      <x:c r="G138" s="51" t="str">
        <x:v>Starter</x:v>
      </x:c>
      <x:c r="H138" s="55" t="n">
        <x:v>1</x:v>
      </x:c>
      <x:c r="I138" s="51" t="str"/>
      <x:c r="J138" s="72" t="str"/>
      <x:c r="K138" s="72" t="str"/>
      <x:c r="L138" s="72" t="str"/>
      <x:c r="M138" s="72" t="str"/>
      <x:c r="N138" s="72" t="str"/>
      <x:c r="O138" s="72" t="str"/>
      <x:c r="P138" s="72" t="str">
        <x:v>Available</x:v>
      </x:c>
      <x:c r="Q138" s="72" t="n">
        <x:v>0</x:v>
      </x:c>
      <x:c r="R138" s="55" t="str">
        <x:f>IF($D138="","",ROUND(MAX(0,MIN(100,0.35*$J138+0.2*$K138+0.15*$L138+0.15*$M138+0.1*$N138+0.05*$O138-IF(OR($P138="Out",$P138="Suspended"),$Q138,IF($P138="Doubtful",$Q138*0.5,IF($P138="Limited",$Q138*0.25,0))))),2))</x:f>
      </x:c>
      <x:c r="S138" s="55" t="n">
        <x:f>IF($D138="",0,ROUND(IF(OR($P138="Out",$P138="Suspended"),$Q138*$H138,IF($P138="Doubtful",$Q138*$H138*0.5,IF($P138="Limited",$Q138*$H138*0.25,0))),2))</x:f>
        <x:v>0</x:v>
      </x:c>
      <x:c r="T138" s="55" t="str"/>
      <x:c r="U138" s="51" t="str"/>
    </x:row>
    <x:row r="139">
      <x:c r="A139" s="51" t="str">
        <x:v>Canada</x:v>
      </x:c>
      <x:c r="B139" s="51" t="str">
        <x:v>B</x:v>
      </x:c>
      <x:c r="C139" s="51" t="n">
        <x:v>5</x:v>
      </x:c>
      <x:c r="D139" s="71" t="str"/>
      <x:c r="E139" s="51" t="str">
        <x:v>CB</x:v>
      </x:c>
      <x:c r="F139" s="51" t="str">
        <x:v>Defence</x:v>
      </x:c>
      <x:c r="G139" s="51" t="str">
        <x:v>Starter</x:v>
      </x:c>
      <x:c r="H139" s="55" t="n">
        <x:v>1</x:v>
      </x:c>
      <x:c r="I139" s="51" t="str"/>
      <x:c r="J139" s="72" t="str"/>
      <x:c r="K139" s="72" t="str"/>
      <x:c r="L139" s="72" t="str"/>
      <x:c r="M139" s="72" t="str"/>
      <x:c r="N139" s="72" t="str"/>
      <x:c r="O139" s="72" t="str"/>
      <x:c r="P139" s="72" t="str">
        <x:v>Available</x:v>
      </x:c>
      <x:c r="Q139" s="72" t="n">
        <x:v>0</x:v>
      </x:c>
      <x:c r="R139" s="55" t="str">
        <x:f>IF($D139="","",ROUND(MAX(0,MIN(100,0.35*$J139+0.2*$K139+0.15*$L139+0.15*$M139+0.1*$N139+0.05*$O139-IF(OR($P139="Out",$P139="Suspended"),$Q139,IF($P139="Doubtful",$Q139*0.5,IF($P139="Limited",$Q139*0.25,0))))),2))</x:f>
      </x:c>
      <x:c r="S139" s="55" t="n">
        <x:f>IF($D139="",0,ROUND(IF(OR($P139="Out",$P139="Suspended"),$Q139*$H139,IF($P139="Doubtful",$Q139*$H139*0.5,IF($P139="Limited",$Q139*$H139*0.25,0))),2))</x:f>
        <x:v>0</x:v>
      </x:c>
      <x:c r="T139" s="55" t="str"/>
      <x:c r="U139" s="51" t="str"/>
    </x:row>
    <x:row r="140">
      <x:c r="A140" s="51" t="str">
        <x:v>Canada</x:v>
      </x:c>
      <x:c r="B140" s="51" t="str">
        <x:v>B</x:v>
      </x:c>
      <x:c r="C140" s="51" t="n">
        <x:v>6</x:v>
      </x:c>
      <x:c r="D140" s="71" t="str"/>
      <x:c r="E140" s="51" t="str">
        <x:v>CB</x:v>
      </x:c>
      <x:c r="F140" s="51" t="str">
        <x:v>Defence</x:v>
      </x:c>
      <x:c r="G140" s="51" t="str">
        <x:v>Starter</x:v>
      </x:c>
      <x:c r="H140" s="55" t="n">
        <x:v>1</x:v>
      </x:c>
      <x:c r="I140" s="51" t="str"/>
      <x:c r="J140" s="72" t="str"/>
      <x:c r="K140" s="72" t="str"/>
      <x:c r="L140" s="72" t="str"/>
      <x:c r="M140" s="72" t="str"/>
      <x:c r="N140" s="72" t="str"/>
      <x:c r="O140" s="72" t="str"/>
      <x:c r="P140" s="72" t="str">
        <x:v>Available</x:v>
      </x:c>
      <x:c r="Q140" s="72" t="n">
        <x:v>0</x:v>
      </x:c>
      <x:c r="R140" s="55" t="str">
        <x:f>IF($D140="","",ROUND(MAX(0,MIN(100,0.35*$J140+0.2*$K140+0.15*$L140+0.15*$M140+0.1*$N140+0.05*$O140-IF(OR($P140="Out",$P140="Suspended"),$Q140,IF($P140="Doubtful",$Q140*0.5,IF($P140="Limited",$Q140*0.25,0))))),2))</x:f>
      </x:c>
      <x:c r="S140" s="55" t="n">
        <x:f>IF($D140="",0,ROUND(IF(OR($P140="Out",$P140="Suspended"),$Q140*$H140,IF($P140="Doubtful",$Q140*$H140*0.5,IF($P140="Limited",$Q140*$H140*0.25,0))),2))</x:f>
        <x:v>0</x:v>
      </x:c>
      <x:c r="T140" s="55" t="str"/>
      <x:c r="U140" s="51" t="str"/>
    </x:row>
    <x:row r="141">
      <x:c r="A141" s="51" t="str">
        <x:v>Canada</x:v>
      </x:c>
      <x:c r="B141" s="51" t="str">
        <x:v>B</x:v>
      </x:c>
      <x:c r="C141" s="51" t="n">
        <x:v>7</x:v>
      </x:c>
      <x:c r="D141" s="71" t="str"/>
      <x:c r="E141" s="51" t="str">
        <x:v>FB</x:v>
      </x:c>
      <x:c r="F141" s="51" t="str">
        <x:v>Defence</x:v>
      </x:c>
      <x:c r="G141" s="51" t="str">
        <x:v>Starter</x:v>
      </x:c>
      <x:c r="H141" s="55" t="n">
        <x:v>1</x:v>
      </x:c>
      <x:c r="I141" s="51" t="str"/>
      <x:c r="J141" s="72" t="str"/>
      <x:c r="K141" s="72" t="str"/>
      <x:c r="L141" s="72" t="str"/>
      <x:c r="M141" s="72" t="str"/>
      <x:c r="N141" s="72" t="str"/>
      <x:c r="O141" s="72" t="str"/>
      <x:c r="P141" s="72" t="str">
        <x:v>Available</x:v>
      </x:c>
      <x:c r="Q141" s="72" t="n">
        <x:v>0</x:v>
      </x:c>
      <x:c r="R141" s="55" t="str">
        <x:f>IF($D141="","",ROUND(MAX(0,MIN(100,0.35*$J141+0.2*$K141+0.15*$L141+0.15*$M141+0.1*$N141+0.05*$O141-IF(OR($P141="Out",$P141="Suspended"),$Q141,IF($P141="Doubtful",$Q141*0.5,IF($P141="Limited",$Q141*0.25,0))))),2))</x:f>
      </x:c>
      <x:c r="S141" s="55" t="n">
        <x:f>IF($D141="",0,ROUND(IF(OR($P141="Out",$P141="Suspended"),$Q141*$H141,IF($P141="Doubtful",$Q141*$H141*0.5,IF($P141="Limited",$Q141*$H141*0.25,0))),2))</x:f>
        <x:v>0</x:v>
      </x:c>
      <x:c r="T141" s="55" t="str"/>
      <x:c r="U141" s="51" t="str"/>
    </x:row>
    <x:row r="142">
      <x:c r="A142" s="51" t="str">
        <x:v>Canada</x:v>
      </x:c>
      <x:c r="B142" s="51" t="str">
        <x:v>B</x:v>
      </x:c>
      <x:c r="C142" s="51" t="n">
        <x:v>8</x:v>
      </x:c>
      <x:c r="D142" s="71" t="str"/>
      <x:c r="E142" s="51" t="str">
        <x:v>FB</x:v>
      </x:c>
      <x:c r="F142" s="51" t="str">
        <x:v>Defence</x:v>
      </x:c>
      <x:c r="G142" s="51" t="str">
        <x:v>Starter</x:v>
      </x:c>
      <x:c r="H142" s="55" t="n">
        <x:v>1</x:v>
      </x:c>
      <x:c r="I142" s="51" t="str"/>
      <x:c r="J142" s="72" t="str"/>
      <x:c r="K142" s="72" t="str"/>
      <x:c r="L142" s="72" t="str"/>
      <x:c r="M142" s="72" t="str"/>
      <x:c r="N142" s="72" t="str"/>
      <x:c r="O142" s="72" t="str"/>
      <x:c r="P142" s="72" t="str">
        <x:v>Available</x:v>
      </x:c>
      <x:c r="Q142" s="72" t="n">
        <x:v>0</x:v>
      </x:c>
      <x:c r="R142" s="55" t="str">
        <x:f>IF($D142="","",ROUND(MAX(0,MIN(100,0.35*$J142+0.2*$K142+0.15*$L142+0.15*$M142+0.1*$N142+0.05*$O142-IF(OR($P142="Out",$P142="Suspended"),$Q142,IF($P142="Doubtful",$Q142*0.5,IF($P142="Limited",$Q142*0.25,0))))),2))</x:f>
      </x:c>
      <x:c r="S142" s="55" t="n">
        <x:f>IF($D142="",0,ROUND(IF(OR($P142="Out",$P142="Suspended"),$Q142*$H142,IF($P142="Doubtful",$Q142*$H142*0.5,IF($P142="Limited",$Q142*$H142*0.25,0))),2))</x:f>
        <x:v>0</x:v>
      </x:c>
      <x:c r="T142" s="55" t="str"/>
      <x:c r="U142" s="51" t="str"/>
    </x:row>
    <x:row r="143">
      <x:c r="A143" s="51" t="str">
        <x:v>Canada</x:v>
      </x:c>
      <x:c r="B143" s="51" t="str">
        <x:v>B</x:v>
      </x:c>
      <x:c r="C143" s="51" t="n">
        <x:v>9</x:v>
      </x:c>
      <x:c r="D143" s="71" t="str"/>
      <x:c r="E143" s="51" t="str">
        <x:v>DM</x:v>
      </x:c>
      <x:c r="F143" s="51" t="str">
        <x:v>Midfield</x:v>
      </x:c>
      <x:c r="G143" s="51" t="str">
        <x:v>Starter</x:v>
      </x:c>
      <x:c r="H143" s="55" t="n">
        <x:v>1</x:v>
      </x:c>
      <x:c r="I143" s="51" t="str"/>
      <x:c r="J143" s="72" t="str"/>
      <x:c r="K143" s="72" t="str"/>
      <x:c r="L143" s="72" t="str"/>
      <x:c r="M143" s="72" t="str"/>
      <x:c r="N143" s="72" t="str"/>
      <x:c r="O143" s="72" t="str"/>
      <x:c r="P143" s="72" t="str">
        <x:v>Available</x:v>
      </x:c>
      <x:c r="Q143" s="72" t="n">
        <x:v>0</x:v>
      </x:c>
      <x:c r="R143" s="55" t="str">
        <x:f>IF($D143="","",ROUND(MAX(0,MIN(100,0.35*$J143+0.2*$K143+0.15*$L143+0.15*$M143+0.1*$N143+0.05*$O143-IF(OR($P143="Out",$P143="Suspended"),$Q143,IF($P143="Doubtful",$Q143*0.5,IF($P143="Limited",$Q143*0.25,0))))),2))</x:f>
      </x:c>
      <x:c r="S143" s="55" t="n">
        <x:f>IF($D143="",0,ROUND(IF(OR($P143="Out",$P143="Suspended"),$Q143*$H143,IF($P143="Doubtful",$Q143*$H143*0.5,IF($P143="Limited",$Q143*$H143*0.25,0))),2))</x:f>
        <x:v>0</x:v>
      </x:c>
      <x:c r="T143" s="55" t="str"/>
      <x:c r="U143" s="51" t="str"/>
    </x:row>
    <x:row r="144">
      <x:c r="A144" s="51" t="str">
        <x:v>Canada</x:v>
      </x:c>
      <x:c r="B144" s="51" t="str">
        <x:v>B</x:v>
      </x:c>
      <x:c r="C144" s="51" t="n">
        <x:v>10</x:v>
      </x:c>
      <x:c r="D144" s="71" t="str"/>
      <x:c r="E144" s="51" t="str">
        <x:v>DM</x:v>
      </x:c>
      <x:c r="F144" s="51" t="str">
        <x:v>Midfield</x:v>
      </x:c>
      <x:c r="G144" s="51" t="str">
        <x:v>Starter</x:v>
      </x:c>
      <x:c r="H144" s="55" t="n">
        <x:v>1</x:v>
      </x:c>
      <x:c r="I144" s="51" t="str"/>
      <x:c r="J144" s="72" t="str"/>
      <x:c r="K144" s="72" t="str"/>
      <x:c r="L144" s="72" t="str"/>
      <x:c r="M144" s="72" t="str"/>
      <x:c r="N144" s="72" t="str"/>
      <x:c r="O144" s="72" t="str"/>
      <x:c r="P144" s="72" t="str">
        <x:v>Available</x:v>
      </x:c>
      <x:c r="Q144" s="72" t="n">
        <x:v>0</x:v>
      </x:c>
      <x:c r="R144" s="55" t="str">
        <x:f>IF($D144="","",ROUND(MAX(0,MIN(100,0.35*$J144+0.2*$K144+0.15*$L144+0.15*$M144+0.1*$N144+0.05*$O144-IF(OR($P144="Out",$P144="Suspended"),$Q144,IF($P144="Doubtful",$Q144*0.5,IF($P144="Limited",$Q144*0.25,0))))),2))</x:f>
      </x:c>
      <x:c r="S144" s="55" t="n">
        <x:f>IF($D144="",0,ROUND(IF(OR($P144="Out",$P144="Suspended"),$Q144*$H144,IF($P144="Doubtful",$Q144*$H144*0.5,IF($P144="Limited",$Q144*$H144*0.25,0))),2))</x:f>
        <x:v>0</x:v>
      </x:c>
      <x:c r="T144" s="55" t="str"/>
      <x:c r="U144" s="51" t="str"/>
    </x:row>
    <x:row r="145">
      <x:c r="A145" s="51" t="str">
        <x:v>Canada</x:v>
      </x:c>
      <x:c r="B145" s="51" t="str">
        <x:v>B</x:v>
      </x:c>
      <x:c r="C145" s="51" t="n">
        <x:v>11</x:v>
      </x:c>
      <x:c r="D145" s="71" t="str"/>
      <x:c r="E145" s="51" t="str">
        <x:v>DM</x:v>
      </x:c>
      <x:c r="F145" s="51" t="str">
        <x:v>Midfield</x:v>
      </x:c>
      <x:c r="G145" s="51" t="str">
        <x:v>Starter</x:v>
      </x:c>
      <x:c r="H145" s="55" t="n">
        <x:v>1</x:v>
      </x:c>
      <x:c r="I145" s="51" t="str"/>
      <x:c r="J145" s="72" t="str"/>
      <x:c r="K145" s="72" t="str"/>
      <x:c r="L145" s="72" t="str"/>
      <x:c r="M145" s="72" t="str"/>
      <x:c r="N145" s="72" t="str"/>
      <x:c r="O145" s="72" t="str"/>
      <x:c r="P145" s="72" t="str">
        <x:v>Available</x:v>
      </x:c>
      <x:c r="Q145" s="72" t="n">
        <x:v>0</x:v>
      </x:c>
      <x:c r="R145" s="55" t="str">
        <x:f>IF($D145="","",ROUND(MAX(0,MIN(100,0.35*$J145+0.2*$K145+0.15*$L145+0.15*$M145+0.1*$N145+0.05*$O145-IF(OR($P145="Out",$P145="Suspended"),$Q145,IF($P145="Doubtful",$Q145*0.5,IF($P145="Limited",$Q145*0.25,0))))),2))</x:f>
      </x:c>
      <x:c r="S145" s="55" t="n">
        <x:f>IF($D145="",0,ROUND(IF(OR($P145="Out",$P145="Suspended"),$Q145*$H145,IF($P145="Doubtful",$Q145*$H145*0.5,IF($P145="Limited",$Q145*$H145*0.25,0))),2))</x:f>
        <x:v>0</x:v>
      </x:c>
      <x:c r="T145" s="55" t="str"/>
      <x:c r="U145" s="51" t="str"/>
    </x:row>
    <x:row r="146">
      <x:c r="A146" s="51" t="str">
        <x:v>Canada</x:v>
      </x:c>
      <x:c r="B146" s="51" t="str">
        <x:v>B</x:v>
      </x:c>
      <x:c r="C146" s="51" t="n">
        <x:v>12</x:v>
      </x:c>
      <x:c r="D146" s="71" t="str"/>
      <x:c r="E146" s="51" t="str">
        <x:v>CM</x:v>
      </x:c>
      <x:c r="F146" s="51" t="str">
        <x:v>Midfield</x:v>
      </x:c>
      <x:c r="G146" s="51" t="str">
        <x:v>Rotation</x:v>
      </x:c>
      <x:c r="H146" s="55" t="n">
        <x:v>0.35</x:v>
      </x:c>
      <x:c r="I146" s="51" t="str"/>
      <x:c r="J146" s="72" t="str"/>
      <x:c r="K146" s="72" t="str"/>
      <x:c r="L146" s="72" t="str"/>
      <x:c r="M146" s="72" t="str"/>
      <x:c r="N146" s="72" t="str"/>
      <x:c r="O146" s="72" t="str"/>
      <x:c r="P146" s="72" t="str">
        <x:v>Available</x:v>
      </x:c>
      <x:c r="Q146" s="72" t="n">
        <x:v>0</x:v>
      </x:c>
      <x:c r="R146" s="55" t="str">
        <x:f>IF($D146="","",ROUND(MAX(0,MIN(100,0.35*$J146+0.2*$K146+0.15*$L146+0.15*$M146+0.1*$N146+0.05*$O146-IF(OR($P146="Out",$P146="Suspended"),$Q146,IF($P146="Doubtful",$Q146*0.5,IF($P146="Limited",$Q146*0.25,0))))),2))</x:f>
      </x:c>
      <x:c r="S146" s="55" t="n">
        <x:f>IF($D146="",0,ROUND(IF(OR($P146="Out",$P146="Suspended"),$Q146*$H146,IF($P146="Doubtful",$Q146*$H146*0.5,IF($P146="Limited",$Q146*$H146*0.25,0))),2))</x:f>
        <x:v>0</x:v>
      </x:c>
      <x:c r="T146" s="55" t="str"/>
      <x:c r="U146" s="51" t="str"/>
    </x:row>
    <x:row r="147">
      <x:c r="A147" s="51" t="str">
        <x:v>Canada</x:v>
      </x:c>
      <x:c r="B147" s="51" t="str">
        <x:v>B</x:v>
      </x:c>
      <x:c r="C147" s="51" t="n">
        <x:v>13</x:v>
      </x:c>
      <x:c r="D147" s="71" t="str"/>
      <x:c r="E147" s="51" t="str">
        <x:v>CM</x:v>
      </x:c>
      <x:c r="F147" s="51" t="str">
        <x:v>Midfield</x:v>
      </x:c>
      <x:c r="G147" s="51" t="str">
        <x:v>Rotation</x:v>
      </x:c>
      <x:c r="H147" s="55" t="n">
        <x:v>0.35</x:v>
      </x:c>
      <x:c r="I147" s="51" t="str"/>
      <x:c r="J147" s="72" t="str"/>
      <x:c r="K147" s="72" t="str"/>
      <x:c r="L147" s="72" t="str"/>
      <x:c r="M147" s="72" t="str"/>
      <x:c r="N147" s="72" t="str"/>
      <x:c r="O147" s="72" t="str"/>
      <x:c r="P147" s="72" t="str">
        <x:v>Available</x:v>
      </x:c>
      <x:c r="Q147" s="72" t="n">
        <x:v>0</x:v>
      </x:c>
      <x:c r="R147" s="55" t="str">
        <x:f>IF($D147="","",ROUND(MAX(0,MIN(100,0.35*$J147+0.2*$K147+0.15*$L147+0.15*$M147+0.1*$N147+0.05*$O147-IF(OR($P147="Out",$P147="Suspended"),$Q147,IF($P147="Doubtful",$Q147*0.5,IF($P147="Limited",$Q147*0.25,0))))),2))</x:f>
      </x:c>
      <x:c r="S147" s="55" t="n">
        <x:f>IF($D147="",0,ROUND(IF(OR($P147="Out",$P147="Suspended"),$Q147*$H147,IF($P147="Doubtful",$Q147*$H147*0.5,IF($P147="Limited",$Q147*$H147*0.25,0))),2))</x:f>
        <x:v>0</x:v>
      </x:c>
      <x:c r="T147" s="55" t="str"/>
      <x:c r="U147" s="51" t="str"/>
    </x:row>
    <x:row r="148">
      <x:c r="A148" s="51" t="str">
        <x:v>Canada</x:v>
      </x:c>
      <x:c r="B148" s="51" t="str">
        <x:v>B</x:v>
      </x:c>
      <x:c r="C148" s="51" t="n">
        <x:v>14</x:v>
      </x:c>
      <x:c r="D148" s="71" t="str"/>
      <x:c r="E148" s="51" t="str">
        <x:v>CM</x:v>
      </x:c>
      <x:c r="F148" s="51" t="str">
        <x:v>Midfield</x:v>
      </x:c>
      <x:c r="G148" s="51" t="str">
        <x:v>Rotation</x:v>
      </x:c>
      <x:c r="H148" s="55" t="n">
        <x:v>0.35</x:v>
      </x:c>
      <x:c r="I148" s="51" t="str"/>
      <x:c r="J148" s="72" t="str"/>
      <x:c r="K148" s="72" t="str"/>
      <x:c r="L148" s="72" t="str"/>
      <x:c r="M148" s="72" t="str"/>
      <x:c r="N148" s="72" t="str"/>
      <x:c r="O148" s="72" t="str"/>
      <x:c r="P148" s="72" t="str">
        <x:v>Available</x:v>
      </x:c>
      <x:c r="Q148" s="72" t="n">
        <x:v>0</x:v>
      </x:c>
      <x:c r="R148" s="55" t="str">
        <x:f>IF($D148="","",ROUND(MAX(0,MIN(100,0.35*$J148+0.2*$K148+0.15*$L148+0.15*$M148+0.1*$N148+0.05*$O148-IF(OR($P148="Out",$P148="Suspended"),$Q148,IF($P148="Doubtful",$Q148*0.5,IF($P148="Limited",$Q148*0.25,0))))),2))</x:f>
      </x:c>
      <x:c r="S148" s="55" t="n">
        <x:f>IF($D148="",0,ROUND(IF(OR($P148="Out",$P148="Suspended"),$Q148*$H148,IF($P148="Doubtful",$Q148*$H148*0.5,IF($P148="Limited",$Q148*$H148*0.25,0))),2))</x:f>
        <x:v>0</x:v>
      </x:c>
      <x:c r="T148" s="55" t="str"/>
      <x:c r="U148" s="51" t="str"/>
    </x:row>
    <x:row r="149">
      <x:c r="A149" s="51" t="str">
        <x:v>Canada</x:v>
      </x:c>
      <x:c r="B149" s="51" t="str">
        <x:v>B</x:v>
      </x:c>
      <x:c r="C149" s="51" t="n">
        <x:v>15</x:v>
      </x:c>
      <x:c r="D149" s="71" t="str"/>
      <x:c r="E149" s="51" t="str">
        <x:v>CM</x:v>
      </x:c>
      <x:c r="F149" s="51" t="str">
        <x:v>Midfield</x:v>
      </x:c>
      <x:c r="G149" s="51" t="str">
        <x:v>Rotation</x:v>
      </x:c>
      <x:c r="H149" s="55" t="n">
        <x:v>0.35</x:v>
      </x:c>
      <x:c r="I149" s="51" t="str"/>
      <x:c r="J149" s="72" t="str"/>
      <x:c r="K149" s="72" t="str"/>
      <x:c r="L149" s="72" t="str"/>
      <x:c r="M149" s="72" t="str"/>
      <x:c r="N149" s="72" t="str"/>
      <x:c r="O149" s="72" t="str"/>
      <x:c r="P149" s="72" t="str">
        <x:v>Available</x:v>
      </x:c>
      <x:c r="Q149" s="72" t="n">
        <x:v>0</x:v>
      </x:c>
      <x:c r="R149" s="55" t="str">
        <x:f>IF($D149="","",ROUND(MAX(0,MIN(100,0.35*$J149+0.2*$K149+0.15*$L149+0.15*$M149+0.1*$N149+0.05*$O149-IF(OR($P149="Out",$P149="Suspended"),$Q149,IF($P149="Doubtful",$Q149*0.5,IF($P149="Limited",$Q149*0.25,0))))),2))</x:f>
      </x:c>
      <x:c r="S149" s="55" t="n">
        <x:f>IF($D149="",0,ROUND(IF(OR($P149="Out",$P149="Suspended"),$Q149*$H149,IF($P149="Doubtful",$Q149*$H149*0.5,IF($P149="Limited",$Q149*$H149*0.25,0))),2))</x:f>
        <x:v>0</x:v>
      </x:c>
      <x:c r="T149" s="55" t="str"/>
      <x:c r="U149" s="51" t="str"/>
    </x:row>
    <x:row r="150">
      <x:c r="A150" s="51" t="str">
        <x:v>Canada</x:v>
      </x:c>
      <x:c r="B150" s="51" t="str">
        <x:v>B</x:v>
      </x:c>
      <x:c r="C150" s="51" t="n">
        <x:v>16</x:v>
      </x:c>
      <x:c r="D150" s="71" t="str"/>
      <x:c r="E150" s="51" t="str">
        <x:v>AM</x:v>
      </x:c>
      <x:c r="F150" s="51" t="str">
        <x:v>Attack</x:v>
      </x:c>
      <x:c r="G150" s="51" t="str">
        <x:v>Rotation</x:v>
      </x:c>
      <x:c r="H150" s="55" t="n">
        <x:v>0.35</x:v>
      </x:c>
      <x:c r="I150" s="51" t="str"/>
      <x:c r="J150" s="72" t="str"/>
      <x:c r="K150" s="72" t="str"/>
      <x:c r="L150" s="72" t="str"/>
      <x:c r="M150" s="72" t="str"/>
      <x:c r="N150" s="72" t="str"/>
      <x:c r="O150" s="72" t="str"/>
      <x:c r="P150" s="72" t="str">
        <x:v>Available</x:v>
      </x:c>
      <x:c r="Q150" s="72" t="n">
        <x:v>0</x:v>
      </x:c>
      <x:c r="R150" s="55" t="str">
        <x:f>IF($D150="","",ROUND(MAX(0,MIN(100,0.35*$J150+0.2*$K150+0.15*$L150+0.15*$M150+0.1*$N150+0.05*$O150-IF(OR($P150="Out",$P150="Suspended"),$Q150,IF($P150="Doubtful",$Q150*0.5,IF($P150="Limited",$Q150*0.25,0))))),2))</x:f>
      </x:c>
      <x:c r="S150" s="55" t="n">
        <x:f>IF($D150="",0,ROUND(IF(OR($P150="Out",$P150="Suspended"),$Q150*$H150,IF($P150="Doubtful",$Q150*$H150*0.5,IF($P150="Limited",$Q150*$H150*0.25,0))),2))</x:f>
        <x:v>0</x:v>
      </x:c>
      <x:c r="T150" s="55" t="str"/>
      <x:c r="U150" s="51" t="str"/>
    </x:row>
    <x:row r="151">
      <x:c r="A151" s="51" t="str">
        <x:v>Canada</x:v>
      </x:c>
      <x:c r="B151" s="51" t="str">
        <x:v>B</x:v>
      </x:c>
      <x:c r="C151" s="51" t="n">
        <x:v>17</x:v>
      </x:c>
      <x:c r="D151" s="71" t="str"/>
      <x:c r="E151" s="51" t="str">
        <x:v>AM</x:v>
      </x:c>
      <x:c r="F151" s="51" t="str">
        <x:v>Attack</x:v>
      </x:c>
      <x:c r="G151" s="51" t="str">
        <x:v>Rotation</x:v>
      </x:c>
      <x:c r="H151" s="55" t="n">
        <x:v>0.35</x:v>
      </x:c>
      <x:c r="I151" s="51" t="str"/>
      <x:c r="J151" s="72" t="str"/>
      <x:c r="K151" s="72" t="str"/>
      <x:c r="L151" s="72" t="str"/>
      <x:c r="M151" s="72" t="str"/>
      <x:c r="N151" s="72" t="str"/>
      <x:c r="O151" s="72" t="str"/>
      <x:c r="P151" s="72" t="str">
        <x:v>Available</x:v>
      </x:c>
      <x:c r="Q151" s="72" t="n">
        <x:v>0</x:v>
      </x:c>
      <x:c r="R151" s="55" t="str">
        <x:f>IF($D151="","",ROUND(MAX(0,MIN(100,0.35*$J151+0.2*$K151+0.15*$L151+0.15*$M151+0.1*$N151+0.05*$O151-IF(OR($P151="Out",$P151="Suspended"),$Q151,IF($P151="Doubtful",$Q151*0.5,IF($P151="Limited",$Q151*0.25,0))))),2))</x:f>
      </x:c>
      <x:c r="S151" s="55" t="n">
        <x:f>IF($D151="",0,ROUND(IF(OR($P151="Out",$P151="Suspended"),$Q151*$H151,IF($P151="Doubtful",$Q151*$H151*0.5,IF($P151="Limited",$Q151*$H151*0.25,0))),2))</x:f>
        <x:v>0</x:v>
      </x:c>
      <x:c r="T151" s="55" t="str"/>
      <x:c r="U151" s="51" t="str"/>
    </x:row>
    <x:row r="152">
      <x:c r="A152" s="51" t="str">
        <x:v>Canada</x:v>
      </x:c>
      <x:c r="B152" s="51" t="str">
        <x:v>B</x:v>
      </x:c>
      <x:c r="C152" s="51" t="n">
        <x:v>18</x:v>
      </x:c>
      <x:c r="D152" s="71" t="str"/>
      <x:c r="E152" s="51" t="str">
        <x:v>AM</x:v>
      </x:c>
      <x:c r="F152" s="51" t="str">
        <x:v>Attack</x:v>
      </x:c>
      <x:c r="G152" s="51" t="str">
        <x:v>Rotation</x:v>
      </x:c>
      <x:c r="H152" s="55" t="n">
        <x:v>0.35</x:v>
      </x:c>
      <x:c r="I152" s="51" t="str"/>
      <x:c r="J152" s="72" t="str"/>
      <x:c r="K152" s="72" t="str"/>
      <x:c r="L152" s="72" t="str"/>
      <x:c r="M152" s="72" t="str"/>
      <x:c r="N152" s="72" t="str"/>
      <x:c r="O152" s="72" t="str"/>
      <x:c r="P152" s="72" t="str">
        <x:v>Available</x:v>
      </x:c>
      <x:c r="Q152" s="72" t="n">
        <x:v>0</x:v>
      </x:c>
      <x:c r="R152" s="55" t="str">
        <x:f>IF($D152="","",ROUND(MAX(0,MIN(100,0.35*$J152+0.2*$K152+0.15*$L152+0.15*$M152+0.1*$N152+0.05*$O152-IF(OR($P152="Out",$P152="Suspended"),$Q152,IF($P152="Doubtful",$Q152*0.5,IF($P152="Limited",$Q152*0.25,0))))),2))</x:f>
      </x:c>
      <x:c r="S152" s="55" t="n">
        <x:f>IF($D152="",0,ROUND(IF(OR($P152="Out",$P152="Suspended"),$Q152*$H152,IF($P152="Doubtful",$Q152*$H152*0.5,IF($P152="Limited",$Q152*$H152*0.25,0))),2))</x:f>
        <x:v>0</x:v>
      </x:c>
      <x:c r="T152" s="55" t="str"/>
      <x:c r="U152" s="51" t="str"/>
    </x:row>
    <x:row r="153">
      <x:c r="A153" s="51" t="str">
        <x:v>Canada</x:v>
      </x:c>
      <x:c r="B153" s="51" t="str">
        <x:v>B</x:v>
      </x:c>
      <x:c r="C153" s="51" t="n">
        <x:v>19</x:v>
      </x:c>
      <x:c r="D153" s="71" t="str"/>
      <x:c r="E153" s="51" t="str">
        <x:v>AM</x:v>
      </x:c>
      <x:c r="F153" s="51" t="str">
        <x:v>Attack</x:v>
      </x:c>
      <x:c r="G153" s="51" t="str">
        <x:v>Rotation</x:v>
      </x:c>
      <x:c r="H153" s="55" t="n">
        <x:v>0.35</x:v>
      </x:c>
      <x:c r="I153" s="51" t="str"/>
      <x:c r="J153" s="72" t="str"/>
      <x:c r="K153" s="72" t="str"/>
      <x:c r="L153" s="72" t="str"/>
      <x:c r="M153" s="72" t="str"/>
      <x:c r="N153" s="72" t="str"/>
      <x:c r="O153" s="72" t="str"/>
      <x:c r="P153" s="72" t="str">
        <x:v>Available</x:v>
      </x:c>
      <x:c r="Q153" s="72" t="n">
        <x:v>0</x:v>
      </x:c>
      <x:c r="R153" s="55" t="str">
        <x:f>IF($D153="","",ROUND(MAX(0,MIN(100,0.35*$J153+0.2*$K153+0.15*$L153+0.15*$M153+0.1*$N153+0.05*$O153-IF(OR($P153="Out",$P153="Suspended"),$Q153,IF($P153="Doubtful",$Q153*0.5,IF($P153="Limited",$Q153*0.25,0))))),2))</x:f>
      </x:c>
      <x:c r="S153" s="55" t="n">
        <x:f>IF($D153="",0,ROUND(IF(OR($P153="Out",$P153="Suspended"),$Q153*$H153,IF($P153="Doubtful",$Q153*$H153*0.5,IF($P153="Limited",$Q153*$H153*0.25,0))),2))</x:f>
        <x:v>0</x:v>
      </x:c>
      <x:c r="T153" s="55" t="str"/>
      <x:c r="U153" s="51" t="str"/>
    </x:row>
    <x:row r="154">
      <x:c r="A154" s="51" t="str">
        <x:v>Canada</x:v>
      </x:c>
      <x:c r="B154" s="51" t="str">
        <x:v>B</x:v>
      </x:c>
      <x:c r="C154" s="51" t="n">
        <x:v>20</x:v>
      </x:c>
      <x:c r="D154" s="71" t="str"/>
      <x:c r="E154" s="51" t="str">
        <x:v>Winger</x:v>
      </x:c>
      <x:c r="F154" s="51" t="str">
        <x:v>Attack</x:v>
      </x:c>
      <x:c r="G154" s="51" t="str">
        <x:v>Rotation</x:v>
      </x:c>
      <x:c r="H154" s="55" t="n">
        <x:v>0.35</x:v>
      </x:c>
      <x:c r="I154" s="51" t="str"/>
      <x:c r="J154" s="72" t="str"/>
      <x:c r="K154" s="72" t="str"/>
      <x:c r="L154" s="72" t="str"/>
      <x:c r="M154" s="72" t="str"/>
      <x:c r="N154" s="72" t="str"/>
      <x:c r="O154" s="72" t="str"/>
      <x:c r="P154" s="72" t="str">
        <x:v>Available</x:v>
      </x:c>
      <x:c r="Q154" s="72" t="n">
        <x:v>0</x:v>
      </x:c>
      <x:c r="R154" s="55" t="str">
        <x:f>IF($D154="","",ROUND(MAX(0,MIN(100,0.35*$J154+0.2*$K154+0.15*$L154+0.15*$M154+0.1*$N154+0.05*$O154-IF(OR($P154="Out",$P154="Suspended"),$Q154,IF($P154="Doubtful",$Q154*0.5,IF($P154="Limited",$Q154*0.25,0))))),2))</x:f>
      </x:c>
      <x:c r="S154" s="55" t="n">
        <x:f>IF($D154="",0,ROUND(IF(OR($P154="Out",$P154="Suspended"),$Q154*$H154,IF($P154="Doubtful",$Q154*$H154*0.5,IF($P154="Limited",$Q154*$H154*0.25,0))),2))</x:f>
        <x:v>0</x:v>
      </x:c>
      <x:c r="T154" s="55" t="str"/>
      <x:c r="U154" s="51" t="str"/>
    </x:row>
    <x:row r="155">
      <x:c r="A155" s="51" t="str">
        <x:v>Canada</x:v>
      </x:c>
      <x:c r="B155" s="51" t="str">
        <x:v>B</x:v>
      </x:c>
      <x:c r="C155" s="51" t="n">
        <x:v>21</x:v>
      </x:c>
      <x:c r="D155" s="71" t="str"/>
      <x:c r="E155" s="51" t="str">
        <x:v>Winger</x:v>
      </x:c>
      <x:c r="F155" s="51" t="str">
        <x:v>Attack</x:v>
      </x:c>
      <x:c r="G155" s="51" t="str">
        <x:v>Depth</x:v>
      </x:c>
      <x:c r="H155" s="55" t="n">
        <x:v>0.1</x:v>
      </x:c>
      <x:c r="I155" s="51" t="str"/>
      <x:c r="J155" s="72" t="str"/>
      <x:c r="K155" s="72" t="str"/>
      <x:c r="L155" s="72" t="str"/>
      <x:c r="M155" s="72" t="str"/>
      <x:c r="N155" s="72" t="str"/>
      <x:c r="O155" s="72" t="str"/>
      <x:c r="P155" s="72" t="str">
        <x:v>Available</x:v>
      </x:c>
      <x:c r="Q155" s="72" t="n">
        <x:v>0</x:v>
      </x:c>
      <x:c r="R155" s="55" t="str">
        <x:f>IF($D155="","",ROUND(MAX(0,MIN(100,0.35*$J155+0.2*$K155+0.15*$L155+0.15*$M155+0.1*$N155+0.05*$O155-IF(OR($P155="Out",$P155="Suspended"),$Q155,IF($P155="Doubtful",$Q155*0.5,IF($P155="Limited",$Q155*0.25,0))))),2))</x:f>
      </x:c>
      <x:c r="S155" s="55" t="n">
        <x:f>IF($D155="",0,ROUND(IF(OR($P155="Out",$P155="Suspended"),$Q155*$H155,IF($P155="Doubtful",$Q155*$H155*0.5,IF($P155="Limited",$Q155*$H155*0.25,0))),2))</x:f>
        <x:v>0</x:v>
      </x:c>
      <x:c r="T155" s="55" t="str"/>
      <x:c r="U155" s="51" t="str"/>
    </x:row>
    <x:row r="156">
      <x:c r="A156" s="51" t="str">
        <x:v>Canada</x:v>
      </x:c>
      <x:c r="B156" s="51" t="str">
        <x:v>B</x:v>
      </x:c>
      <x:c r="C156" s="51" t="n">
        <x:v>22</x:v>
      </x:c>
      <x:c r="D156" s="71" t="str"/>
      <x:c r="E156" s="51" t="str">
        <x:v>Winger</x:v>
      </x:c>
      <x:c r="F156" s="51" t="str">
        <x:v>Attack</x:v>
      </x:c>
      <x:c r="G156" s="51" t="str">
        <x:v>Depth</x:v>
      </x:c>
      <x:c r="H156" s="55" t="n">
        <x:v>0.1</x:v>
      </x:c>
      <x:c r="I156" s="51" t="str"/>
      <x:c r="J156" s="72" t="str"/>
      <x:c r="K156" s="72" t="str"/>
      <x:c r="L156" s="72" t="str"/>
      <x:c r="M156" s="72" t="str"/>
      <x:c r="N156" s="72" t="str"/>
      <x:c r="O156" s="72" t="str"/>
      <x:c r="P156" s="72" t="str">
        <x:v>Available</x:v>
      </x:c>
      <x:c r="Q156" s="72" t="n">
        <x:v>0</x:v>
      </x:c>
      <x:c r="R156" s="55" t="str">
        <x:f>IF($D156="","",ROUND(MAX(0,MIN(100,0.35*$J156+0.2*$K156+0.15*$L156+0.15*$M156+0.1*$N156+0.05*$O156-IF(OR($P156="Out",$P156="Suspended"),$Q156,IF($P156="Doubtful",$Q156*0.5,IF($P156="Limited",$Q156*0.25,0))))),2))</x:f>
      </x:c>
      <x:c r="S156" s="55" t="n">
        <x:f>IF($D156="",0,ROUND(IF(OR($P156="Out",$P156="Suspended"),$Q156*$H156,IF($P156="Doubtful",$Q156*$H156*0.5,IF($P156="Limited",$Q156*$H156*0.25,0))),2))</x:f>
        <x:v>0</x:v>
      </x:c>
      <x:c r="T156" s="55" t="str"/>
      <x:c r="U156" s="51" t="str"/>
    </x:row>
    <x:row r="157">
      <x:c r="A157" s="51" t="str">
        <x:v>Canada</x:v>
      </x:c>
      <x:c r="B157" s="51" t="str">
        <x:v>B</x:v>
      </x:c>
      <x:c r="C157" s="51" t="n">
        <x:v>23</x:v>
      </x:c>
      <x:c r="D157" s="71" t="str"/>
      <x:c r="E157" s="51" t="str">
        <x:v>Winger</x:v>
      </x:c>
      <x:c r="F157" s="51" t="str">
        <x:v>Attack</x:v>
      </x:c>
      <x:c r="G157" s="51" t="str">
        <x:v>Depth</x:v>
      </x:c>
      <x:c r="H157" s="55" t="n">
        <x:v>0.1</x:v>
      </x:c>
      <x:c r="I157" s="51" t="str"/>
      <x:c r="J157" s="72" t="str"/>
      <x:c r="K157" s="72" t="str"/>
      <x:c r="L157" s="72" t="str"/>
      <x:c r="M157" s="72" t="str"/>
      <x:c r="N157" s="72" t="str"/>
      <x:c r="O157" s="72" t="str"/>
      <x:c r="P157" s="72" t="str">
        <x:v>Available</x:v>
      </x:c>
      <x:c r="Q157" s="72" t="n">
        <x:v>0</x:v>
      </x:c>
      <x:c r="R157" s="55" t="str">
        <x:f>IF($D157="","",ROUND(MAX(0,MIN(100,0.35*$J157+0.2*$K157+0.15*$L157+0.15*$M157+0.1*$N157+0.05*$O157-IF(OR($P157="Out",$P157="Suspended"),$Q157,IF($P157="Doubtful",$Q157*0.5,IF($P157="Limited",$Q157*0.25,0))))),2))</x:f>
      </x:c>
      <x:c r="S157" s="55" t="n">
        <x:f>IF($D157="",0,ROUND(IF(OR($P157="Out",$P157="Suspended"),$Q157*$H157,IF($P157="Doubtful",$Q157*$H157*0.5,IF($P157="Limited",$Q157*$H157*0.25,0))),2))</x:f>
        <x:v>0</x:v>
      </x:c>
      <x:c r="T157" s="55" t="str"/>
      <x:c r="U157" s="51" t="str"/>
    </x:row>
    <x:row r="158">
      <x:c r="A158" s="51" t="str">
        <x:v>Canada</x:v>
      </x:c>
      <x:c r="B158" s="51" t="str">
        <x:v>B</x:v>
      </x:c>
      <x:c r="C158" s="51" t="n">
        <x:v>24</x:v>
      </x:c>
      <x:c r="D158" s="71" t="str"/>
      <x:c r="E158" s="51" t="str">
        <x:v>ST</x:v>
      </x:c>
      <x:c r="F158" s="51" t="str">
        <x:v>Attack</x:v>
      </x:c>
      <x:c r="G158" s="51" t="str">
        <x:v>Depth</x:v>
      </x:c>
      <x:c r="H158" s="55" t="n">
        <x:v>0.1</x:v>
      </x:c>
      <x:c r="I158" s="51" t="str"/>
      <x:c r="J158" s="72" t="str"/>
      <x:c r="K158" s="72" t="str"/>
      <x:c r="L158" s="72" t="str"/>
      <x:c r="M158" s="72" t="str"/>
      <x:c r="N158" s="72" t="str"/>
      <x:c r="O158" s="72" t="str"/>
      <x:c r="P158" s="72" t="str">
        <x:v>Available</x:v>
      </x:c>
      <x:c r="Q158" s="72" t="n">
        <x:v>0</x:v>
      </x:c>
      <x:c r="R158" s="55" t="str">
        <x:f>IF($D158="","",ROUND(MAX(0,MIN(100,0.35*$J158+0.2*$K158+0.15*$L158+0.15*$M158+0.1*$N158+0.05*$O158-IF(OR($P158="Out",$P158="Suspended"),$Q158,IF($P158="Doubtful",$Q158*0.5,IF($P158="Limited",$Q158*0.25,0))))),2))</x:f>
      </x:c>
      <x:c r="S158" s="55" t="n">
        <x:f>IF($D158="",0,ROUND(IF(OR($P158="Out",$P158="Suspended"),$Q158*$H158,IF($P158="Doubtful",$Q158*$H158*0.5,IF($P158="Limited",$Q158*$H158*0.25,0))),2))</x:f>
        <x:v>0</x:v>
      </x:c>
      <x:c r="T158" s="55" t="str"/>
      <x:c r="U158" s="51" t="str"/>
    </x:row>
    <x:row r="159">
      <x:c r="A159" s="51" t="str">
        <x:v>Canada</x:v>
      </x:c>
      <x:c r="B159" s="51" t="str">
        <x:v>B</x:v>
      </x:c>
      <x:c r="C159" s="51" t="n">
        <x:v>25</x:v>
      </x:c>
      <x:c r="D159" s="71" t="str"/>
      <x:c r="E159" s="51" t="str">
        <x:v>ST</x:v>
      </x:c>
      <x:c r="F159" s="51" t="str">
        <x:v>Attack</x:v>
      </x:c>
      <x:c r="G159" s="51" t="str">
        <x:v>Depth</x:v>
      </x:c>
      <x:c r="H159" s="55" t="n">
        <x:v>0.1</x:v>
      </x:c>
      <x:c r="I159" s="51" t="str"/>
      <x:c r="J159" s="72" t="str"/>
      <x:c r="K159" s="72" t="str"/>
      <x:c r="L159" s="72" t="str"/>
      <x:c r="M159" s="72" t="str"/>
      <x:c r="N159" s="72" t="str"/>
      <x:c r="O159" s="72" t="str"/>
      <x:c r="P159" s="72" t="str">
        <x:v>Available</x:v>
      </x:c>
      <x:c r="Q159" s="72" t="n">
        <x:v>0</x:v>
      </x:c>
      <x:c r="R159" s="55" t="str">
        <x:f>IF($D159="","",ROUND(MAX(0,MIN(100,0.35*$J159+0.2*$K159+0.15*$L159+0.15*$M159+0.1*$N159+0.05*$O159-IF(OR($P159="Out",$P159="Suspended"),$Q159,IF($P159="Doubtful",$Q159*0.5,IF($P159="Limited",$Q159*0.25,0))))),2))</x:f>
      </x:c>
      <x:c r="S159" s="55" t="n">
        <x:f>IF($D159="",0,ROUND(IF(OR($P159="Out",$P159="Suspended"),$Q159*$H159,IF($P159="Doubtful",$Q159*$H159*0.5,IF($P159="Limited",$Q159*$H159*0.25,0))),2))</x:f>
        <x:v>0</x:v>
      </x:c>
      <x:c r="T159" s="55" t="str"/>
      <x:c r="U159" s="51" t="str"/>
    </x:row>
    <x:row r="160">
      <x:c r="A160" s="51" t="str">
        <x:v>Canada</x:v>
      </x:c>
      <x:c r="B160" s="51" t="str">
        <x:v>B</x:v>
      </x:c>
      <x:c r="C160" s="51" t="n">
        <x:v>26</x:v>
      </x:c>
      <x:c r="D160" s="71" t="str"/>
      <x:c r="E160" s="51" t="str">
        <x:v>ST</x:v>
      </x:c>
      <x:c r="F160" s="51" t="str">
        <x:v>Attack</x:v>
      </x:c>
      <x:c r="G160" s="51" t="str">
        <x:v>Depth</x:v>
      </x:c>
      <x:c r="H160" s="55" t="n">
        <x:v>0.1</x:v>
      </x:c>
      <x:c r="I160" s="51" t="str"/>
      <x:c r="J160" s="72" t="str"/>
      <x:c r="K160" s="72" t="str"/>
      <x:c r="L160" s="72" t="str"/>
      <x:c r="M160" s="72" t="str"/>
      <x:c r="N160" s="72" t="str"/>
      <x:c r="O160" s="72" t="str"/>
      <x:c r="P160" s="72" t="str">
        <x:v>Available</x:v>
      </x:c>
      <x:c r="Q160" s="72" t="n">
        <x:v>0</x:v>
      </x:c>
      <x:c r="R160" s="55" t="str">
        <x:f>IF($D160="","",ROUND(MAX(0,MIN(100,0.35*$J160+0.2*$K160+0.15*$L160+0.15*$M160+0.1*$N160+0.05*$O160-IF(OR($P160="Out",$P160="Suspended"),$Q160,IF($P160="Doubtful",$Q160*0.5,IF($P160="Limited",$Q160*0.25,0))))),2))</x:f>
      </x:c>
      <x:c r="S160" s="55" t="n">
        <x:f>IF($D160="",0,ROUND(IF(OR($P160="Out",$P160="Suspended"),$Q160*$H160,IF($P160="Doubtful",$Q160*$H160*0.5,IF($P160="Limited",$Q160*$H160*0.25,0))),2))</x:f>
        <x:v>0</x:v>
      </x:c>
      <x:c r="T160" s="55" t="str"/>
      <x:c r="U160" s="51" t="str"/>
    </x:row>
    <x:row r="161">
      <x:c r="A161" s="51" t="str">
        <x:v>Qatar</x:v>
      </x:c>
      <x:c r="B161" s="51" t="str">
        <x:v>B</x:v>
      </x:c>
      <x:c r="C161" s="51" t="n">
        <x:v>1</x:v>
      </x:c>
      <x:c r="D161" s="71" t="str"/>
      <x:c r="E161" s="51" t="str">
        <x:v>GK</x:v>
      </x:c>
      <x:c r="F161" s="51" t="str">
        <x:v>GK</x:v>
      </x:c>
      <x:c r="G161" s="51" t="str">
        <x:v>Starter</x:v>
      </x:c>
      <x:c r="H161" s="55" t="n">
        <x:v>1</x:v>
      </x:c>
      <x:c r="I161" s="51" t="str"/>
      <x:c r="J161" s="72" t="str"/>
      <x:c r="K161" s="72" t="str"/>
      <x:c r="L161" s="72" t="str"/>
      <x:c r="M161" s="72" t="str"/>
      <x:c r="N161" s="72" t="str"/>
      <x:c r="O161" s="72" t="str"/>
      <x:c r="P161" s="72" t="str">
        <x:v>Available</x:v>
      </x:c>
      <x:c r="Q161" s="72" t="n">
        <x:v>0</x:v>
      </x:c>
      <x:c r="R161" s="55" t="str">
        <x:f>IF($D161="","",ROUND(MAX(0,MIN(100,0.35*$J161+0.2*$K161+0.15*$L161+0.15*$M161+0.1*$N161+0.05*$O161-IF(OR($P161="Out",$P161="Suspended"),$Q161,IF($P161="Doubtful",$Q161*0.5,IF($P161="Limited",$Q161*0.25,0))))),2))</x:f>
      </x:c>
      <x:c r="S161" s="55" t="n">
        <x:f>IF($D161="",0,ROUND(IF(OR($P161="Out",$P161="Suspended"),$Q161*$H161,IF($P161="Doubtful",$Q161*$H161*0.5,IF($P161="Limited",$Q161*$H161*0.25,0))),2))</x:f>
        <x:v>0</x:v>
      </x:c>
      <x:c r="T161" s="55" t="str"/>
      <x:c r="U161" s="51" t="str"/>
    </x:row>
    <x:row r="162">
      <x:c r="A162" s="51" t="str">
        <x:v>Qatar</x:v>
      </x:c>
      <x:c r="B162" s="51" t="str">
        <x:v>B</x:v>
      </x:c>
      <x:c r="C162" s="51" t="n">
        <x:v>2</x:v>
      </x:c>
      <x:c r="D162" s="71" t="str"/>
      <x:c r="E162" s="51" t="str">
        <x:v>GK</x:v>
      </x:c>
      <x:c r="F162" s="51" t="str">
        <x:v>GK</x:v>
      </x:c>
      <x:c r="G162" s="51" t="str">
        <x:v>Starter</x:v>
      </x:c>
      <x:c r="H162" s="55" t="n">
        <x:v>1</x:v>
      </x:c>
      <x:c r="I162" s="51" t="str"/>
      <x:c r="J162" s="72" t="str"/>
      <x:c r="K162" s="72" t="str"/>
      <x:c r="L162" s="72" t="str"/>
      <x:c r="M162" s="72" t="str"/>
      <x:c r="N162" s="72" t="str"/>
      <x:c r="O162" s="72" t="str"/>
      <x:c r="P162" s="72" t="str">
        <x:v>Available</x:v>
      </x:c>
      <x:c r="Q162" s="72" t="n">
        <x:v>0</x:v>
      </x:c>
      <x:c r="R162" s="55" t="str">
        <x:f>IF($D162="","",ROUND(MAX(0,MIN(100,0.35*$J162+0.2*$K162+0.15*$L162+0.15*$M162+0.1*$N162+0.05*$O162-IF(OR($P162="Out",$P162="Suspended"),$Q162,IF($P162="Doubtful",$Q162*0.5,IF($P162="Limited",$Q162*0.25,0))))),2))</x:f>
      </x:c>
      <x:c r="S162" s="55" t="n">
        <x:f>IF($D162="",0,ROUND(IF(OR($P162="Out",$P162="Suspended"),$Q162*$H162,IF($P162="Doubtful",$Q162*$H162*0.5,IF($P162="Limited",$Q162*$H162*0.25,0))),2))</x:f>
        <x:v>0</x:v>
      </x:c>
      <x:c r="T162" s="55" t="str"/>
      <x:c r="U162" s="51" t="str"/>
    </x:row>
    <x:row r="163">
      <x:c r="A163" s="51" t="str">
        <x:v>Qatar</x:v>
      </x:c>
      <x:c r="B163" s="51" t="str">
        <x:v>B</x:v>
      </x:c>
      <x:c r="C163" s="51" t="n">
        <x:v>3</x:v>
      </x:c>
      <x:c r="D163" s="71" t="str"/>
      <x:c r="E163" s="51" t="str">
        <x:v>GK</x:v>
      </x:c>
      <x:c r="F163" s="51" t="str">
        <x:v>GK</x:v>
      </x:c>
      <x:c r="G163" s="51" t="str">
        <x:v>Starter</x:v>
      </x:c>
      <x:c r="H163" s="55" t="n">
        <x:v>1</x:v>
      </x:c>
      <x:c r="I163" s="51" t="str"/>
      <x:c r="J163" s="72" t="str"/>
      <x:c r="K163" s="72" t="str"/>
      <x:c r="L163" s="72" t="str"/>
      <x:c r="M163" s="72" t="str"/>
      <x:c r="N163" s="72" t="str"/>
      <x:c r="O163" s="72" t="str"/>
      <x:c r="P163" s="72" t="str">
        <x:v>Available</x:v>
      </x:c>
      <x:c r="Q163" s="72" t="n">
        <x:v>0</x:v>
      </x:c>
      <x:c r="R163" s="55" t="str">
        <x:f>IF($D163="","",ROUND(MAX(0,MIN(100,0.35*$J163+0.2*$K163+0.15*$L163+0.15*$M163+0.1*$N163+0.05*$O163-IF(OR($P163="Out",$P163="Suspended"),$Q163,IF($P163="Doubtful",$Q163*0.5,IF($P163="Limited",$Q163*0.25,0))))),2))</x:f>
      </x:c>
      <x:c r="S163" s="55" t="n">
        <x:f>IF($D163="",0,ROUND(IF(OR($P163="Out",$P163="Suspended"),$Q163*$H163,IF($P163="Doubtful",$Q163*$H163*0.5,IF($P163="Limited",$Q163*$H163*0.25,0))),2))</x:f>
        <x:v>0</x:v>
      </x:c>
      <x:c r="T163" s="55" t="str"/>
      <x:c r="U163" s="51" t="str"/>
    </x:row>
    <x:row r="164">
      <x:c r="A164" s="51" t="str">
        <x:v>Qatar</x:v>
      </x:c>
      <x:c r="B164" s="51" t="str">
        <x:v>B</x:v>
      </x:c>
      <x:c r="C164" s="51" t="n">
        <x:v>4</x:v>
      </x:c>
      <x:c r="D164" s="71" t="str"/>
      <x:c r="E164" s="51" t="str">
        <x:v>CB</x:v>
      </x:c>
      <x:c r="F164" s="51" t="str">
        <x:v>Defence</x:v>
      </x:c>
      <x:c r="G164" s="51" t="str">
        <x:v>Starter</x:v>
      </x:c>
      <x:c r="H164" s="55" t="n">
        <x:v>1</x:v>
      </x:c>
      <x:c r="I164" s="51" t="str"/>
      <x:c r="J164" s="72" t="str"/>
      <x:c r="K164" s="72" t="str"/>
      <x:c r="L164" s="72" t="str"/>
      <x:c r="M164" s="72" t="str"/>
      <x:c r="N164" s="72" t="str"/>
      <x:c r="O164" s="72" t="str"/>
      <x:c r="P164" s="72" t="str">
        <x:v>Available</x:v>
      </x:c>
      <x:c r="Q164" s="72" t="n">
        <x:v>0</x:v>
      </x:c>
      <x:c r="R164" s="55" t="str">
        <x:f>IF($D164="","",ROUND(MAX(0,MIN(100,0.35*$J164+0.2*$K164+0.15*$L164+0.15*$M164+0.1*$N164+0.05*$O164-IF(OR($P164="Out",$P164="Suspended"),$Q164,IF($P164="Doubtful",$Q164*0.5,IF($P164="Limited",$Q164*0.25,0))))),2))</x:f>
      </x:c>
      <x:c r="S164" s="55" t="n">
        <x:f>IF($D164="",0,ROUND(IF(OR($P164="Out",$P164="Suspended"),$Q164*$H164,IF($P164="Doubtful",$Q164*$H164*0.5,IF($P164="Limited",$Q164*$H164*0.25,0))),2))</x:f>
        <x:v>0</x:v>
      </x:c>
      <x:c r="T164" s="55" t="str"/>
      <x:c r="U164" s="51" t="str"/>
    </x:row>
    <x:row r="165">
      <x:c r="A165" s="51" t="str">
        <x:v>Qatar</x:v>
      </x:c>
      <x:c r="B165" s="51" t="str">
        <x:v>B</x:v>
      </x:c>
      <x:c r="C165" s="51" t="n">
        <x:v>5</x:v>
      </x:c>
      <x:c r="D165" s="71" t="str"/>
      <x:c r="E165" s="51" t="str">
        <x:v>CB</x:v>
      </x:c>
      <x:c r="F165" s="51" t="str">
        <x:v>Defence</x:v>
      </x:c>
      <x:c r="G165" s="51" t="str">
        <x:v>Starter</x:v>
      </x:c>
      <x:c r="H165" s="55" t="n">
        <x:v>1</x:v>
      </x:c>
      <x:c r="I165" s="51" t="str"/>
      <x:c r="J165" s="72" t="str"/>
      <x:c r="K165" s="72" t="str"/>
      <x:c r="L165" s="72" t="str"/>
      <x:c r="M165" s="72" t="str"/>
      <x:c r="N165" s="72" t="str"/>
      <x:c r="O165" s="72" t="str"/>
      <x:c r="P165" s="72" t="str">
        <x:v>Available</x:v>
      </x:c>
      <x:c r="Q165" s="72" t="n">
        <x:v>0</x:v>
      </x:c>
      <x:c r="R165" s="55" t="str">
        <x:f>IF($D165="","",ROUND(MAX(0,MIN(100,0.35*$J165+0.2*$K165+0.15*$L165+0.15*$M165+0.1*$N165+0.05*$O165-IF(OR($P165="Out",$P165="Suspended"),$Q165,IF($P165="Doubtful",$Q165*0.5,IF($P165="Limited",$Q165*0.25,0))))),2))</x:f>
      </x:c>
      <x:c r="S165" s="55" t="n">
        <x:f>IF($D165="",0,ROUND(IF(OR($P165="Out",$P165="Suspended"),$Q165*$H165,IF($P165="Doubtful",$Q165*$H165*0.5,IF($P165="Limited",$Q165*$H165*0.25,0))),2))</x:f>
        <x:v>0</x:v>
      </x:c>
      <x:c r="T165" s="55" t="str"/>
      <x:c r="U165" s="51" t="str"/>
    </x:row>
    <x:row r="166">
      <x:c r="A166" s="51" t="str">
        <x:v>Qatar</x:v>
      </x:c>
      <x:c r="B166" s="51" t="str">
        <x:v>B</x:v>
      </x:c>
      <x:c r="C166" s="51" t="n">
        <x:v>6</x:v>
      </x:c>
      <x:c r="D166" s="71" t="str"/>
      <x:c r="E166" s="51" t="str">
        <x:v>CB</x:v>
      </x:c>
      <x:c r="F166" s="51" t="str">
        <x:v>Defence</x:v>
      </x:c>
      <x:c r="G166" s="51" t="str">
        <x:v>Starter</x:v>
      </x:c>
      <x:c r="H166" s="55" t="n">
        <x:v>1</x:v>
      </x:c>
      <x:c r="I166" s="51" t="str"/>
      <x:c r="J166" s="72" t="str"/>
      <x:c r="K166" s="72" t="str"/>
      <x:c r="L166" s="72" t="str"/>
      <x:c r="M166" s="72" t="str"/>
      <x:c r="N166" s="72" t="str"/>
      <x:c r="O166" s="72" t="str"/>
      <x:c r="P166" s="72" t="str">
        <x:v>Available</x:v>
      </x:c>
      <x:c r="Q166" s="72" t="n">
        <x:v>0</x:v>
      </x:c>
      <x:c r="R166" s="55" t="str">
        <x:f>IF($D166="","",ROUND(MAX(0,MIN(100,0.35*$J166+0.2*$K166+0.15*$L166+0.15*$M166+0.1*$N166+0.05*$O166-IF(OR($P166="Out",$P166="Suspended"),$Q166,IF($P166="Doubtful",$Q166*0.5,IF($P166="Limited",$Q166*0.25,0))))),2))</x:f>
      </x:c>
      <x:c r="S166" s="55" t="n">
        <x:f>IF($D166="",0,ROUND(IF(OR($P166="Out",$P166="Suspended"),$Q166*$H166,IF($P166="Doubtful",$Q166*$H166*0.5,IF($P166="Limited",$Q166*$H166*0.25,0))),2))</x:f>
        <x:v>0</x:v>
      </x:c>
      <x:c r="T166" s="55" t="str"/>
      <x:c r="U166" s="51" t="str"/>
    </x:row>
    <x:row r="167">
      <x:c r="A167" s="51" t="str">
        <x:v>Qatar</x:v>
      </x:c>
      <x:c r="B167" s="51" t="str">
        <x:v>B</x:v>
      </x:c>
      <x:c r="C167" s="51" t="n">
        <x:v>7</x:v>
      </x:c>
      <x:c r="D167" s="71" t="str"/>
      <x:c r="E167" s="51" t="str">
        <x:v>FB</x:v>
      </x:c>
      <x:c r="F167" s="51" t="str">
        <x:v>Defence</x:v>
      </x:c>
      <x:c r="G167" s="51" t="str">
        <x:v>Starter</x:v>
      </x:c>
      <x:c r="H167" s="55" t="n">
        <x:v>1</x:v>
      </x:c>
      <x:c r="I167" s="51" t="str"/>
      <x:c r="J167" s="72" t="str"/>
      <x:c r="K167" s="72" t="str"/>
      <x:c r="L167" s="72" t="str"/>
      <x:c r="M167" s="72" t="str"/>
      <x:c r="N167" s="72" t="str"/>
      <x:c r="O167" s="72" t="str"/>
      <x:c r="P167" s="72" t="str">
        <x:v>Available</x:v>
      </x:c>
      <x:c r="Q167" s="72" t="n">
        <x:v>0</x:v>
      </x:c>
      <x:c r="R167" s="55" t="str">
        <x:f>IF($D167="","",ROUND(MAX(0,MIN(100,0.35*$J167+0.2*$K167+0.15*$L167+0.15*$M167+0.1*$N167+0.05*$O167-IF(OR($P167="Out",$P167="Suspended"),$Q167,IF($P167="Doubtful",$Q167*0.5,IF($P167="Limited",$Q167*0.25,0))))),2))</x:f>
      </x:c>
      <x:c r="S167" s="55" t="n">
        <x:f>IF($D167="",0,ROUND(IF(OR($P167="Out",$P167="Suspended"),$Q167*$H167,IF($P167="Doubtful",$Q167*$H167*0.5,IF($P167="Limited",$Q167*$H167*0.25,0))),2))</x:f>
        <x:v>0</x:v>
      </x:c>
      <x:c r="T167" s="55" t="str"/>
      <x:c r="U167" s="51" t="str"/>
    </x:row>
    <x:row r="168">
      <x:c r="A168" s="51" t="str">
        <x:v>Qatar</x:v>
      </x:c>
      <x:c r="B168" s="51" t="str">
        <x:v>B</x:v>
      </x:c>
      <x:c r="C168" s="51" t="n">
        <x:v>8</x:v>
      </x:c>
      <x:c r="D168" s="71" t="str"/>
      <x:c r="E168" s="51" t="str">
        <x:v>FB</x:v>
      </x:c>
      <x:c r="F168" s="51" t="str">
        <x:v>Defence</x:v>
      </x:c>
      <x:c r="G168" s="51" t="str">
        <x:v>Starter</x:v>
      </x:c>
      <x:c r="H168" s="55" t="n">
        <x:v>1</x:v>
      </x:c>
      <x:c r="I168" s="51" t="str"/>
      <x:c r="J168" s="72" t="str"/>
      <x:c r="K168" s="72" t="str"/>
      <x:c r="L168" s="72" t="str"/>
      <x:c r="M168" s="72" t="str"/>
      <x:c r="N168" s="72" t="str"/>
      <x:c r="O168" s="72" t="str"/>
      <x:c r="P168" s="72" t="str">
        <x:v>Available</x:v>
      </x:c>
      <x:c r="Q168" s="72" t="n">
        <x:v>0</x:v>
      </x:c>
      <x:c r="R168" s="55" t="str">
        <x:f>IF($D168="","",ROUND(MAX(0,MIN(100,0.35*$J168+0.2*$K168+0.15*$L168+0.15*$M168+0.1*$N168+0.05*$O168-IF(OR($P168="Out",$P168="Suspended"),$Q168,IF($P168="Doubtful",$Q168*0.5,IF($P168="Limited",$Q168*0.25,0))))),2))</x:f>
      </x:c>
      <x:c r="S168" s="55" t="n">
        <x:f>IF($D168="",0,ROUND(IF(OR($P168="Out",$P168="Suspended"),$Q168*$H168,IF($P168="Doubtful",$Q168*$H168*0.5,IF($P168="Limited",$Q168*$H168*0.25,0))),2))</x:f>
        <x:v>0</x:v>
      </x:c>
      <x:c r="T168" s="55" t="str"/>
      <x:c r="U168" s="51" t="str"/>
    </x:row>
    <x:row r="169">
      <x:c r="A169" s="51" t="str">
        <x:v>Qatar</x:v>
      </x:c>
      <x:c r="B169" s="51" t="str">
        <x:v>B</x:v>
      </x:c>
      <x:c r="C169" s="51" t="n">
        <x:v>9</x:v>
      </x:c>
      <x:c r="D169" s="71" t="str"/>
      <x:c r="E169" s="51" t="str">
        <x:v>DM</x:v>
      </x:c>
      <x:c r="F169" s="51" t="str">
        <x:v>Midfield</x:v>
      </x:c>
      <x:c r="G169" s="51" t="str">
        <x:v>Starter</x:v>
      </x:c>
      <x:c r="H169" s="55" t="n">
        <x:v>1</x:v>
      </x:c>
      <x:c r="I169" s="51" t="str"/>
      <x:c r="J169" s="72" t="str"/>
      <x:c r="K169" s="72" t="str"/>
      <x:c r="L169" s="72" t="str"/>
      <x:c r="M169" s="72" t="str"/>
      <x:c r="N169" s="72" t="str"/>
      <x:c r="O169" s="72" t="str"/>
      <x:c r="P169" s="72" t="str">
        <x:v>Available</x:v>
      </x:c>
      <x:c r="Q169" s="72" t="n">
        <x:v>0</x:v>
      </x:c>
      <x:c r="R169" s="55" t="str">
        <x:f>IF($D169="","",ROUND(MAX(0,MIN(100,0.35*$J169+0.2*$K169+0.15*$L169+0.15*$M169+0.1*$N169+0.05*$O169-IF(OR($P169="Out",$P169="Suspended"),$Q169,IF($P169="Doubtful",$Q169*0.5,IF($P169="Limited",$Q169*0.25,0))))),2))</x:f>
      </x:c>
      <x:c r="S169" s="55" t="n">
        <x:f>IF($D169="",0,ROUND(IF(OR($P169="Out",$P169="Suspended"),$Q169*$H169,IF($P169="Doubtful",$Q169*$H169*0.5,IF($P169="Limited",$Q169*$H169*0.25,0))),2))</x:f>
        <x:v>0</x:v>
      </x:c>
      <x:c r="T169" s="55" t="str"/>
      <x:c r="U169" s="51" t="str"/>
    </x:row>
    <x:row r="170">
      <x:c r="A170" s="51" t="str">
        <x:v>Qatar</x:v>
      </x:c>
      <x:c r="B170" s="51" t="str">
        <x:v>B</x:v>
      </x:c>
      <x:c r="C170" s="51" t="n">
        <x:v>10</x:v>
      </x:c>
      <x:c r="D170" s="71" t="str"/>
      <x:c r="E170" s="51" t="str">
        <x:v>DM</x:v>
      </x:c>
      <x:c r="F170" s="51" t="str">
        <x:v>Midfield</x:v>
      </x:c>
      <x:c r="G170" s="51" t="str">
        <x:v>Starter</x:v>
      </x:c>
      <x:c r="H170" s="55" t="n">
        <x:v>1</x:v>
      </x:c>
      <x:c r="I170" s="51" t="str"/>
      <x:c r="J170" s="72" t="str"/>
      <x:c r="K170" s="72" t="str"/>
      <x:c r="L170" s="72" t="str"/>
      <x:c r="M170" s="72" t="str"/>
      <x:c r="N170" s="72" t="str"/>
      <x:c r="O170" s="72" t="str"/>
      <x:c r="P170" s="72" t="str">
        <x:v>Available</x:v>
      </x:c>
      <x:c r="Q170" s="72" t="n">
        <x:v>0</x:v>
      </x:c>
      <x:c r="R170" s="55" t="str">
        <x:f>IF($D170="","",ROUND(MAX(0,MIN(100,0.35*$J170+0.2*$K170+0.15*$L170+0.15*$M170+0.1*$N170+0.05*$O170-IF(OR($P170="Out",$P170="Suspended"),$Q170,IF($P170="Doubtful",$Q170*0.5,IF($P170="Limited",$Q170*0.25,0))))),2))</x:f>
      </x:c>
      <x:c r="S170" s="55" t="n">
        <x:f>IF($D170="",0,ROUND(IF(OR($P170="Out",$P170="Suspended"),$Q170*$H170,IF($P170="Doubtful",$Q170*$H170*0.5,IF($P170="Limited",$Q170*$H170*0.25,0))),2))</x:f>
        <x:v>0</x:v>
      </x:c>
      <x:c r="T170" s="55" t="str"/>
      <x:c r="U170" s="51" t="str"/>
    </x:row>
    <x:row r="171">
      <x:c r="A171" s="51" t="str">
        <x:v>Qatar</x:v>
      </x:c>
      <x:c r="B171" s="51" t="str">
        <x:v>B</x:v>
      </x:c>
      <x:c r="C171" s="51" t="n">
        <x:v>11</x:v>
      </x:c>
      <x:c r="D171" s="71" t="str"/>
      <x:c r="E171" s="51" t="str">
        <x:v>DM</x:v>
      </x:c>
      <x:c r="F171" s="51" t="str">
        <x:v>Midfield</x:v>
      </x:c>
      <x:c r="G171" s="51" t="str">
        <x:v>Starter</x:v>
      </x:c>
      <x:c r="H171" s="55" t="n">
        <x:v>1</x:v>
      </x:c>
      <x:c r="I171" s="51" t="str"/>
      <x:c r="J171" s="72" t="str"/>
      <x:c r="K171" s="72" t="str"/>
      <x:c r="L171" s="72" t="str"/>
      <x:c r="M171" s="72" t="str"/>
      <x:c r="N171" s="72" t="str"/>
      <x:c r="O171" s="72" t="str"/>
      <x:c r="P171" s="72" t="str">
        <x:v>Available</x:v>
      </x:c>
      <x:c r="Q171" s="72" t="n">
        <x:v>0</x:v>
      </x:c>
      <x:c r="R171" s="55" t="str">
        <x:f>IF($D171="","",ROUND(MAX(0,MIN(100,0.35*$J171+0.2*$K171+0.15*$L171+0.15*$M171+0.1*$N171+0.05*$O171-IF(OR($P171="Out",$P171="Suspended"),$Q171,IF($P171="Doubtful",$Q171*0.5,IF($P171="Limited",$Q171*0.25,0))))),2))</x:f>
      </x:c>
      <x:c r="S171" s="55" t="n">
        <x:f>IF($D171="",0,ROUND(IF(OR($P171="Out",$P171="Suspended"),$Q171*$H171,IF($P171="Doubtful",$Q171*$H171*0.5,IF($P171="Limited",$Q171*$H171*0.25,0))),2))</x:f>
        <x:v>0</x:v>
      </x:c>
      <x:c r="T171" s="55" t="str"/>
      <x:c r="U171" s="51" t="str"/>
    </x:row>
    <x:row r="172">
      <x:c r="A172" s="51" t="str">
        <x:v>Qatar</x:v>
      </x:c>
      <x:c r="B172" s="51" t="str">
        <x:v>B</x:v>
      </x:c>
      <x:c r="C172" s="51" t="n">
        <x:v>12</x:v>
      </x:c>
      <x:c r="D172" s="71" t="str"/>
      <x:c r="E172" s="51" t="str">
        <x:v>CM</x:v>
      </x:c>
      <x:c r="F172" s="51" t="str">
        <x:v>Midfield</x:v>
      </x:c>
      <x:c r="G172" s="51" t="str">
        <x:v>Rotation</x:v>
      </x:c>
      <x:c r="H172" s="55" t="n">
        <x:v>0.35</x:v>
      </x:c>
      <x:c r="I172" s="51" t="str"/>
      <x:c r="J172" s="72" t="str"/>
      <x:c r="K172" s="72" t="str"/>
      <x:c r="L172" s="72" t="str"/>
      <x:c r="M172" s="72" t="str"/>
      <x:c r="N172" s="72" t="str"/>
      <x:c r="O172" s="72" t="str"/>
      <x:c r="P172" s="72" t="str">
        <x:v>Available</x:v>
      </x:c>
      <x:c r="Q172" s="72" t="n">
        <x:v>0</x:v>
      </x:c>
      <x:c r="R172" s="55" t="str">
        <x:f>IF($D172="","",ROUND(MAX(0,MIN(100,0.35*$J172+0.2*$K172+0.15*$L172+0.15*$M172+0.1*$N172+0.05*$O172-IF(OR($P172="Out",$P172="Suspended"),$Q172,IF($P172="Doubtful",$Q172*0.5,IF($P172="Limited",$Q172*0.25,0))))),2))</x:f>
      </x:c>
      <x:c r="S172" s="55" t="n">
        <x:f>IF($D172="",0,ROUND(IF(OR($P172="Out",$P172="Suspended"),$Q172*$H172,IF($P172="Doubtful",$Q172*$H172*0.5,IF($P172="Limited",$Q172*$H172*0.25,0))),2))</x:f>
        <x:v>0</x:v>
      </x:c>
      <x:c r="T172" s="55" t="str"/>
      <x:c r="U172" s="51" t="str"/>
    </x:row>
    <x:row r="173">
      <x:c r="A173" s="51" t="str">
        <x:v>Qatar</x:v>
      </x:c>
      <x:c r="B173" s="51" t="str">
        <x:v>B</x:v>
      </x:c>
      <x:c r="C173" s="51" t="n">
        <x:v>13</x:v>
      </x:c>
      <x:c r="D173" s="71" t="str"/>
      <x:c r="E173" s="51" t="str">
        <x:v>CM</x:v>
      </x:c>
      <x:c r="F173" s="51" t="str">
        <x:v>Midfield</x:v>
      </x:c>
      <x:c r="G173" s="51" t="str">
        <x:v>Rotation</x:v>
      </x:c>
      <x:c r="H173" s="55" t="n">
        <x:v>0.35</x:v>
      </x:c>
      <x:c r="I173" s="51" t="str"/>
      <x:c r="J173" s="72" t="str"/>
      <x:c r="K173" s="72" t="str"/>
      <x:c r="L173" s="72" t="str"/>
      <x:c r="M173" s="72" t="str"/>
      <x:c r="N173" s="72" t="str"/>
      <x:c r="O173" s="72" t="str"/>
      <x:c r="P173" s="72" t="str">
        <x:v>Available</x:v>
      </x:c>
      <x:c r="Q173" s="72" t="n">
        <x:v>0</x:v>
      </x:c>
      <x:c r="R173" s="55" t="str">
        <x:f>IF($D173="","",ROUND(MAX(0,MIN(100,0.35*$J173+0.2*$K173+0.15*$L173+0.15*$M173+0.1*$N173+0.05*$O173-IF(OR($P173="Out",$P173="Suspended"),$Q173,IF($P173="Doubtful",$Q173*0.5,IF($P173="Limited",$Q173*0.25,0))))),2))</x:f>
      </x:c>
      <x:c r="S173" s="55" t="n">
        <x:f>IF($D173="",0,ROUND(IF(OR($P173="Out",$P173="Suspended"),$Q173*$H173,IF($P173="Doubtful",$Q173*$H173*0.5,IF($P173="Limited",$Q173*$H173*0.25,0))),2))</x:f>
        <x:v>0</x:v>
      </x:c>
      <x:c r="T173" s="55" t="str"/>
      <x:c r="U173" s="51" t="str"/>
    </x:row>
    <x:row r="174">
      <x:c r="A174" s="51" t="str">
        <x:v>Qatar</x:v>
      </x:c>
      <x:c r="B174" s="51" t="str">
        <x:v>B</x:v>
      </x:c>
      <x:c r="C174" s="51" t="n">
        <x:v>14</x:v>
      </x:c>
      <x:c r="D174" s="71" t="str"/>
      <x:c r="E174" s="51" t="str">
        <x:v>CM</x:v>
      </x:c>
      <x:c r="F174" s="51" t="str">
        <x:v>Midfield</x:v>
      </x:c>
      <x:c r="G174" s="51" t="str">
        <x:v>Rotation</x:v>
      </x:c>
      <x:c r="H174" s="55" t="n">
        <x:v>0.35</x:v>
      </x:c>
      <x:c r="I174" s="51" t="str"/>
      <x:c r="J174" s="72" t="str"/>
      <x:c r="K174" s="72" t="str"/>
      <x:c r="L174" s="72" t="str"/>
      <x:c r="M174" s="72" t="str"/>
      <x:c r="N174" s="72" t="str"/>
      <x:c r="O174" s="72" t="str"/>
      <x:c r="P174" s="72" t="str">
        <x:v>Available</x:v>
      </x:c>
      <x:c r="Q174" s="72" t="n">
        <x:v>0</x:v>
      </x:c>
      <x:c r="R174" s="55" t="str">
        <x:f>IF($D174="","",ROUND(MAX(0,MIN(100,0.35*$J174+0.2*$K174+0.15*$L174+0.15*$M174+0.1*$N174+0.05*$O174-IF(OR($P174="Out",$P174="Suspended"),$Q174,IF($P174="Doubtful",$Q174*0.5,IF($P174="Limited",$Q174*0.25,0))))),2))</x:f>
      </x:c>
      <x:c r="S174" s="55" t="n">
        <x:f>IF($D174="",0,ROUND(IF(OR($P174="Out",$P174="Suspended"),$Q174*$H174,IF($P174="Doubtful",$Q174*$H174*0.5,IF($P174="Limited",$Q174*$H174*0.25,0))),2))</x:f>
        <x:v>0</x:v>
      </x:c>
      <x:c r="T174" s="55" t="str"/>
      <x:c r="U174" s="51" t="str"/>
    </x:row>
    <x:row r="175">
      <x:c r="A175" s="51" t="str">
        <x:v>Qatar</x:v>
      </x:c>
      <x:c r="B175" s="51" t="str">
        <x:v>B</x:v>
      </x:c>
      <x:c r="C175" s="51" t="n">
        <x:v>15</x:v>
      </x:c>
      <x:c r="D175" s="71" t="str"/>
      <x:c r="E175" s="51" t="str">
        <x:v>CM</x:v>
      </x:c>
      <x:c r="F175" s="51" t="str">
        <x:v>Midfield</x:v>
      </x:c>
      <x:c r="G175" s="51" t="str">
        <x:v>Rotation</x:v>
      </x:c>
      <x:c r="H175" s="55" t="n">
        <x:v>0.35</x:v>
      </x:c>
      <x:c r="I175" s="51" t="str"/>
      <x:c r="J175" s="72" t="str"/>
      <x:c r="K175" s="72" t="str"/>
      <x:c r="L175" s="72" t="str"/>
      <x:c r="M175" s="72" t="str"/>
      <x:c r="N175" s="72" t="str"/>
      <x:c r="O175" s="72" t="str"/>
      <x:c r="P175" s="72" t="str">
        <x:v>Available</x:v>
      </x:c>
      <x:c r="Q175" s="72" t="n">
        <x:v>0</x:v>
      </x:c>
      <x:c r="R175" s="55" t="str">
        <x:f>IF($D175="","",ROUND(MAX(0,MIN(100,0.35*$J175+0.2*$K175+0.15*$L175+0.15*$M175+0.1*$N175+0.05*$O175-IF(OR($P175="Out",$P175="Suspended"),$Q175,IF($P175="Doubtful",$Q175*0.5,IF($P175="Limited",$Q175*0.25,0))))),2))</x:f>
      </x:c>
      <x:c r="S175" s="55" t="n">
        <x:f>IF($D175="",0,ROUND(IF(OR($P175="Out",$P175="Suspended"),$Q175*$H175,IF($P175="Doubtful",$Q175*$H175*0.5,IF($P175="Limited",$Q175*$H175*0.25,0))),2))</x:f>
        <x:v>0</x:v>
      </x:c>
      <x:c r="T175" s="55" t="str"/>
      <x:c r="U175" s="51" t="str"/>
    </x:row>
    <x:row r="176">
      <x:c r="A176" s="51" t="str">
        <x:v>Qatar</x:v>
      </x:c>
      <x:c r="B176" s="51" t="str">
        <x:v>B</x:v>
      </x:c>
      <x:c r="C176" s="51" t="n">
        <x:v>16</x:v>
      </x:c>
      <x:c r="D176" s="71" t="str"/>
      <x:c r="E176" s="51" t="str">
        <x:v>AM</x:v>
      </x:c>
      <x:c r="F176" s="51" t="str">
        <x:v>Attack</x:v>
      </x:c>
      <x:c r="G176" s="51" t="str">
        <x:v>Rotation</x:v>
      </x:c>
      <x:c r="H176" s="55" t="n">
        <x:v>0.35</x:v>
      </x:c>
      <x:c r="I176" s="51" t="str"/>
      <x:c r="J176" s="72" t="str"/>
      <x:c r="K176" s="72" t="str"/>
      <x:c r="L176" s="72" t="str"/>
      <x:c r="M176" s="72" t="str"/>
      <x:c r="N176" s="72" t="str"/>
      <x:c r="O176" s="72" t="str"/>
      <x:c r="P176" s="72" t="str">
        <x:v>Available</x:v>
      </x:c>
      <x:c r="Q176" s="72" t="n">
        <x:v>0</x:v>
      </x:c>
      <x:c r="R176" s="55" t="str">
        <x:f>IF($D176="","",ROUND(MAX(0,MIN(100,0.35*$J176+0.2*$K176+0.15*$L176+0.15*$M176+0.1*$N176+0.05*$O176-IF(OR($P176="Out",$P176="Suspended"),$Q176,IF($P176="Doubtful",$Q176*0.5,IF($P176="Limited",$Q176*0.25,0))))),2))</x:f>
      </x:c>
      <x:c r="S176" s="55" t="n">
        <x:f>IF($D176="",0,ROUND(IF(OR($P176="Out",$P176="Suspended"),$Q176*$H176,IF($P176="Doubtful",$Q176*$H176*0.5,IF($P176="Limited",$Q176*$H176*0.25,0))),2))</x:f>
        <x:v>0</x:v>
      </x:c>
      <x:c r="T176" s="55" t="str"/>
      <x:c r="U176" s="51" t="str"/>
    </x:row>
    <x:row r="177">
      <x:c r="A177" s="51" t="str">
        <x:v>Qatar</x:v>
      </x:c>
      <x:c r="B177" s="51" t="str">
        <x:v>B</x:v>
      </x:c>
      <x:c r="C177" s="51" t="n">
        <x:v>17</x:v>
      </x:c>
      <x:c r="D177" s="71" t="str"/>
      <x:c r="E177" s="51" t="str">
        <x:v>AM</x:v>
      </x:c>
      <x:c r="F177" s="51" t="str">
        <x:v>Attack</x:v>
      </x:c>
      <x:c r="G177" s="51" t="str">
        <x:v>Rotation</x:v>
      </x:c>
      <x:c r="H177" s="55" t="n">
        <x:v>0.35</x:v>
      </x:c>
      <x:c r="I177" s="51" t="str"/>
      <x:c r="J177" s="72" t="str"/>
      <x:c r="K177" s="72" t="str"/>
      <x:c r="L177" s="72" t="str"/>
      <x:c r="M177" s="72" t="str"/>
      <x:c r="N177" s="72" t="str"/>
      <x:c r="O177" s="72" t="str"/>
      <x:c r="P177" s="72" t="str">
        <x:v>Available</x:v>
      </x:c>
      <x:c r="Q177" s="72" t="n">
        <x:v>0</x:v>
      </x:c>
      <x:c r="R177" s="55" t="str">
        <x:f>IF($D177="","",ROUND(MAX(0,MIN(100,0.35*$J177+0.2*$K177+0.15*$L177+0.15*$M177+0.1*$N177+0.05*$O177-IF(OR($P177="Out",$P177="Suspended"),$Q177,IF($P177="Doubtful",$Q177*0.5,IF($P177="Limited",$Q177*0.25,0))))),2))</x:f>
      </x:c>
      <x:c r="S177" s="55" t="n">
        <x:f>IF($D177="",0,ROUND(IF(OR($P177="Out",$P177="Suspended"),$Q177*$H177,IF($P177="Doubtful",$Q177*$H177*0.5,IF($P177="Limited",$Q177*$H177*0.25,0))),2))</x:f>
        <x:v>0</x:v>
      </x:c>
      <x:c r="T177" s="55" t="str"/>
      <x:c r="U177" s="51" t="str"/>
    </x:row>
    <x:row r="178">
      <x:c r="A178" s="51" t="str">
        <x:v>Qatar</x:v>
      </x:c>
      <x:c r="B178" s="51" t="str">
        <x:v>B</x:v>
      </x:c>
      <x:c r="C178" s="51" t="n">
        <x:v>18</x:v>
      </x:c>
      <x:c r="D178" s="71" t="str"/>
      <x:c r="E178" s="51" t="str">
        <x:v>AM</x:v>
      </x:c>
      <x:c r="F178" s="51" t="str">
        <x:v>Attack</x:v>
      </x:c>
      <x:c r="G178" s="51" t="str">
        <x:v>Rotation</x:v>
      </x:c>
      <x:c r="H178" s="55" t="n">
        <x:v>0.35</x:v>
      </x:c>
      <x:c r="I178" s="51" t="str"/>
      <x:c r="J178" s="72" t="str"/>
      <x:c r="K178" s="72" t="str"/>
      <x:c r="L178" s="72" t="str"/>
      <x:c r="M178" s="72" t="str"/>
      <x:c r="N178" s="72" t="str"/>
      <x:c r="O178" s="72" t="str"/>
      <x:c r="P178" s="72" t="str">
        <x:v>Available</x:v>
      </x:c>
      <x:c r="Q178" s="72" t="n">
        <x:v>0</x:v>
      </x:c>
      <x:c r="R178" s="55" t="str">
        <x:f>IF($D178="","",ROUND(MAX(0,MIN(100,0.35*$J178+0.2*$K178+0.15*$L178+0.15*$M178+0.1*$N178+0.05*$O178-IF(OR($P178="Out",$P178="Suspended"),$Q178,IF($P178="Doubtful",$Q178*0.5,IF($P178="Limited",$Q178*0.25,0))))),2))</x:f>
      </x:c>
      <x:c r="S178" s="55" t="n">
        <x:f>IF($D178="",0,ROUND(IF(OR($P178="Out",$P178="Suspended"),$Q178*$H178,IF($P178="Doubtful",$Q178*$H178*0.5,IF($P178="Limited",$Q178*$H178*0.25,0))),2))</x:f>
        <x:v>0</x:v>
      </x:c>
      <x:c r="T178" s="55" t="str"/>
      <x:c r="U178" s="51" t="str"/>
    </x:row>
    <x:row r="179">
      <x:c r="A179" s="51" t="str">
        <x:v>Qatar</x:v>
      </x:c>
      <x:c r="B179" s="51" t="str">
        <x:v>B</x:v>
      </x:c>
      <x:c r="C179" s="51" t="n">
        <x:v>19</x:v>
      </x:c>
      <x:c r="D179" s="71" t="str"/>
      <x:c r="E179" s="51" t="str">
        <x:v>AM</x:v>
      </x:c>
      <x:c r="F179" s="51" t="str">
        <x:v>Attack</x:v>
      </x:c>
      <x:c r="G179" s="51" t="str">
        <x:v>Rotation</x:v>
      </x:c>
      <x:c r="H179" s="55" t="n">
        <x:v>0.35</x:v>
      </x:c>
      <x:c r="I179" s="51" t="str"/>
      <x:c r="J179" s="72" t="str"/>
      <x:c r="K179" s="72" t="str"/>
      <x:c r="L179" s="72" t="str"/>
      <x:c r="M179" s="72" t="str"/>
      <x:c r="N179" s="72" t="str"/>
      <x:c r="O179" s="72" t="str"/>
      <x:c r="P179" s="72" t="str">
        <x:v>Available</x:v>
      </x:c>
      <x:c r="Q179" s="72" t="n">
        <x:v>0</x:v>
      </x:c>
      <x:c r="R179" s="55" t="str">
        <x:f>IF($D179="","",ROUND(MAX(0,MIN(100,0.35*$J179+0.2*$K179+0.15*$L179+0.15*$M179+0.1*$N179+0.05*$O179-IF(OR($P179="Out",$P179="Suspended"),$Q179,IF($P179="Doubtful",$Q179*0.5,IF($P179="Limited",$Q179*0.25,0))))),2))</x:f>
      </x:c>
      <x:c r="S179" s="55" t="n">
        <x:f>IF($D179="",0,ROUND(IF(OR($P179="Out",$P179="Suspended"),$Q179*$H179,IF($P179="Doubtful",$Q179*$H179*0.5,IF($P179="Limited",$Q179*$H179*0.25,0))),2))</x:f>
        <x:v>0</x:v>
      </x:c>
      <x:c r="T179" s="55" t="str"/>
      <x:c r="U179" s="51" t="str"/>
    </x:row>
    <x:row r="180">
      <x:c r="A180" s="51" t="str">
        <x:v>Qatar</x:v>
      </x:c>
      <x:c r="B180" s="51" t="str">
        <x:v>B</x:v>
      </x:c>
      <x:c r="C180" s="51" t="n">
        <x:v>20</x:v>
      </x:c>
      <x:c r="D180" s="71" t="str"/>
      <x:c r="E180" s="51" t="str">
        <x:v>Winger</x:v>
      </x:c>
      <x:c r="F180" s="51" t="str">
        <x:v>Attack</x:v>
      </x:c>
      <x:c r="G180" s="51" t="str">
        <x:v>Rotation</x:v>
      </x:c>
      <x:c r="H180" s="55" t="n">
        <x:v>0.35</x:v>
      </x:c>
      <x:c r="I180" s="51" t="str"/>
      <x:c r="J180" s="72" t="str"/>
      <x:c r="K180" s="72" t="str"/>
      <x:c r="L180" s="72" t="str"/>
      <x:c r="M180" s="72" t="str"/>
      <x:c r="N180" s="72" t="str"/>
      <x:c r="O180" s="72" t="str"/>
      <x:c r="P180" s="72" t="str">
        <x:v>Available</x:v>
      </x:c>
      <x:c r="Q180" s="72" t="n">
        <x:v>0</x:v>
      </x:c>
      <x:c r="R180" s="55" t="str">
        <x:f>IF($D180="","",ROUND(MAX(0,MIN(100,0.35*$J180+0.2*$K180+0.15*$L180+0.15*$M180+0.1*$N180+0.05*$O180-IF(OR($P180="Out",$P180="Suspended"),$Q180,IF($P180="Doubtful",$Q180*0.5,IF($P180="Limited",$Q180*0.25,0))))),2))</x:f>
      </x:c>
      <x:c r="S180" s="55" t="n">
        <x:f>IF($D180="",0,ROUND(IF(OR($P180="Out",$P180="Suspended"),$Q180*$H180,IF($P180="Doubtful",$Q180*$H180*0.5,IF($P180="Limited",$Q180*$H180*0.25,0))),2))</x:f>
        <x:v>0</x:v>
      </x:c>
      <x:c r="T180" s="55" t="str"/>
      <x:c r="U180" s="51" t="str"/>
    </x:row>
    <x:row r="181">
      <x:c r="A181" s="51" t="str">
        <x:v>Qatar</x:v>
      </x:c>
      <x:c r="B181" s="51" t="str">
        <x:v>B</x:v>
      </x:c>
      <x:c r="C181" s="51" t="n">
        <x:v>21</x:v>
      </x:c>
      <x:c r="D181" s="71" t="str"/>
      <x:c r="E181" s="51" t="str">
        <x:v>Winger</x:v>
      </x:c>
      <x:c r="F181" s="51" t="str">
        <x:v>Attack</x:v>
      </x:c>
      <x:c r="G181" s="51" t="str">
        <x:v>Depth</x:v>
      </x:c>
      <x:c r="H181" s="55" t="n">
        <x:v>0.1</x:v>
      </x:c>
      <x:c r="I181" s="51" t="str"/>
      <x:c r="J181" s="72" t="str"/>
      <x:c r="K181" s="72" t="str"/>
      <x:c r="L181" s="72" t="str"/>
      <x:c r="M181" s="72" t="str"/>
      <x:c r="N181" s="72" t="str"/>
      <x:c r="O181" s="72" t="str"/>
      <x:c r="P181" s="72" t="str">
        <x:v>Available</x:v>
      </x:c>
      <x:c r="Q181" s="72" t="n">
        <x:v>0</x:v>
      </x:c>
      <x:c r="R181" s="55" t="str">
        <x:f>IF($D181="","",ROUND(MAX(0,MIN(100,0.35*$J181+0.2*$K181+0.15*$L181+0.15*$M181+0.1*$N181+0.05*$O181-IF(OR($P181="Out",$P181="Suspended"),$Q181,IF($P181="Doubtful",$Q181*0.5,IF($P181="Limited",$Q181*0.25,0))))),2))</x:f>
      </x:c>
      <x:c r="S181" s="55" t="n">
        <x:f>IF($D181="",0,ROUND(IF(OR($P181="Out",$P181="Suspended"),$Q181*$H181,IF($P181="Doubtful",$Q181*$H181*0.5,IF($P181="Limited",$Q181*$H181*0.25,0))),2))</x:f>
        <x:v>0</x:v>
      </x:c>
      <x:c r="T181" s="55" t="str"/>
      <x:c r="U181" s="51" t="str"/>
    </x:row>
    <x:row r="182">
      <x:c r="A182" s="51" t="str">
        <x:v>Qatar</x:v>
      </x:c>
      <x:c r="B182" s="51" t="str">
        <x:v>B</x:v>
      </x:c>
      <x:c r="C182" s="51" t="n">
        <x:v>22</x:v>
      </x:c>
      <x:c r="D182" s="71" t="str"/>
      <x:c r="E182" s="51" t="str">
        <x:v>Winger</x:v>
      </x:c>
      <x:c r="F182" s="51" t="str">
        <x:v>Attack</x:v>
      </x:c>
      <x:c r="G182" s="51" t="str">
        <x:v>Depth</x:v>
      </x:c>
      <x:c r="H182" s="55" t="n">
        <x:v>0.1</x:v>
      </x:c>
      <x:c r="I182" s="51" t="str"/>
      <x:c r="J182" s="72" t="str"/>
      <x:c r="K182" s="72" t="str"/>
      <x:c r="L182" s="72" t="str"/>
      <x:c r="M182" s="72" t="str"/>
      <x:c r="N182" s="72" t="str"/>
      <x:c r="O182" s="72" t="str"/>
      <x:c r="P182" s="72" t="str">
        <x:v>Available</x:v>
      </x:c>
      <x:c r="Q182" s="72" t="n">
        <x:v>0</x:v>
      </x:c>
      <x:c r="R182" s="55" t="str">
        <x:f>IF($D182="","",ROUND(MAX(0,MIN(100,0.35*$J182+0.2*$K182+0.15*$L182+0.15*$M182+0.1*$N182+0.05*$O182-IF(OR($P182="Out",$P182="Suspended"),$Q182,IF($P182="Doubtful",$Q182*0.5,IF($P182="Limited",$Q182*0.25,0))))),2))</x:f>
      </x:c>
      <x:c r="S182" s="55" t="n">
        <x:f>IF($D182="",0,ROUND(IF(OR($P182="Out",$P182="Suspended"),$Q182*$H182,IF($P182="Doubtful",$Q182*$H182*0.5,IF($P182="Limited",$Q182*$H182*0.25,0))),2))</x:f>
        <x:v>0</x:v>
      </x:c>
      <x:c r="T182" s="55" t="str"/>
      <x:c r="U182" s="51" t="str"/>
    </x:row>
    <x:row r="183">
      <x:c r="A183" s="51" t="str">
        <x:v>Qatar</x:v>
      </x:c>
      <x:c r="B183" s="51" t="str">
        <x:v>B</x:v>
      </x:c>
      <x:c r="C183" s="51" t="n">
        <x:v>23</x:v>
      </x:c>
      <x:c r="D183" s="71" t="str"/>
      <x:c r="E183" s="51" t="str">
        <x:v>Winger</x:v>
      </x:c>
      <x:c r="F183" s="51" t="str">
        <x:v>Attack</x:v>
      </x:c>
      <x:c r="G183" s="51" t="str">
        <x:v>Depth</x:v>
      </x:c>
      <x:c r="H183" s="55" t="n">
        <x:v>0.1</x:v>
      </x:c>
      <x:c r="I183" s="51" t="str"/>
      <x:c r="J183" s="72" t="str"/>
      <x:c r="K183" s="72" t="str"/>
      <x:c r="L183" s="72" t="str"/>
      <x:c r="M183" s="72" t="str"/>
      <x:c r="N183" s="72" t="str"/>
      <x:c r="O183" s="72" t="str"/>
      <x:c r="P183" s="72" t="str">
        <x:v>Available</x:v>
      </x:c>
      <x:c r="Q183" s="72" t="n">
        <x:v>0</x:v>
      </x:c>
      <x:c r="R183" s="55" t="str">
        <x:f>IF($D183="","",ROUND(MAX(0,MIN(100,0.35*$J183+0.2*$K183+0.15*$L183+0.15*$M183+0.1*$N183+0.05*$O183-IF(OR($P183="Out",$P183="Suspended"),$Q183,IF($P183="Doubtful",$Q183*0.5,IF($P183="Limited",$Q183*0.25,0))))),2))</x:f>
      </x:c>
      <x:c r="S183" s="55" t="n">
        <x:f>IF($D183="",0,ROUND(IF(OR($P183="Out",$P183="Suspended"),$Q183*$H183,IF($P183="Doubtful",$Q183*$H183*0.5,IF($P183="Limited",$Q183*$H183*0.25,0))),2))</x:f>
        <x:v>0</x:v>
      </x:c>
      <x:c r="T183" s="55" t="str"/>
      <x:c r="U183" s="51" t="str"/>
    </x:row>
    <x:row r="184">
      <x:c r="A184" s="51" t="str">
        <x:v>Qatar</x:v>
      </x:c>
      <x:c r="B184" s="51" t="str">
        <x:v>B</x:v>
      </x:c>
      <x:c r="C184" s="51" t="n">
        <x:v>24</x:v>
      </x:c>
      <x:c r="D184" s="71" t="str"/>
      <x:c r="E184" s="51" t="str">
        <x:v>ST</x:v>
      </x:c>
      <x:c r="F184" s="51" t="str">
        <x:v>Attack</x:v>
      </x:c>
      <x:c r="G184" s="51" t="str">
        <x:v>Depth</x:v>
      </x:c>
      <x:c r="H184" s="55" t="n">
        <x:v>0.1</x:v>
      </x:c>
      <x:c r="I184" s="51" t="str"/>
      <x:c r="J184" s="72" t="str"/>
      <x:c r="K184" s="72" t="str"/>
      <x:c r="L184" s="72" t="str"/>
      <x:c r="M184" s="72" t="str"/>
      <x:c r="N184" s="72" t="str"/>
      <x:c r="O184" s="72" t="str"/>
      <x:c r="P184" s="72" t="str">
        <x:v>Available</x:v>
      </x:c>
      <x:c r="Q184" s="72" t="n">
        <x:v>0</x:v>
      </x:c>
      <x:c r="R184" s="55" t="str">
        <x:f>IF($D184="","",ROUND(MAX(0,MIN(100,0.35*$J184+0.2*$K184+0.15*$L184+0.15*$M184+0.1*$N184+0.05*$O184-IF(OR($P184="Out",$P184="Suspended"),$Q184,IF($P184="Doubtful",$Q184*0.5,IF($P184="Limited",$Q184*0.25,0))))),2))</x:f>
      </x:c>
      <x:c r="S184" s="55" t="n">
        <x:f>IF($D184="",0,ROUND(IF(OR($P184="Out",$P184="Suspended"),$Q184*$H184,IF($P184="Doubtful",$Q184*$H184*0.5,IF($P184="Limited",$Q184*$H184*0.25,0))),2))</x:f>
        <x:v>0</x:v>
      </x:c>
      <x:c r="T184" s="55" t="str"/>
      <x:c r="U184" s="51" t="str"/>
    </x:row>
    <x:row r="185">
      <x:c r="A185" s="51" t="str">
        <x:v>Qatar</x:v>
      </x:c>
      <x:c r="B185" s="51" t="str">
        <x:v>B</x:v>
      </x:c>
      <x:c r="C185" s="51" t="n">
        <x:v>25</x:v>
      </x:c>
      <x:c r="D185" s="71" t="str"/>
      <x:c r="E185" s="51" t="str">
        <x:v>ST</x:v>
      </x:c>
      <x:c r="F185" s="51" t="str">
        <x:v>Attack</x:v>
      </x:c>
      <x:c r="G185" s="51" t="str">
        <x:v>Depth</x:v>
      </x:c>
      <x:c r="H185" s="55" t="n">
        <x:v>0.1</x:v>
      </x:c>
      <x:c r="I185" s="51" t="str"/>
      <x:c r="J185" s="72" t="str"/>
      <x:c r="K185" s="72" t="str"/>
      <x:c r="L185" s="72" t="str"/>
      <x:c r="M185" s="72" t="str"/>
      <x:c r="N185" s="72" t="str"/>
      <x:c r="O185" s="72" t="str"/>
      <x:c r="P185" s="72" t="str">
        <x:v>Available</x:v>
      </x:c>
      <x:c r="Q185" s="72" t="n">
        <x:v>0</x:v>
      </x:c>
      <x:c r="R185" s="55" t="str">
        <x:f>IF($D185="","",ROUND(MAX(0,MIN(100,0.35*$J185+0.2*$K185+0.15*$L185+0.15*$M185+0.1*$N185+0.05*$O185-IF(OR($P185="Out",$P185="Suspended"),$Q185,IF($P185="Doubtful",$Q185*0.5,IF($P185="Limited",$Q185*0.25,0))))),2))</x:f>
      </x:c>
      <x:c r="S185" s="55" t="n">
        <x:f>IF($D185="",0,ROUND(IF(OR($P185="Out",$P185="Suspended"),$Q185*$H185,IF($P185="Doubtful",$Q185*$H185*0.5,IF($P185="Limited",$Q185*$H185*0.25,0))),2))</x:f>
        <x:v>0</x:v>
      </x:c>
      <x:c r="T185" s="55" t="str"/>
      <x:c r="U185" s="51" t="str"/>
    </x:row>
    <x:row r="186">
      <x:c r="A186" s="51" t="str">
        <x:v>Qatar</x:v>
      </x:c>
      <x:c r="B186" s="51" t="str">
        <x:v>B</x:v>
      </x:c>
      <x:c r="C186" s="51" t="n">
        <x:v>26</x:v>
      </x:c>
      <x:c r="D186" s="71" t="str"/>
      <x:c r="E186" s="51" t="str">
        <x:v>ST</x:v>
      </x:c>
      <x:c r="F186" s="51" t="str">
        <x:v>Attack</x:v>
      </x:c>
      <x:c r="G186" s="51" t="str">
        <x:v>Depth</x:v>
      </x:c>
      <x:c r="H186" s="55" t="n">
        <x:v>0.1</x:v>
      </x:c>
      <x:c r="I186" s="51" t="str"/>
      <x:c r="J186" s="72" t="str"/>
      <x:c r="K186" s="72" t="str"/>
      <x:c r="L186" s="72" t="str"/>
      <x:c r="M186" s="72" t="str"/>
      <x:c r="N186" s="72" t="str"/>
      <x:c r="O186" s="72" t="str"/>
      <x:c r="P186" s="72" t="str">
        <x:v>Available</x:v>
      </x:c>
      <x:c r="Q186" s="72" t="n">
        <x:v>0</x:v>
      </x:c>
      <x:c r="R186" s="55" t="str">
        <x:f>IF($D186="","",ROUND(MAX(0,MIN(100,0.35*$J186+0.2*$K186+0.15*$L186+0.15*$M186+0.1*$N186+0.05*$O186-IF(OR($P186="Out",$P186="Suspended"),$Q186,IF($P186="Doubtful",$Q186*0.5,IF($P186="Limited",$Q186*0.25,0))))),2))</x:f>
      </x:c>
      <x:c r="S186" s="55" t="n">
        <x:f>IF($D186="",0,ROUND(IF(OR($P186="Out",$P186="Suspended"),$Q186*$H186,IF($P186="Doubtful",$Q186*$H186*0.5,IF($P186="Limited",$Q186*$H186*0.25,0))),2))</x:f>
        <x:v>0</x:v>
      </x:c>
      <x:c r="T186" s="55" t="str"/>
      <x:c r="U186" s="51" t="str"/>
    </x:row>
    <x:row r="187">
      <x:c r="A187" s="51" t="str">
        <x:v>Switzerland</x:v>
      </x:c>
      <x:c r="B187" s="51" t="str">
        <x:v>B</x:v>
      </x:c>
      <x:c r="C187" s="51" t="n">
        <x:v>1</x:v>
      </x:c>
      <x:c r="D187" s="71" t="str"/>
      <x:c r="E187" s="51" t="str">
        <x:v>GK</x:v>
      </x:c>
      <x:c r="F187" s="51" t="str">
        <x:v>GK</x:v>
      </x:c>
      <x:c r="G187" s="51" t="str">
        <x:v>Starter</x:v>
      </x:c>
      <x:c r="H187" s="55" t="n">
        <x:v>1</x:v>
      </x:c>
      <x:c r="I187" s="51" t="str"/>
      <x:c r="J187" s="72" t="str"/>
      <x:c r="K187" s="72" t="str"/>
      <x:c r="L187" s="72" t="str"/>
      <x:c r="M187" s="72" t="str"/>
      <x:c r="N187" s="72" t="str"/>
      <x:c r="O187" s="72" t="str"/>
      <x:c r="P187" s="72" t="str">
        <x:v>Available</x:v>
      </x:c>
      <x:c r="Q187" s="72" t="n">
        <x:v>0</x:v>
      </x:c>
      <x:c r="R187" s="55" t="str">
        <x:f>IF($D187="","",ROUND(MAX(0,MIN(100,0.35*$J187+0.2*$K187+0.15*$L187+0.15*$M187+0.1*$N187+0.05*$O187-IF(OR($P187="Out",$P187="Suspended"),$Q187,IF($P187="Doubtful",$Q187*0.5,IF($P187="Limited",$Q187*0.25,0))))),2))</x:f>
      </x:c>
      <x:c r="S187" s="55" t="n">
        <x:f>IF($D187="",0,ROUND(IF(OR($P187="Out",$P187="Suspended"),$Q187*$H187,IF($P187="Doubtful",$Q187*$H187*0.5,IF($P187="Limited",$Q187*$H187*0.25,0))),2))</x:f>
        <x:v>0</x:v>
      </x:c>
      <x:c r="T187" s="55" t="str"/>
      <x:c r="U187" s="51" t="str"/>
    </x:row>
    <x:row r="188">
      <x:c r="A188" s="51" t="str">
        <x:v>Switzerland</x:v>
      </x:c>
      <x:c r="B188" s="51" t="str">
        <x:v>B</x:v>
      </x:c>
      <x:c r="C188" s="51" t="n">
        <x:v>2</x:v>
      </x:c>
      <x:c r="D188" s="71" t="str"/>
      <x:c r="E188" s="51" t="str">
        <x:v>GK</x:v>
      </x:c>
      <x:c r="F188" s="51" t="str">
        <x:v>GK</x:v>
      </x:c>
      <x:c r="G188" s="51" t="str">
        <x:v>Starter</x:v>
      </x:c>
      <x:c r="H188" s="55" t="n">
        <x:v>1</x:v>
      </x:c>
      <x:c r="I188" s="51" t="str"/>
      <x:c r="J188" s="72" t="str"/>
      <x:c r="K188" s="72" t="str"/>
      <x:c r="L188" s="72" t="str"/>
      <x:c r="M188" s="72" t="str"/>
      <x:c r="N188" s="72" t="str"/>
      <x:c r="O188" s="72" t="str"/>
      <x:c r="P188" s="72" t="str">
        <x:v>Available</x:v>
      </x:c>
      <x:c r="Q188" s="72" t="n">
        <x:v>0</x:v>
      </x:c>
      <x:c r="R188" s="55" t="str">
        <x:f>IF($D188="","",ROUND(MAX(0,MIN(100,0.35*$J188+0.2*$K188+0.15*$L188+0.15*$M188+0.1*$N188+0.05*$O188-IF(OR($P188="Out",$P188="Suspended"),$Q188,IF($P188="Doubtful",$Q188*0.5,IF($P188="Limited",$Q188*0.25,0))))),2))</x:f>
      </x:c>
      <x:c r="S188" s="55" t="n">
        <x:f>IF($D188="",0,ROUND(IF(OR($P188="Out",$P188="Suspended"),$Q188*$H188,IF($P188="Doubtful",$Q188*$H188*0.5,IF($P188="Limited",$Q188*$H188*0.25,0))),2))</x:f>
        <x:v>0</x:v>
      </x:c>
      <x:c r="T188" s="55" t="str"/>
      <x:c r="U188" s="51" t="str"/>
    </x:row>
    <x:row r="189">
      <x:c r="A189" s="51" t="str">
        <x:v>Switzerland</x:v>
      </x:c>
      <x:c r="B189" s="51" t="str">
        <x:v>B</x:v>
      </x:c>
      <x:c r="C189" s="51" t="n">
        <x:v>3</x:v>
      </x:c>
      <x:c r="D189" s="71" t="str"/>
      <x:c r="E189" s="51" t="str">
        <x:v>GK</x:v>
      </x:c>
      <x:c r="F189" s="51" t="str">
        <x:v>GK</x:v>
      </x:c>
      <x:c r="G189" s="51" t="str">
        <x:v>Starter</x:v>
      </x:c>
      <x:c r="H189" s="55" t="n">
        <x:v>1</x:v>
      </x:c>
      <x:c r="I189" s="51" t="str"/>
      <x:c r="J189" s="72" t="str"/>
      <x:c r="K189" s="72" t="str"/>
      <x:c r="L189" s="72" t="str"/>
      <x:c r="M189" s="72" t="str"/>
      <x:c r="N189" s="72" t="str"/>
      <x:c r="O189" s="72" t="str"/>
      <x:c r="P189" s="72" t="str">
        <x:v>Available</x:v>
      </x:c>
      <x:c r="Q189" s="72" t="n">
        <x:v>0</x:v>
      </x:c>
      <x:c r="R189" s="55" t="str">
        <x:f>IF($D189="","",ROUND(MAX(0,MIN(100,0.35*$J189+0.2*$K189+0.15*$L189+0.15*$M189+0.1*$N189+0.05*$O189-IF(OR($P189="Out",$P189="Suspended"),$Q189,IF($P189="Doubtful",$Q189*0.5,IF($P189="Limited",$Q189*0.25,0))))),2))</x:f>
      </x:c>
      <x:c r="S189" s="55" t="n">
        <x:f>IF($D189="",0,ROUND(IF(OR($P189="Out",$P189="Suspended"),$Q189*$H189,IF($P189="Doubtful",$Q189*$H189*0.5,IF($P189="Limited",$Q189*$H189*0.25,0))),2))</x:f>
        <x:v>0</x:v>
      </x:c>
      <x:c r="T189" s="55" t="str"/>
      <x:c r="U189" s="51" t="str"/>
    </x:row>
    <x:row r="190">
      <x:c r="A190" s="51" t="str">
        <x:v>Switzerland</x:v>
      </x:c>
      <x:c r="B190" s="51" t="str">
        <x:v>B</x:v>
      </x:c>
      <x:c r="C190" s="51" t="n">
        <x:v>4</x:v>
      </x:c>
      <x:c r="D190" s="71" t="str"/>
      <x:c r="E190" s="51" t="str">
        <x:v>CB</x:v>
      </x:c>
      <x:c r="F190" s="51" t="str">
        <x:v>Defence</x:v>
      </x:c>
      <x:c r="G190" s="51" t="str">
        <x:v>Starter</x:v>
      </x:c>
      <x:c r="H190" s="55" t="n">
        <x:v>1</x:v>
      </x:c>
      <x:c r="I190" s="51" t="str"/>
      <x:c r="J190" s="72" t="str"/>
      <x:c r="K190" s="72" t="str"/>
      <x:c r="L190" s="72" t="str"/>
      <x:c r="M190" s="72" t="str"/>
      <x:c r="N190" s="72" t="str"/>
      <x:c r="O190" s="72" t="str"/>
      <x:c r="P190" s="72" t="str">
        <x:v>Available</x:v>
      </x:c>
      <x:c r="Q190" s="72" t="n">
        <x:v>0</x:v>
      </x:c>
      <x:c r="R190" s="55" t="str">
        <x:f>IF($D190="","",ROUND(MAX(0,MIN(100,0.35*$J190+0.2*$K190+0.15*$L190+0.15*$M190+0.1*$N190+0.05*$O190-IF(OR($P190="Out",$P190="Suspended"),$Q190,IF($P190="Doubtful",$Q190*0.5,IF($P190="Limited",$Q190*0.25,0))))),2))</x:f>
      </x:c>
      <x:c r="S190" s="55" t="n">
        <x:f>IF($D190="",0,ROUND(IF(OR($P190="Out",$P190="Suspended"),$Q190*$H190,IF($P190="Doubtful",$Q190*$H190*0.5,IF($P190="Limited",$Q190*$H190*0.25,0))),2))</x:f>
        <x:v>0</x:v>
      </x:c>
      <x:c r="T190" s="55" t="str"/>
      <x:c r="U190" s="51" t="str"/>
    </x:row>
    <x:row r="191">
      <x:c r="A191" s="51" t="str">
        <x:v>Switzerland</x:v>
      </x:c>
      <x:c r="B191" s="51" t="str">
        <x:v>B</x:v>
      </x:c>
      <x:c r="C191" s="51" t="n">
        <x:v>5</x:v>
      </x:c>
      <x:c r="D191" s="71" t="str"/>
      <x:c r="E191" s="51" t="str">
        <x:v>CB</x:v>
      </x:c>
      <x:c r="F191" s="51" t="str">
        <x:v>Defence</x:v>
      </x:c>
      <x:c r="G191" s="51" t="str">
        <x:v>Starter</x:v>
      </x:c>
      <x:c r="H191" s="55" t="n">
        <x:v>1</x:v>
      </x:c>
      <x:c r="I191" s="51" t="str"/>
      <x:c r="J191" s="72" t="str"/>
      <x:c r="K191" s="72" t="str"/>
      <x:c r="L191" s="72" t="str"/>
      <x:c r="M191" s="72" t="str"/>
      <x:c r="N191" s="72" t="str"/>
      <x:c r="O191" s="72" t="str"/>
      <x:c r="P191" s="72" t="str">
        <x:v>Available</x:v>
      </x:c>
      <x:c r="Q191" s="72" t="n">
        <x:v>0</x:v>
      </x:c>
      <x:c r="R191" s="55" t="str">
        <x:f>IF($D191="","",ROUND(MAX(0,MIN(100,0.35*$J191+0.2*$K191+0.15*$L191+0.15*$M191+0.1*$N191+0.05*$O191-IF(OR($P191="Out",$P191="Suspended"),$Q191,IF($P191="Doubtful",$Q191*0.5,IF($P191="Limited",$Q191*0.25,0))))),2))</x:f>
      </x:c>
      <x:c r="S191" s="55" t="n">
        <x:f>IF($D191="",0,ROUND(IF(OR($P191="Out",$P191="Suspended"),$Q191*$H191,IF($P191="Doubtful",$Q191*$H191*0.5,IF($P191="Limited",$Q191*$H191*0.25,0))),2))</x:f>
        <x:v>0</x:v>
      </x:c>
      <x:c r="T191" s="55" t="str"/>
      <x:c r="U191" s="51" t="str"/>
    </x:row>
    <x:row r="192">
      <x:c r="A192" s="51" t="str">
        <x:v>Switzerland</x:v>
      </x:c>
      <x:c r="B192" s="51" t="str">
        <x:v>B</x:v>
      </x:c>
      <x:c r="C192" s="51" t="n">
        <x:v>6</x:v>
      </x:c>
      <x:c r="D192" s="71" t="str"/>
      <x:c r="E192" s="51" t="str">
        <x:v>CB</x:v>
      </x:c>
      <x:c r="F192" s="51" t="str">
        <x:v>Defence</x:v>
      </x:c>
      <x:c r="G192" s="51" t="str">
        <x:v>Starter</x:v>
      </x:c>
      <x:c r="H192" s="55" t="n">
        <x:v>1</x:v>
      </x:c>
      <x:c r="I192" s="51" t="str"/>
      <x:c r="J192" s="72" t="str"/>
      <x:c r="K192" s="72" t="str"/>
      <x:c r="L192" s="72" t="str"/>
      <x:c r="M192" s="72" t="str"/>
      <x:c r="N192" s="72" t="str"/>
      <x:c r="O192" s="72" t="str"/>
      <x:c r="P192" s="72" t="str">
        <x:v>Available</x:v>
      </x:c>
      <x:c r="Q192" s="72" t="n">
        <x:v>0</x:v>
      </x:c>
      <x:c r="R192" s="55" t="str">
        <x:f>IF($D192="","",ROUND(MAX(0,MIN(100,0.35*$J192+0.2*$K192+0.15*$L192+0.15*$M192+0.1*$N192+0.05*$O192-IF(OR($P192="Out",$P192="Suspended"),$Q192,IF($P192="Doubtful",$Q192*0.5,IF($P192="Limited",$Q192*0.25,0))))),2))</x:f>
      </x:c>
      <x:c r="S192" s="55" t="n">
        <x:f>IF($D192="",0,ROUND(IF(OR($P192="Out",$P192="Suspended"),$Q192*$H192,IF($P192="Doubtful",$Q192*$H192*0.5,IF($P192="Limited",$Q192*$H192*0.25,0))),2))</x:f>
        <x:v>0</x:v>
      </x:c>
      <x:c r="T192" s="55" t="str"/>
      <x:c r="U192" s="51" t="str"/>
    </x:row>
    <x:row r="193">
      <x:c r="A193" s="51" t="str">
        <x:v>Switzerland</x:v>
      </x:c>
      <x:c r="B193" s="51" t="str">
        <x:v>B</x:v>
      </x:c>
      <x:c r="C193" s="51" t="n">
        <x:v>7</x:v>
      </x:c>
      <x:c r="D193" s="71" t="str"/>
      <x:c r="E193" s="51" t="str">
        <x:v>FB</x:v>
      </x:c>
      <x:c r="F193" s="51" t="str">
        <x:v>Defence</x:v>
      </x:c>
      <x:c r="G193" s="51" t="str">
        <x:v>Starter</x:v>
      </x:c>
      <x:c r="H193" s="55" t="n">
        <x:v>1</x:v>
      </x:c>
      <x:c r="I193" s="51" t="str"/>
      <x:c r="J193" s="72" t="str"/>
      <x:c r="K193" s="72" t="str"/>
      <x:c r="L193" s="72" t="str"/>
      <x:c r="M193" s="72" t="str"/>
      <x:c r="N193" s="72" t="str"/>
      <x:c r="O193" s="72" t="str"/>
      <x:c r="P193" s="72" t="str">
        <x:v>Available</x:v>
      </x:c>
      <x:c r="Q193" s="72" t="n">
        <x:v>0</x:v>
      </x:c>
      <x:c r="R193" s="55" t="str">
        <x:f>IF($D193="","",ROUND(MAX(0,MIN(100,0.35*$J193+0.2*$K193+0.15*$L193+0.15*$M193+0.1*$N193+0.05*$O193-IF(OR($P193="Out",$P193="Suspended"),$Q193,IF($P193="Doubtful",$Q193*0.5,IF($P193="Limited",$Q193*0.25,0))))),2))</x:f>
      </x:c>
      <x:c r="S193" s="55" t="n">
        <x:f>IF($D193="",0,ROUND(IF(OR($P193="Out",$P193="Suspended"),$Q193*$H193,IF($P193="Doubtful",$Q193*$H193*0.5,IF($P193="Limited",$Q193*$H193*0.25,0))),2))</x:f>
        <x:v>0</x:v>
      </x:c>
      <x:c r="T193" s="55" t="str"/>
      <x:c r="U193" s="51" t="str"/>
    </x:row>
    <x:row r="194">
      <x:c r="A194" s="51" t="str">
        <x:v>Switzerland</x:v>
      </x:c>
      <x:c r="B194" s="51" t="str">
        <x:v>B</x:v>
      </x:c>
      <x:c r="C194" s="51" t="n">
        <x:v>8</x:v>
      </x:c>
      <x:c r="D194" s="71" t="str"/>
      <x:c r="E194" s="51" t="str">
        <x:v>FB</x:v>
      </x:c>
      <x:c r="F194" s="51" t="str">
        <x:v>Defence</x:v>
      </x:c>
      <x:c r="G194" s="51" t="str">
        <x:v>Starter</x:v>
      </x:c>
      <x:c r="H194" s="55" t="n">
        <x:v>1</x:v>
      </x:c>
      <x:c r="I194" s="51" t="str"/>
      <x:c r="J194" s="72" t="str"/>
      <x:c r="K194" s="72" t="str"/>
      <x:c r="L194" s="72" t="str"/>
      <x:c r="M194" s="72" t="str"/>
      <x:c r="N194" s="72" t="str"/>
      <x:c r="O194" s="72" t="str"/>
      <x:c r="P194" s="72" t="str">
        <x:v>Available</x:v>
      </x:c>
      <x:c r="Q194" s="72" t="n">
        <x:v>0</x:v>
      </x:c>
      <x:c r="R194" s="55" t="str">
        <x:f>IF($D194="","",ROUND(MAX(0,MIN(100,0.35*$J194+0.2*$K194+0.15*$L194+0.15*$M194+0.1*$N194+0.05*$O194-IF(OR($P194="Out",$P194="Suspended"),$Q194,IF($P194="Doubtful",$Q194*0.5,IF($P194="Limited",$Q194*0.25,0))))),2))</x:f>
      </x:c>
      <x:c r="S194" s="55" t="n">
        <x:f>IF($D194="",0,ROUND(IF(OR($P194="Out",$P194="Suspended"),$Q194*$H194,IF($P194="Doubtful",$Q194*$H194*0.5,IF($P194="Limited",$Q194*$H194*0.25,0))),2))</x:f>
        <x:v>0</x:v>
      </x:c>
      <x:c r="T194" s="55" t="str"/>
      <x:c r="U194" s="51" t="str"/>
    </x:row>
    <x:row r="195">
      <x:c r="A195" s="51" t="str">
        <x:v>Switzerland</x:v>
      </x:c>
      <x:c r="B195" s="51" t="str">
        <x:v>B</x:v>
      </x:c>
      <x:c r="C195" s="51" t="n">
        <x:v>9</x:v>
      </x:c>
      <x:c r="D195" s="71" t="str"/>
      <x:c r="E195" s="51" t="str">
        <x:v>DM</x:v>
      </x:c>
      <x:c r="F195" s="51" t="str">
        <x:v>Midfield</x:v>
      </x:c>
      <x:c r="G195" s="51" t="str">
        <x:v>Starter</x:v>
      </x:c>
      <x:c r="H195" s="55" t="n">
        <x:v>1</x:v>
      </x:c>
      <x:c r="I195" s="51" t="str"/>
      <x:c r="J195" s="72" t="str"/>
      <x:c r="K195" s="72" t="str"/>
      <x:c r="L195" s="72" t="str"/>
      <x:c r="M195" s="72" t="str"/>
      <x:c r="N195" s="72" t="str"/>
      <x:c r="O195" s="72" t="str"/>
      <x:c r="P195" s="72" t="str">
        <x:v>Available</x:v>
      </x:c>
      <x:c r="Q195" s="72" t="n">
        <x:v>0</x:v>
      </x:c>
      <x:c r="R195" s="55" t="str">
        <x:f>IF($D195="","",ROUND(MAX(0,MIN(100,0.35*$J195+0.2*$K195+0.15*$L195+0.15*$M195+0.1*$N195+0.05*$O195-IF(OR($P195="Out",$P195="Suspended"),$Q195,IF($P195="Doubtful",$Q195*0.5,IF($P195="Limited",$Q195*0.25,0))))),2))</x:f>
      </x:c>
      <x:c r="S195" s="55" t="n">
        <x:f>IF($D195="",0,ROUND(IF(OR($P195="Out",$P195="Suspended"),$Q195*$H195,IF($P195="Doubtful",$Q195*$H195*0.5,IF($P195="Limited",$Q195*$H195*0.25,0))),2))</x:f>
        <x:v>0</x:v>
      </x:c>
      <x:c r="T195" s="55" t="str"/>
      <x:c r="U195" s="51" t="str"/>
    </x:row>
    <x:row r="196">
      <x:c r="A196" s="51" t="str">
        <x:v>Switzerland</x:v>
      </x:c>
      <x:c r="B196" s="51" t="str">
        <x:v>B</x:v>
      </x:c>
      <x:c r="C196" s="51" t="n">
        <x:v>10</x:v>
      </x:c>
      <x:c r="D196" s="71" t="str"/>
      <x:c r="E196" s="51" t="str">
        <x:v>DM</x:v>
      </x:c>
      <x:c r="F196" s="51" t="str">
        <x:v>Midfield</x:v>
      </x:c>
      <x:c r="G196" s="51" t="str">
        <x:v>Starter</x:v>
      </x:c>
      <x:c r="H196" s="55" t="n">
        <x:v>1</x:v>
      </x:c>
      <x:c r="I196" s="51" t="str"/>
      <x:c r="J196" s="72" t="str"/>
      <x:c r="K196" s="72" t="str"/>
      <x:c r="L196" s="72" t="str"/>
      <x:c r="M196" s="72" t="str"/>
      <x:c r="N196" s="72" t="str"/>
      <x:c r="O196" s="72" t="str"/>
      <x:c r="P196" s="72" t="str">
        <x:v>Available</x:v>
      </x:c>
      <x:c r="Q196" s="72" t="n">
        <x:v>0</x:v>
      </x:c>
      <x:c r="R196" s="55" t="str">
        <x:f>IF($D196="","",ROUND(MAX(0,MIN(100,0.35*$J196+0.2*$K196+0.15*$L196+0.15*$M196+0.1*$N196+0.05*$O196-IF(OR($P196="Out",$P196="Suspended"),$Q196,IF($P196="Doubtful",$Q196*0.5,IF($P196="Limited",$Q196*0.25,0))))),2))</x:f>
      </x:c>
      <x:c r="S196" s="55" t="n">
        <x:f>IF($D196="",0,ROUND(IF(OR($P196="Out",$P196="Suspended"),$Q196*$H196,IF($P196="Doubtful",$Q196*$H196*0.5,IF($P196="Limited",$Q196*$H196*0.25,0))),2))</x:f>
        <x:v>0</x:v>
      </x:c>
      <x:c r="T196" s="55" t="str"/>
      <x:c r="U196" s="51" t="str"/>
    </x:row>
    <x:row r="197">
      <x:c r="A197" s="51" t="str">
        <x:v>Switzerland</x:v>
      </x:c>
      <x:c r="B197" s="51" t="str">
        <x:v>B</x:v>
      </x:c>
      <x:c r="C197" s="51" t="n">
        <x:v>11</x:v>
      </x:c>
      <x:c r="D197" s="71" t="str"/>
      <x:c r="E197" s="51" t="str">
        <x:v>DM</x:v>
      </x:c>
      <x:c r="F197" s="51" t="str">
        <x:v>Midfield</x:v>
      </x:c>
      <x:c r="G197" s="51" t="str">
        <x:v>Starter</x:v>
      </x:c>
      <x:c r="H197" s="55" t="n">
        <x:v>1</x:v>
      </x:c>
      <x:c r="I197" s="51" t="str"/>
      <x:c r="J197" s="72" t="str"/>
      <x:c r="K197" s="72" t="str"/>
      <x:c r="L197" s="72" t="str"/>
      <x:c r="M197" s="72" t="str"/>
      <x:c r="N197" s="72" t="str"/>
      <x:c r="O197" s="72" t="str"/>
      <x:c r="P197" s="72" t="str">
        <x:v>Available</x:v>
      </x:c>
      <x:c r="Q197" s="72" t="n">
        <x:v>0</x:v>
      </x:c>
      <x:c r="R197" s="55" t="str">
        <x:f>IF($D197="","",ROUND(MAX(0,MIN(100,0.35*$J197+0.2*$K197+0.15*$L197+0.15*$M197+0.1*$N197+0.05*$O197-IF(OR($P197="Out",$P197="Suspended"),$Q197,IF($P197="Doubtful",$Q197*0.5,IF($P197="Limited",$Q197*0.25,0))))),2))</x:f>
      </x:c>
      <x:c r="S197" s="55" t="n">
        <x:f>IF($D197="",0,ROUND(IF(OR($P197="Out",$P197="Suspended"),$Q197*$H197,IF($P197="Doubtful",$Q197*$H197*0.5,IF($P197="Limited",$Q197*$H197*0.25,0))),2))</x:f>
        <x:v>0</x:v>
      </x:c>
      <x:c r="T197" s="55" t="str"/>
      <x:c r="U197" s="51" t="str"/>
    </x:row>
    <x:row r="198">
      <x:c r="A198" s="51" t="str">
        <x:v>Switzerland</x:v>
      </x:c>
      <x:c r="B198" s="51" t="str">
        <x:v>B</x:v>
      </x:c>
      <x:c r="C198" s="51" t="n">
        <x:v>12</x:v>
      </x:c>
      <x:c r="D198" s="71" t="str"/>
      <x:c r="E198" s="51" t="str">
        <x:v>CM</x:v>
      </x:c>
      <x:c r="F198" s="51" t="str">
        <x:v>Midfield</x:v>
      </x:c>
      <x:c r="G198" s="51" t="str">
        <x:v>Rotation</x:v>
      </x:c>
      <x:c r="H198" s="55" t="n">
        <x:v>0.35</x:v>
      </x:c>
      <x:c r="I198" s="51" t="str"/>
      <x:c r="J198" s="72" t="str"/>
      <x:c r="K198" s="72" t="str"/>
      <x:c r="L198" s="72" t="str"/>
      <x:c r="M198" s="72" t="str"/>
      <x:c r="N198" s="72" t="str"/>
      <x:c r="O198" s="72" t="str"/>
      <x:c r="P198" s="72" t="str">
        <x:v>Available</x:v>
      </x:c>
      <x:c r="Q198" s="72" t="n">
        <x:v>0</x:v>
      </x:c>
      <x:c r="R198" s="55" t="str">
        <x:f>IF($D198="","",ROUND(MAX(0,MIN(100,0.35*$J198+0.2*$K198+0.15*$L198+0.15*$M198+0.1*$N198+0.05*$O198-IF(OR($P198="Out",$P198="Suspended"),$Q198,IF($P198="Doubtful",$Q198*0.5,IF($P198="Limited",$Q198*0.25,0))))),2))</x:f>
      </x:c>
      <x:c r="S198" s="55" t="n">
        <x:f>IF($D198="",0,ROUND(IF(OR($P198="Out",$P198="Suspended"),$Q198*$H198,IF($P198="Doubtful",$Q198*$H198*0.5,IF($P198="Limited",$Q198*$H198*0.25,0))),2))</x:f>
        <x:v>0</x:v>
      </x:c>
      <x:c r="T198" s="55" t="str"/>
      <x:c r="U198" s="51" t="str"/>
    </x:row>
    <x:row r="199">
      <x:c r="A199" s="51" t="str">
        <x:v>Switzerland</x:v>
      </x:c>
      <x:c r="B199" s="51" t="str">
        <x:v>B</x:v>
      </x:c>
      <x:c r="C199" s="51" t="n">
        <x:v>13</x:v>
      </x:c>
      <x:c r="D199" s="71" t="str"/>
      <x:c r="E199" s="51" t="str">
        <x:v>CM</x:v>
      </x:c>
      <x:c r="F199" s="51" t="str">
        <x:v>Midfield</x:v>
      </x:c>
      <x:c r="G199" s="51" t="str">
        <x:v>Rotation</x:v>
      </x:c>
      <x:c r="H199" s="55" t="n">
        <x:v>0.35</x:v>
      </x:c>
      <x:c r="I199" s="51" t="str"/>
      <x:c r="J199" s="72" t="str"/>
      <x:c r="K199" s="72" t="str"/>
      <x:c r="L199" s="72" t="str"/>
      <x:c r="M199" s="72" t="str"/>
      <x:c r="N199" s="72" t="str"/>
      <x:c r="O199" s="72" t="str"/>
      <x:c r="P199" s="72" t="str">
        <x:v>Available</x:v>
      </x:c>
      <x:c r="Q199" s="72" t="n">
        <x:v>0</x:v>
      </x:c>
      <x:c r="R199" s="55" t="str">
        <x:f>IF($D199="","",ROUND(MAX(0,MIN(100,0.35*$J199+0.2*$K199+0.15*$L199+0.15*$M199+0.1*$N199+0.05*$O199-IF(OR($P199="Out",$P199="Suspended"),$Q199,IF($P199="Doubtful",$Q199*0.5,IF($P199="Limited",$Q199*0.25,0))))),2))</x:f>
      </x:c>
      <x:c r="S199" s="55" t="n">
        <x:f>IF($D199="",0,ROUND(IF(OR($P199="Out",$P199="Suspended"),$Q199*$H199,IF($P199="Doubtful",$Q199*$H199*0.5,IF($P199="Limited",$Q199*$H199*0.25,0))),2))</x:f>
        <x:v>0</x:v>
      </x:c>
      <x:c r="T199" s="55" t="str"/>
      <x:c r="U199" s="51" t="str"/>
    </x:row>
    <x:row r="200">
      <x:c r="A200" s="51" t="str">
        <x:v>Switzerland</x:v>
      </x:c>
      <x:c r="B200" s="51" t="str">
        <x:v>B</x:v>
      </x:c>
      <x:c r="C200" s="51" t="n">
        <x:v>14</x:v>
      </x:c>
      <x:c r="D200" s="71" t="str"/>
      <x:c r="E200" s="51" t="str">
        <x:v>CM</x:v>
      </x:c>
      <x:c r="F200" s="51" t="str">
        <x:v>Midfield</x:v>
      </x:c>
      <x:c r="G200" s="51" t="str">
        <x:v>Rotation</x:v>
      </x:c>
      <x:c r="H200" s="55" t="n">
        <x:v>0.35</x:v>
      </x:c>
      <x:c r="I200" s="51" t="str"/>
      <x:c r="J200" s="72" t="str"/>
      <x:c r="K200" s="72" t="str"/>
      <x:c r="L200" s="72" t="str"/>
      <x:c r="M200" s="72" t="str"/>
      <x:c r="N200" s="72" t="str"/>
      <x:c r="O200" s="72" t="str"/>
      <x:c r="P200" s="72" t="str">
        <x:v>Available</x:v>
      </x:c>
      <x:c r="Q200" s="72" t="n">
        <x:v>0</x:v>
      </x:c>
      <x:c r="R200" s="55" t="str">
        <x:f>IF($D200="","",ROUND(MAX(0,MIN(100,0.35*$J200+0.2*$K200+0.15*$L200+0.15*$M200+0.1*$N200+0.05*$O200-IF(OR($P200="Out",$P200="Suspended"),$Q200,IF($P200="Doubtful",$Q200*0.5,IF($P200="Limited",$Q200*0.25,0))))),2))</x:f>
      </x:c>
      <x:c r="S200" s="55" t="n">
        <x:f>IF($D200="",0,ROUND(IF(OR($P200="Out",$P200="Suspended"),$Q200*$H200,IF($P200="Doubtful",$Q200*$H200*0.5,IF($P200="Limited",$Q200*$H200*0.25,0))),2))</x:f>
        <x:v>0</x:v>
      </x:c>
      <x:c r="T200" s="55" t="str"/>
      <x:c r="U200" s="51" t="str"/>
    </x:row>
    <x:row r="201">
      <x:c r="A201" s="51" t="str">
        <x:v>Switzerland</x:v>
      </x:c>
      <x:c r="B201" s="51" t="str">
        <x:v>B</x:v>
      </x:c>
      <x:c r="C201" s="51" t="n">
        <x:v>15</x:v>
      </x:c>
      <x:c r="D201" s="71" t="str"/>
      <x:c r="E201" s="51" t="str">
        <x:v>CM</x:v>
      </x:c>
      <x:c r="F201" s="51" t="str">
        <x:v>Midfield</x:v>
      </x:c>
      <x:c r="G201" s="51" t="str">
        <x:v>Rotation</x:v>
      </x:c>
      <x:c r="H201" s="55" t="n">
        <x:v>0.35</x:v>
      </x:c>
      <x:c r="I201" s="51" t="str"/>
      <x:c r="J201" s="72" t="str"/>
      <x:c r="K201" s="72" t="str"/>
      <x:c r="L201" s="72" t="str"/>
      <x:c r="M201" s="72" t="str"/>
      <x:c r="N201" s="72" t="str"/>
      <x:c r="O201" s="72" t="str"/>
      <x:c r="P201" s="72" t="str">
        <x:v>Available</x:v>
      </x:c>
      <x:c r="Q201" s="72" t="n">
        <x:v>0</x:v>
      </x:c>
      <x:c r="R201" s="55" t="str">
        <x:f>IF($D201="","",ROUND(MAX(0,MIN(100,0.35*$J201+0.2*$K201+0.15*$L201+0.15*$M201+0.1*$N201+0.05*$O201-IF(OR($P201="Out",$P201="Suspended"),$Q201,IF($P201="Doubtful",$Q201*0.5,IF($P201="Limited",$Q201*0.25,0))))),2))</x:f>
      </x:c>
      <x:c r="S201" s="55" t="n">
        <x:f>IF($D201="",0,ROUND(IF(OR($P201="Out",$P201="Suspended"),$Q201*$H201,IF($P201="Doubtful",$Q201*$H201*0.5,IF($P201="Limited",$Q201*$H201*0.25,0))),2))</x:f>
        <x:v>0</x:v>
      </x:c>
      <x:c r="T201" s="55" t="str"/>
      <x:c r="U201" s="51" t="str"/>
    </x:row>
    <x:row r="202">
      <x:c r="A202" s="51" t="str">
        <x:v>Switzerland</x:v>
      </x:c>
      <x:c r="B202" s="51" t="str">
        <x:v>B</x:v>
      </x:c>
      <x:c r="C202" s="51" t="n">
        <x:v>16</x:v>
      </x:c>
      <x:c r="D202" s="71" t="str"/>
      <x:c r="E202" s="51" t="str">
        <x:v>AM</x:v>
      </x:c>
      <x:c r="F202" s="51" t="str">
        <x:v>Attack</x:v>
      </x:c>
      <x:c r="G202" s="51" t="str">
        <x:v>Rotation</x:v>
      </x:c>
      <x:c r="H202" s="55" t="n">
        <x:v>0.35</x:v>
      </x:c>
      <x:c r="I202" s="51" t="str"/>
      <x:c r="J202" s="72" t="str"/>
      <x:c r="K202" s="72" t="str"/>
      <x:c r="L202" s="72" t="str"/>
      <x:c r="M202" s="72" t="str"/>
      <x:c r="N202" s="72" t="str"/>
      <x:c r="O202" s="72" t="str"/>
      <x:c r="P202" s="72" t="str">
        <x:v>Available</x:v>
      </x:c>
      <x:c r="Q202" s="72" t="n">
        <x:v>0</x:v>
      </x:c>
      <x:c r="R202" s="55" t="str">
        <x:f>IF($D202="","",ROUND(MAX(0,MIN(100,0.35*$J202+0.2*$K202+0.15*$L202+0.15*$M202+0.1*$N202+0.05*$O202-IF(OR($P202="Out",$P202="Suspended"),$Q202,IF($P202="Doubtful",$Q202*0.5,IF($P202="Limited",$Q202*0.25,0))))),2))</x:f>
      </x:c>
      <x:c r="S202" s="55" t="n">
        <x:f>IF($D202="",0,ROUND(IF(OR($P202="Out",$P202="Suspended"),$Q202*$H202,IF($P202="Doubtful",$Q202*$H202*0.5,IF($P202="Limited",$Q202*$H202*0.25,0))),2))</x:f>
        <x:v>0</x:v>
      </x:c>
      <x:c r="T202" s="55" t="str"/>
      <x:c r="U202" s="51" t="str"/>
    </x:row>
    <x:row r="203">
      <x:c r="A203" s="51" t="str">
        <x:v>Switzerland</x:v>
      </x:c>
      <x:c r="B203" s="51" t="str">
        <x:v>B</x:v>
      </x:c>
      <x:c r="C203" s="51" t="n">
        <x:v>17</x:v>
      </x:c>
      <x:c r="D203" s="71" t="str"/>
      <x:c r="E203" s="51" t="str">
        <x:v>AM</x:v>
      </x:c>
      <x:c r="F203" s="51" t="str">
        <x:v>Attack</x:v>
      </x:c>
      <x:c r="G203" s="51" t="str">
        <x:v>Rotation</x:v>
      </x:c>
      <x:c r="H203" s="55" t="n">
        <x:v>0.35</x:v>
      </x:c>
      <x:c r="I203" s="51" t="str"/>
      <x:c r="J203" s="72" t="str"/>
      <x:c r="K203" s="72" t="str"/>
      <x:c r="L203" s="72" t="str"/>
      <x:c r="M203" s="72" t="str"/>
      <x:c r="N203" s="72" t="str"/>
      <x:c r="O203" s="72" t="str"/>
      <x:c r="P203" s="72" t="str">
        <x:v>Available</x:v>
      </x:c>
      <x:c r="Q203" s="72" t="n">
        <x:v>0</x:v>
      </x:c>
      <x:c r="R203" s="55" t="str">
        <x:f>IF($D203="","",ROUND(MAX(0,MIN(100,0.35*$J203+0.2*$K203+0.15*$L203+0.15*$M203+0.1*$N203+0.05*$O203-IF(OR($P203="Out",$P203="Suspended"),$Q203,IF($P203="Doubtful",$Q203*0.5,IF($P203="Limited",$Q203*0.25,0))))),2))</x:f>
      </x:c>
      <x:c r="S203" s="55" t="n">
        <x:f>IF($D203="",0,ROUND(IF(OR($P203="Out",$P203="Suspended"),$Q203*$H203,IF($P203="Doubtful",$Q203*$H203*0.5,IF($P203="Limited",$Q203*$H203*0.25,0))),2))</x:f>
        <x:v>0</x:v>
      </x:c>
      <x:c r="T203" s="55" t="str"/>
      <x:c r="U203" s="51" t="str"/>
    </x:row>
    <x:row r="204">
      <x:c r="A204" s="51" t="str">
        <x:v>Switzerland</x:v>
      </x:c>
      <x:c r="B204" s="51" t="str">
        <x:v>B</x:v>
      </x:c>
      <x:c r="C204" s="51" t="n">
        <x:v>18</x:v>
      </x:c>
      <x:c r="D204" s="71" t="str"/>
      <x:c r="E204" s="51" t="str">
        <x:v>AM</x:v>
      </x:c>
      <x:c r="F204" s="51" t="str">
        <x:v>Attack</x:v>
      </x:c>
      <x:c r="G204" s="51" t="str">
        <x:v>Rotation</x:v>
      </x:c>
      <x:c r="H204" s="55" t="n">
        <x:v>0.35</x:v>
      </x:c>
      <x:c r="I204" s="51" t="str"/>
      <x:c r="J204" s="72" t="str"/>
      <x:c r="K204" s="72" t="str"/>
      <x:c r="L204" s="72" t="str"/>
      <x:c r="M204" s="72" t="str"/>
      <x:c r="N204" s="72" t="str"/>
      <x:c r="O204" s="72" t="str"/>
      <x:c r="P204" s="72" t="str">
        <x:v>Available</x:v>
      </x:c>
      <x:c r="Q204" s="72" t="n">
        <x:v>0</x:v>
      </x:c>
      <x:c r="R204" s="55" t="str">
        <x:f>IF($D204="","",ROUND(MAX(0,MIN(100,0.35*$J204+0.2*$K204+0.15*$L204+0.15*$M204+0.1*$N204+0.05*$O204-IF(OR($P204="Out",$P204="Suspended"),$Q204,IF($P204="Doubtful",$Q204*0.5,IF($P204="Limited",$Q204*0.25,0))))),2))</x:f>
      </x:c>
      <x:c r="S204" s="55" t="n">
        <x:f>IF($D204="",0,ROUND(IF(OR($P204="Out",$P204="Suspended"),$Q204*$H204,IF($P204="Doubtful",$Q204*$H204*0.5,IF($P204="Limited",$Q204*$H204*0.25,0))),2))</x:f>
        <x:v>0</x:v>
      </x:c>
      <x:c r="T204" s="55" t="str"/>
      <x:c r="U204" s="51" t="str"/>
    </x:row>
    <x:row r="205">
      <x:c r="A205" s="51" t="str">
        <x:v>Switzerland</x:v>
      </x:c>
      <x:c r="B205" s="51" t="str">
        <x:v>B</x:v>
      </x:c>
      <x:c r="C205" s="51" t="n">
        <x:v>19</x:v>
      </x:c>
      <x:c r="D205" s="71" t="str"/>
      <x:c r="E205" s="51" t="str">
        <x:v>AM</x:v>
      </x:c>
      <x:c r="F205" s="51" t="str">
        <x:v>Attack</x:v>
      </x:c>
      <x:c r="G205" s="51" t="str">
        <x:v>Rotation</x:v>
      </x:c>
      <x:c r="H205" s="55" t="n">
        <x:v>0.35</x:v>
      </x:c>
      <x:c r="I205" s="51" t="str"/>
      <x:c r="J205" s="72" t="str"/>
      <x:c r="K205" s="72" t="str"/>
      <x:c r="L205" s="72" t="str"/>
      <x:c r="M205" s="72" t="str"/>
      <x:c r="N205" s="72" t="str"/>
      <x:c r="O205" s="72" t="str"/>
      <x:c r="P205" s="72" t="str">
        <x:v>Available</x:v>
      </x:c>
      <x:c r="Q205" s="72" t="n">
        <x:v>0</x:v>
      </x:c>
      <x:c r="R205" s="55" t="str">
        <x:f>IF($D205="","",ROUND(MAX(0,MIN(100,0.35*$J205+0.2*$K205+0.15*$L205+0.15*$M205+0.1*$N205+0.05*$O205-IF(OR($P205="Out",$P205="Suspended"),$Q205,IF($P205="Doubtful",$Q205*0.5,IF($P205="Limited",$Q205*0.25,0))))),2))</x:f>
      </x:c>
      <x:c r="S205" s="55" t="n">
        <x:f>IF($D205="",0,ROUND(IF(OR($P205="Out",$P205="Suspended"),$Q205*$H205,IF($P205="Doubtful",$Q205*$H205*0.5,IF($P205="Limited",$Q205*$H205*0.25,0))),2))</x:f>
        <x:v>0</x:v>
      </x:c>
      <x:c r="T205" s="55" t="str"/>
      <x:c r="U205" s="51" t="str"/>
    </x:row>
    <x:row r="206">
      <x:c r="A206" s="51" t="str">
        <x:v>Switzerland</x:v>
      </x:c>
      <x:c r="B206" s="51" t="str">
        <x:v>B</x:v>
      </x:c>
      <x:c r="C206" s="51" t="n">
        <x:v>20</x:v>
      </x:c>
      <x:c r="D206" s="71" t="str"/>
      <x:c r="E206" s="51" t="str">
        <x:v>Winger</x:v>
      </x:c>
      <x:c r="F206" s="51" t="str">
        <x:v>Attack</x:v>
      </x:c>
      <x:c r="G206" s="51" t="str">
        <x:v>Rotation</x:v>
      </x:c>
      <x:c r="H206" s="55" t="n">
        <x:v>0.35</x:v>
      </x:c>
      <x:c r="I206" s="51" t="str"/>
      <x:c r="J206" s="72" t="str"/>
      <x:c r="K206" s="72" t="str"/>
      <x:c r="L206" s="72" t="str"/>
      <x:c r="M206" s="72" t="str"/>
      <x:c r="N206" s="72" t="str"/>
      <x:c r="O206" s="72" t="str"/>
      <x:c r="P206" s="72" t="str">
        <x:v>Available</x:v>
      </x:c>
      <x:c r="Q206" s="72" t="n">
        <x:v>0</x:v>
      </x:c>
      <x:c r="R206" s="55" t="str">
        <x:f>IF($D206="","",ROUND(MAX(0,MIN(100,0.35*$J206+0.2*$K206+0.15*$L206+0.15*$M206+0.1*$N206+0.05*$O206-IF(OR($P206="Out",$P206="Suspended"),$Q206,IF($P206="Doubtful",$Q206*0.5,IF($P206="Limited",$Q206*0.25,0))))),2))</x:f>
      </x:c>
      <x:c r="S206" s="55" t="n">
        <x:f>IF($D206="",0,ROUND(IF(OR($P206="Out",$P206="Suspended"),$Q206*$H206,IF($P206="Doubtful",$Q206*$H206*0.5,IF($P206="Limited",$Q206*$H206*0.25,0))),2))</x:f>
        <x:v>0</x:v>
      </x:c>
      <x:c r="T206" s="55" t="str"/>
      <x:c r="U206" s="51" t="str"/>
    </x:row>
    <x:row r="207">
      <x:c r="A207" s="51" t="str">
        <x:v>Switzerland</x:v>
      </x:c>
      <x:c r="B207" s="51" t="str">
        <x:v>B</x:v>
      </x:c>
      <x:c r="C207" s="51" t="n">
        <x:v>21</x:v>
      </x:c>
      <x:c r="D207" s="71" t="str"/>
      <x:c r="E207" s="51" t="str">
        <x:v>Winger</x:v>
      </x:c>
      <x:c r="F207" s="51" t="str">
        <x:v>Attack</x:v>
      </x:c>
      <x:c r="G207" s="51" t="str">
        <x:v>Depth</x:v>
      </x:c>
      <x:c r="H207" s="55" t="n">
        <x:v>0.1</x:v>
      </x:c>
      <x:c r="I207" s="51" t="str"/>
      <x:c r="J207" s="72" t="str"/>
      <x:c r="K207" s="72" t="str"/>
      <x:c r="L207" s="72" t="str"/>
      <x:c r="M207" s="72" t="str"/>
      <x:c r="N207" s="72" t="str"/>
      <x:c r="O207" s="72" t="str"/>
      <x:c r="P207" s="72" t="str">
        <x:v>Available</x:v>
      </x:c>
      <x:c r="Q207" s="72" t="n">
        <x:v>0</x:v>
      </x:c>
      <x:c r="R207" s="55" t="str">
        <x:f>IF($D207="","",ROUND(MAX(0,MIN(100,0.35*$J207+0.2*$K207+0.15*$L207+0.15*$M207+0.1*$N207+0.05*$O207-IF(OR($P207="Out",$P207="Suspended"),$Q207,IF($P207="Doubtful",$Q207*0.5,IF($P207="Limited",$Q207*0.25,0))))),2))</x:f>
      </x:c>
      <x:c r="S207" s="55" t="n">
        <x:f>IF($D207="",0,ROUND(IF(OR($P207="Out",$P207="Suspended"),$Q207*$H207,IF($P207="Doubtful",$Q207*$H207*0.5,IF($P207="Limited",$Q207*$H207*0.25,0))),2))</x:f>
        <x:v>0</x:v>
      </x:c>
      <x:c r="T207" s="55" t="str"/>
      <x:c r="U207" s="51" t="str"/>
    </x:row>
    <x:row r="208">
      <x:c r="A208" s="51" t="str">
        <x:v>Switzerland</x:v>
      </x:c>
      <x:c r="B208" s="51" t="str">
        <x:v>B</x:v>
      </x:c>
      <x:c r="C208" s="51" t="n">
        <x:v>22</x:v>
      </x:c>
      <x:c r="D208" s="71" t="str"/>
      <x:c r="E208" s="51" t="str">
        <x:v>Winger</x:v>
      </x:c>
      <x:c r="F208" s="51" t="str">
        <x:v>Attack</x:v>
      </x:c>
      <x:c r="G208" s="51" t="str">
        <x:v>Depth</x:v>
      </x:c>
      <x:c r="H208" s="55" t="n">
        <x:v>0.1</x:v>
      </x:c>
      <x:c r="I208" s="51" t="str"/>
      <x:c r="J208" s="72" t="str"/>
      <x:c r="K208" s="72" t="str"/>
      <x:c r="L208" s="72" t="str"/>
      <x:c r="M208" s="72" t="str"/>
      <x:c r="N208" s="72" t="str"/>
      <x:c r="O208" s="72" t="str"/>
      <x:c r="P208" s="72" t="str">
        <x:v>Available</x:v>
      </x:c>
      <x:c r="Q208" s="72" t="n">
        <x:v>0</x:v>
      </x:c>
      <x:c r="R208" s="55" t="str">
        <x:f>IF($D208="","",ROUND(MAX(0,MIN(100,0.35*$J208+0.2*$K208+0.15*$L208+0.15*$M208+0.1*$N208+0.05*$O208-IF(OR($P208="Out",$P208="Suspended"),$Q208,IF($P208="Doubtful",$Q208*0.5,IF($P208="Limited",$Q208*0.25,0))))),2))</x:f>
      </x:c>
      <x:c r="S208" s="55" t="n">
        <x:f>IF($D208="",0,ROUND(IF(OR($P208="Out",$P208="Suspended"),$Q208*$H208,IF($P208="Doubtful",$Q208*$H208*0.5,IF($P208="Limited",$Q208*$H208*0.25,0))),2))</x:f>
        <x:v>0</x:v>
      </x:c>
      <x:c r="T208" s="55" t="str"/>
      <x:c r="U208" s="51" t="str"/>
    </x:row>
    <x:row r="209">
      <x:c r="A209" s="51" t="str">
        <x:v>Switzerland</x:v>
      </x:c>
      <x:c r="B209" s="51" t="str">
        <x:v>B</x:v>
      </x:c>
      <x:c r="C209" s="51" t="n">
        <x:v>23</x:v>
      </x:c>
      <x:c r="D209" s="71" t="str"/>
      <x:c r="E209" s="51" t="str">
        <x:v>Winger</x:v>
      </x:c>
      <x:c r="F209" s="51" t="str">
        <x:v>Attack</x:v>
      </x:c>
      <x:c r="G209" s="51" t="str">
        <x:v>Depth</x:v>
      </x:c>
      <x:c r="H209" s="55" t="n">
        <x:v>0.1</x:v>
      </x:c>
      <x:c r="I209" s="51" t="str"/>
      <x:c r="J209" s="72" t="str"/>
      <x:c r="K209" s="72" t="str"/>
      <x:c r="L209" s="72" t="str"/>
      <x:c r="M209" s="72" t="str"/>
      <x:c r="N209" s="72" t="str"/>
      <x:c r="O209" s="72" t="str"/>
      <x:c r="P209" s="72" t="str">
        <x:v>Available</x:v>
      </x:c>
      <x:c r="Q209" s="72" t="n">
        <x:v>0</x:v>
      </x:c>
      <x:c r="R209" s="55" t="str">
        <x:f>IF($D209="","",ROUND(MAX(0,MIN(100,0.35*$J209+0.2*$K209+0.15*$L209+0.15*$M209+0.1*$N209+0.05*$O209-IF(OR($P209="Out",$P209="Suspended"),$Q209,IF($P209="Doubtful",$Q209*0.5,IF($P209="Limited",$Q209*0.25,0))))),2))</x:f>
      </x:c>
      <x:c r="S209" s="55" t="n">
        <x:f>IF($D209="",0,ROUND(IF(OR($P209="Out",$P209="Suspended"),$Q209*$H209,IF($P209="Doubtful",$Q209*$H209*0.5,IF($P209="Limited",$Q209*$H209*0.25,0))),2))</x:f>
        <x:v>0</x:v>
      </x:c>
      <x:c r="T209" s="55" t="str"/>
      <x:c r="U209" s="51" t="str"/>
    </x:row>
    <x:row r="210">
      <x:c r="A210" s="51" t="str">
        <x:v>Switzerland</x:v>
      </x:c>
      <x:c r="B210" s="51" t="str">
        <x:v>B</x:v>
      </x:c>
      <x:c r="C210" s="51" t="n">
        <x:v>24</x:v>
      </x:c>
      <x:c r="D210" s="71" t="str"/>
      <x:c r="E210" s="51" t="str">
        <x:v>ST</x:v>
      </x:c>
      <x:c r="F210" s="51" t="str">
        <x:v>Attack</x:v>
      </x:c>
      <x:c r="G210" s="51" t="str">
        <x:v>Depth</x:v>
      </x:c>
      <x:c r="H210" s="55" t="n">
        <x:v>0.1</x:v>
      </x:c>
      <x:c r="I210" s="51" t="str"/>
      <x:c r="J210" s="72" t="str"/>
      <x:c r="K210" s="72" t="str"/>
      <x:c r="L210" s="72" t="str"/>
      <x:c r="M210" s="72" t="str"/>
      <x:c r="N210" s="72" t="str"/>
      <x:c r="O210" s="72" t="str"/>
      <x:c r="P210" s="72" t="str">
        <x:v>Available</x:v>
      </x:c>
      <x:c r="Q210" s="72" t="n">
        <x:v>0</x:v>
      </x:c>
      <x:c r="R210" s="55" t="str">
        <x:f>IF($D210="","",ROUND(MAX(0,MIN(100,0.35*$J210+0.2*$K210+0.15*$L210+0.15*$M210+0.1*$N210+0.05*$O210-IF(OR($P210="Out",$P210="Suspended"),$Q210,IF($P210="Doubtful",$Q210*0.5,IF($P210="Limited",$Q210*0.25,0))))),2))</x:f>
      </x:c>
      <x:c r="S210" s="55" t="n">
        <x:f>IF($D210="",0,ROUND(IF(OR($P210="Out",$P210="Suspended"),$Q210*$H210,IF($P210="Doubtful",$Q210*$H210*0.5,IF($P210="Limited",$Q210*$H210*0.25,0))),2))</x:f>
        <x:v>0</x:v>
      </x:c>
      <x:c r="T210" s="55" t="str"/>
      <x:c r="U210" s="51" t="str"/>
    </x:row>
    <x:row r="211">
      <x:c r="A211" s="51" t="str">
        <x:v>Switzerland</x:v>
      </x:c>
      <x:c r="B211" s="51" t="str">
        <x:v>B</x:v>
      </x:c>
      <x:c r="C211" s="51" t="n">
        <x:v>25</x:v>
      </x:c>
      <x:c r="D211" s="71" t="str"/>
      <x:c r="E211" s="51" t="str">
        <x:v>ST</x:v>
      </x:c>
      <x:c r="F211" s="51" t="str">
        <x:v>Attack</x:v>
      </x:c>
      <x:c r="G211" s="51" t="str">
        <x:v>Depth</x:v>
      </x:c>
      <x:c r="H211" s="55" t="n">
        <x:v>0.1</x:v>
      </x:c>
      <x:c r="I211" s="51" t="str"/>
      <x:c r="J211" s="72" t="str"/>
      <x:c r="K211" s="72" t="str"/>
      <x:c r="L211" s="72" t="str"/>
      <x:c r="M211" s="72" t="str"/>
      <x:c r="N211" s="72" t="str"/>
      <x:c r="O211" s="72" t="str"/>
      <x:c r="P211" s="72" t="str">
        <x:v>Available</x:v>
      </x:c>
      <x:c r="Q211" s="72" t="n">
        <x:v>0</x:v>
      </x:c>
      <x:c r="R211" s="55" t="str">
        <x:f>IF($D211="","",ROUND(MAX(0,MIN(100,0.35*$J211+0.2*$K211+0.15*$L211+0.15*$M211+0.1*$N211+0.05*$O211-IF(OR($P211="Out",$P211="Suspended"),$Q211,IF($P211="Doubtful",$Q211*0.5,IF($P211="Limited",$Q211*0.25,0))))),2))</x:f>
      </x:c>
      <x:c r="S211" s="55" t="n">
        <x:f>IF($D211="",0,ROUND(IF(OR($P211="Out",$P211="Suspended"),$Q211*$H211,IF($P211="Doubtful",$Q211*$H211*0.5,IF($P211="Limited",$Q211*$H211*0.25,0))),2))</x:f>
        <x:v>0</x:v>
      </x:c>
      <x:c r="T211" s="55" t="str"/>
      <x:c r="U211" s="51" t="str"/>
    </x:row>
    <x:row r="212">
      <x:c r="A212" s="51" t="str">
        <x:v>Switzerland</x:v>
      </x:c>
      <x:c r="B212" s="51" t="str">
        <x:v>B</x:v>
      </x:c>
      <x:c r="C212" s="51" t="n">
        <x:v>26</x:v>
      </x:c>
      <x:c r="D212" s="71" t="str"/>
      <x:c r="E212" s="51" t="str">
        <x:v>ST</x:v>
      </x:c>
      <x:c r="F212" s="51" t="str">
        <x:v>Attack</x:v>
      </x:c>
      <x:c r="G212" s="51" t="str">
        <x:v>Depth</x:v>
      </x:c>
      <x:c r="H212" s="55" t="n">
        <x:v>0.1</x:v>
      </x:c>
      <x:c r="I212" s="51" t="str"/>
      <x:c r="J212" s="72" t="str"/>
      <x:c r="K212" s="72" t="str"/>
      <x:c r="L212" s="72" t="str"/>
      <x:c r="M212" s="72" t="str"/>
      <x:c r="N212" s="72" t="str"/>
      <x:c r="O212" s="72" t="str"/>
      <x:c r="P212" s="72" t="str">
        <x:v>Available</x:v>
      </x:c>
      <x:c r="Q212" s="72" t="n">
        <x:v>0</x:v>
      </x:c>
      <x:c r="R212" s="55" t="str">
        <x:f>IF($D212="","",ROUND(MAX(0,MIN(100,0.35*$J212+0.2*$K212+0.15*$L212+0.15*$M212+0.1*$N212+0.05*$O212-IF(OR($P212="Out",$P212="Suspended"),$Q212,IF($P212="Doubtful",$Q212*0.5,IF($P212="Limited",$Q212*0.25,0))))),2))</x:f>
      </x:c>
      <x:c r="S212" s="55" t="n">
        <x:f>IF($D212="",0,ROUND(IF(OR($P212="Out",$P212="Suspended"),$Q212*$H212,IF($P212="Doubtful",$Q212*$H212*0.5,IF($P212="Limited",$Q212*$H212*0.25,0))),2))</x:f>
        <x:v>0</x:v>
      </x:c>
      <x:c r="T212" s="55" t="str"/>
      <x:c r="U212" s="51" t="str"/>
    </x:row>
    <x:row r="213">
      <x:c r="A213" s="51" t="str">
        <x:v>Brazil</x:v>
      </x:c>
      <x:c r="B213" s="51" t="str">
        <x:v>C</x:v>
      </x:c>
      <x:c r="C213" s="51" t="n">
        <x:v>1</x:v>
      </x:c>
      <x:c r="D213" s="71" t="str"/>
      <x:c r="E213" s="51" t="str">
        <x:v>GK</x:v>
      </x:c>
      <x:c r="F213" s="51" t="str">
        <x:v>GK</x:v>
      </x:c>
      <x:c r="G213" s="51" t="str">
        <x:v>Starter</x:v>
      </x:c>
      <x:c r="H213" s="55" t="n">
        <x:v>1</x:v>
      </x:c>
      <x:c r="I213" s="51" t="str"/>
      <x:c r="J213" s="72" t="str"/>
      <x:c r="K213" s="72" t="str"/>
      <x:c r="L213" s="72" t="str"/>
      <x:c r="M213" s="72" t="str"/>
      <x:c r="N213" s="72" t="str"/>
      <x:c r="O213" s="72" t="str"/>
      <x:c r="P213" s="72" t="str">
        <x:v>Available</x:v>
      </x:c>
      <x:c r="Q213" s="72" t="n">
        <x:v>0</x:v>
      </x:c>
      <x:c r="R213" s="55" t="str">
        <x:f>IF($D213="","",ROUND(MAX(0,MIN(100,0.35*$J213+0.2*$K213+0.15*$L213+0.15*$M213+0.1*$N213+0.05*$O213-IF(OR($P213="Out",$P213="Suspended"),$Q213,IF($P213="Doubtful",$Q213*0.5,IF($P213="Limited",$Q213*0.25,0))))),2))</x:f>
      </x:c>
      <x:c r="S213" s="55" t="n">
        <x:f>IF($D213="",0,ROUND(IF(OR($P213="Out",$P213="Suspended"),$Q213*$H213,IF($P213="Doubtful",$Q213*$H213*0.5,IF($P213="Limited",$Q213*$H213*0.25,0))),2))</x:f>
        <x:v>0</x:v>
      </x:c>
      <x:c r="T213" s="55" t="str"/>
      <x:c r="U213" s="51" t="str"/>
    </x:row>
    <x:row r="214">
      <x:c r="A214" s="51" t="str">
        <x:v>Brazil</x:v>
      </x:c>
      <x:c r="B214" s="51" t="str">
        <x:v>C</x:v>
      </x:c>
      <x:c r="C214" s="51" t="n">
        <x:v>2</x:v>
      </x:c>
      <x:c r="D214" s="71" t="str"/>
      <x:c r="E214" s="51" t="str">
        <x:v>GK</x:v>
      </x:c>
      <x:c r="F214" s="51" t="str">
        <x:v>GK</x:v>
      </x:c>
      <x:c r="G214" s="51" t="str">
        <x:v>Starter</x:v>
      </x:c>
      <x:c r="H214" s="55" t="n">
        <x:v>1</x:v>
      </x:c>
      <x:c r="I214" s="51" t="str"/>
      <x:c r="J214" s="72" t="str"/>
      <x:c r="K214" s="72" t="str"/>
      <x:c r="L214" s="72" t="str"/>
      <x:c r="M214" s="72" t="str"/>
      <x:c r="N214" s="72" t="str"/>
      <x:c r="O214" s="72" t="str"/>
      <x:c r="P214" s="72" t="str">
        <x:v>Available</x:v>
      </x:c>
      <x:c r="Q214" s="72" t="n">
        <x:v>0</x:v>
      </x:c>
      <x:c r="R214" s="55" t="str">
        <x:f>IF($D214="","",ROUND(MAX(0,MIN(100,0.35*$J214+0.2*$K214+0.15*$L214+0.15*$M214+0.1*$N214+0.05*$O214-IF(OR($P214="Out",$P214="Suspended"),$Q214,IF($P214="Doubtful",$Q214*0.5,IF($P214="Limited",$Q214*0.25,0))))),2))</x:f>
      </x:c>
      <x:c r="S214" s="55" t="n">
        <x:f>IF($D214="",0,ROUND(IF(OR($P214="Out",$P214="Suspended"),$Q214*$H214,IF($P214="Doubtful",$Q214*$H214*0.5,IF($P214="Limited",$Q214*$H214*0.25,0))),2))</x:f>
        <x:v>0</x:v>
      </x:c>
      <x:c r="T214" s="55" t="str"/>
      <x:c r="U214" s="51" t="str"/>
    </x:row>
    <x:row r="215">
      <x:c r="A215" s="51" t="str">
        <x:v>Brazil</x:v>
      </x:c>
      <x:c r="B215" s="51" t="str">
        <x:v>C</x:v>
      </x:c>
      <x:c r="C215" s="51" t="n">
        <x:v>3</x:v>
      </x:c>
      <x:c r="D215" s="71" t="str"/>
      <x:c r="E215" s="51" t="str">
        <x:v>GK</x:v>
      </x:c>
      <x:c r="F215" s="51" t="str">
        <x:v>GK</x:v>
      </x:c>
      <x:c r="G215" s="51" t="str">
        <x:v>Starter</x:v>
      </x:c>
      <x:c r="H215" s="55" t="n">
        <x:v>1</x:v>
      </x:c>
      <x:c r="I215" s="51" t="str"/>
      <x:c r="J215" s="72" t="str"/>
      <x:c r="K215" s="72" t="str"/>
      <x:c r="L215" s="72" t="str"/>
      <x:c r="M215" s="72" t="str"/>
      <x:c r="N215" s="72" t="str"/>
      <x:c r="O215" s="72" t="str"/>
      <x:c r="P215" s="72" t="str">
        <x:v>Available</x:v>
      </x:c>
      <x:c r="Q215" s="72" t="n">
        <x:v>0</x:v>
      </x:c>
      <x:c r="R215" s="55" t="str">
        <x:f>IF($D215="","",ROUND(MAX(0,MIN(100,0.35*$J215+0.2*$K215+0.15*$L215+0.15*$M215+0.1*$N215+0.05*$O215-IF(OR($P215="Out",$P215="Suspended"),$Q215,IF($P215="Doubtful",$Q215*0.5,IF($P215="Limited",$Q215*0.25,0))))),2))</x:f>
      </x:c>
      <x:c r="S215" s="55" t="n">
        <x:f>IF($D215="",0,ROUND(IF(OR($P215="Out",$P215="Suspended"),$Q215*$H215,IF($P215="Doubtful",$Q215*$H215*0.5,IF($P215="Limited",$Q215*$H215*0.25,0))),2))</x:f>
        <x:v>0</x:v>
      </x:c>
      <x:c r="T215" s="55" t="str"/>
      <x:c r="U215" s="51" t="str"/>
    </x:row>
    <x:row r="216">
      <x:c r="A216" s="51" t="str">
        <x:v>Brazil</x:v>
      </x:c>
      <x:c r="B216" s="51" t="str">
        <x:v>C</x:v>
      </x:c>
      <x:c r="C216" s="51" t="n">
        <x:v>4</x:v>
      </x:c>
      <x:c r="D216" s="71" t="str"/>
      <x:c r="E216" s="51" t="str">
        <x:v>CB</x:v>
      </x:c>
      <x:c r="F216" s="51" t="str">
        <x:v>Defence</x:v>
      </x:c>
      <x:c r="G216" s="51" t="str">
        <x:v>Starter</x:v>
      </x:c>
      <x:c r="H216" s="55" t="n">
        <x:v>1</x:v>
      </x:c>
      <x:c r="I216" s="51" t="str"/>
      <x:c r="J216" s="72" t="str"/>
      <x:c r="K216" s="72" t="str"/>
      <x:c r="L216" s="72" t="str"/>
      <x:c r="M216" s="72" t="str"/>
      <x:c r="N216" s="72" t="str"/>
      <x:c r="O216" s="72" t="str"/>
      <x:c r="P216" s="72" t="str">
        <x:v>Available</x:v>
      </x:c>
      <x:c r="Q216" s="72" t="n">
        <x:v>0</x:v>
      </x:c>
      <x:c r="R216" s="55" t="str">
        <x:f>IF($D216="","",ROUND(MAX(0,MIN(100,0.35*$J216+0.2*$K216+0.15*$L216+0.15*$M216+0.1*$N216+0.05*$O216-IF(OR($P216="Out",$P216="Suspended"),$Q216,IF($P216="Doubtful",$Q216*0.5,IF($P216="Limited",$Q216*0.25,0))))),2))</x:f>
      </x:c>
      <x:c r="S216" s="55" t="n">
        <x:f>IF($D216="",0,ROUND(IF(OR($P216="Out",$P216="Suspended"),$Q216*$H216,IF($P216="Doubtful",$Q216*$H216*0.5,IF($P216="Limited",$Q216*$H216*0.25,0))),2))</x:f>
        <x:v>0</x:v>
      </x:c>
      <x:c r="T216" s="55" t="str"/>
      <x:c r="U216" s="51" t="str"/>
    </x:row>
    <x:row r="217">
      <x:c r="A217" s="51" t="str">
        <x:v>Brazil</x:v>
      </x:c>
      <x:c r="B217" s="51" t="str">
        <x:v>C</x:v>
      </x:c>
      <x:c r="C217" s="51" t="n">
        <x:v>5</x:v>
      </x:c>
      <x:c r="D217" s="71" t="str"/>
      <x:c r="E217" s="51" t="str">
        <x:v>CB</x:v>
      </x:c>
      <x:c r="F217" s="51" t="str">
        <x:v>Defence</x:v>
      </x:c>
      <x:c r="G217" s="51" t="str">
        <x:v>Starter</x:v>
      </x:c>
      <x:c r="H217" s="55" t="n">
        <x:v>1</x:v>
      </x:c>
      <x:c r="I217" s="51" t="str"/>
      <x:c r="J217" s="72" t="str"/>
      <x:c r="K217" s="72" t="str"/>
      <x:c r="L217" s="72" t="str"/>
      <x:c r="M217" s="72" t="str"/>
      <x:c r="N217" s="72" t="str"/>
      <x:c r="O217" s="72" t="str"/>
      <x:c r="P217" s="72" t="str">
        <x:v>Available</x:v>
      </x:c>
      <x:c r="Q217" s="72" t="n">
        <x:v>0</x:v>
      </x:c>
      <x:c r="R217" s="55" t="str">
        <x:f>IF($D217="","",ROUND(MAX(0,MIN(100,0.35*$J217+0.2*$K217+0.15*$L217+0.15*$M217+0.1*$N217+0.05*$O217-IF(OR($P217="Out",$P217="Suspended"),$Q217,IF($P217="Doubtful",$Q217*0.5,IF($P217="Limited",$Q217*0.25,0))))),2))</x:f>
      </x:c>
      <x:c r="S217" s="55" t="n">
        <x:f>IF($D217="",0,ROUND(IF(OR($P217="Out",$P217="Suspended"),$Q217*$H217,IF($P217="Doubtful",$Q217*$H217*0.5,IF($P217="Limited",$Q217*$H217*0.25,0))),2))</x:f>
        <x:v>0</x:v>
      </x:c>
      <x:c r="T217" s="55" t="str"/>
      <x:c r="U217" s="51" t="str"/>
    </x:row>
    <x:row r="218">
      <x:c r="A218" s="51" t="str">
        <x:v>Brazil</x:v>
      </x:c>
      <x:c r="B218" s="51" t="str">
        <x:v>C</x:v>
      </x:c>
      <x:c r="C218" s="51" t="n">
        <x:v>6</x:v>
      </x:c>
      <x:c r="D218" s="71" t="str"/>
      <x:c r="E218" s="51" t="str">
        <x:v>CB</x:v>
      </x:c>
      <x:c r="F218" s="51" t="str">
        <x:v>Defence</x:v>
      </x:c>
      <x:c r="G218" s="51" t="str">
        <x:v>Starter</x:v>
      </x:c>
      <x:c r="H218" s="55" t="n">
        <x:v>1</x:v>
      </x:c>
      <x:c r="I218" s="51" t="str"/>
      <x:c r="J218" s="72" t="str"/>
      <x:c r="K218" s="72" t="str"/>
      <x:c r="L218" s="72" t="str"/>
      <x:c r="M218" s="72" t="str"/>
      <x:c r="N218" s="72" t="str"/>
      <x:c r="O218" s="72" t="str"/>
      <x:c r="P218" s="72" t="str">
        <x:v>Available</x:v>
      </x:c>
      <x:c r="Q218" s="72" t="n">
        <x:v>0</x:v>
      </x:c>
      <x:c r="R218" s="55" t="str">
        <x:f>IF($D218="","",ROUND(MAX(0,MIN(100,0.35*$J218+0.2*$K218+0.15*$L218+0.15*$M218+0.1*$N218+0.05*$O218-IF(OR($P218="Out",$P218="Suspended"),$Q218,IF($P218="Doubtful",$Q218*0.5,IF($P218="Limited",$Q218*0.25,0))))),2))</x:f>
      </x:c>
      <x:c r="S218" s="55" t="n">
        <x:f>IF($D218="",0,ROUND(IF(OR($P218="Out",$P218="Suspended"),$Q218*$H218,IF($P218="Doubtful",$Q218*$H218*0.5,IF($P218="Limited",$Q218*$H218*0.25,0))),2))</x:f>
        <x:v>0</x:v>
      </x:c>
      <x:c r="T218" s="55" t="str"/>
      <x:c r="U218" s="51" t="str"/>
    </x:row>
    <x:row r="219">
      <x:c r="A219" s="51" t="str">
        <x:v>Brazil</x:v>
      </x:c>
      <x:c r="B219" s="51" t="str">
        <x:v>C</x:v>
      </x:c>
      <x:c r="C219" s="51" t="n">
        <x:v>7</x:v>
      </x:c>
      <x:c r="D219" s="71" t="str"/>
      <x:c r="E219" s="51" t="str">
        <x:v>FB</x:v>
      </x:c>
      <x:c r="F219" s="51" t="str">
        <x:v>Defence</x:v>
      </x:c>
      <x:c r="G219" s="51" t="str">
        <x:v>Starter</x:v>
      </x:c>
      <x:c r="H219" s="55" t="n">
        <x:v>1</x:v>
      </x:c>
      <x:c r="I219" s="51" t="str"/>
      <x:c r="J219" s="72" t="str"/>
      <x:c r="K219" s="72" t="str"/>
      <x:c r="L219" s="72" t="str"/>
      <x:c r="M219" s="72" t="str"/>
      <x:c r="N219" s="72" t="str"/>
      <x:c r="O219" s="72" t="str"/>
      <x:c r="P219" s="72" t="str">
        <x:v>Available</x:v>
      </x:c>
      <x:c r="Q219" s="72" t="n">
        <x:v>0</x:v>
      </x:c>
      <x:c r="R219" s="55" t="str">
        <x:f>IF($D219="","",ROUND(MAX(0,MIN(100,0.35*$J219+0.2*$K219+0.15*$L219+0.15*$M219+0.1*$N219+0.05*$O219-IF(OR($P219="Out",$P219="Suspended"),$Q219,IF($P219="Doubtful",$Q219*0.5,IF($P219="Limited",$Q219*0.25,0))))),2))</x:f>
      </x:c>
      <x:c r="S219" s="55" t="n">
        <x:f>IF($D219="",0,ROUND(IF(OR($P219="Out",$P219="Suspended"),$Q219*$H219,IF($P219="Doubtful",$Q219*$H219*0.5,IF($P219="Limited",$Q219*$H219*0.25,0))),2))</x:f>
        <x:v>0</x:v>
      </x:c>
      <x:c r="T219" s="55" t="str"/>
      <x:c r="U219" s="51" t="str"/>
    </x:row>
    <x:row r="220">
      <x:c r="A220" s="51" t="str">
        <x:v>Brazil</x:v>
      </x:c>
      <x:c r="B220" s="51" t="str">
        <x:v>C</x:v>
      </x:c>
      <x:c r="C220" s="51" t="n">
        <x:v>8</x:v>
      </x:c>
      <x:c r="D220" s="71" t="str"/>
      <x:c r="E220" s="51" t="str">
        <x:v>FB</x:v>
      </x:c>
      <x:c r="F220" s="51" t="str">
        <x:v>Defence</x:v>
      </x:c>
      <x:c r="G220" s="51" t="str">
        <x:v>Starter</x:v>
      </x:c>
      <x:c r="H220" s="55" t="n">
        <x:v>1</x:v>
      </x:c>
      <x:c r="I220" s="51" t="str"/>
      <x:c r="J220" s="72" t="str"/>
      <x:c r="K220" s="72" t="str"/>
      <x:c r="L220" s="72" t="str"/>
      <x:c r="M220" s="72" t="str"/>
      <x:c r="N220" s="72" t="str"/>
      <x:c r="O220" s="72" t="str"/>
      <x:c r="P220" s="72" t="str">
        <x:v>Available</x:v>
      </x:c>
      <x:c r="Q220" s="72" t="n">
        <x:v>0</x:v>
      </x:c>
      <x:c r="R220" s="55" t="str">
        <x:f>IF($D220="","",ROUND(MAX(0,MIN(100,0.35*$J220+0.2*$K220+0.15*$L220+0.15*$M220+0.1*$N220+0.05*$O220-IF(OR($P220="Out",$P220="Suspended"),$Q220,IF($P220="Doubtful",$Q220*0.5,IF($P220="Limited",$Q220*0.25,0))))),2))</x:f>
      </x:c>
      <x:c r="S220" s="55" t="n">
        <x:f>IF($D220="",0,ROUND(IF(OR($P220="Out",$P220="Suspended"),$Q220*$H220,IF($P220="Doubtful",$Q220*$H220*0.5,IF($P220="Limited",$Q220*$H220*0.25,0))),2))</x:f>
        <x:v>0</x:v>
      </x:c>
      <x:c r="T220" s="55" t="str"/>
      <x:c r="U220" s="51" t="str"/>
    </x:row>
    <x:row r="221">
      <x:c r="A221" s="51" t="str">
        <x:v>Brazil</x:v>
      </x:c>
      <x:c r="B221" s="51" t="str">
        <x:v>C</x:v>
      </x:c>
      <x:c r="C221" s="51" t="n">
        <x:v>9</x:v>
      </x:c>
      <x:c r="D221" s="71" t="str"/>
      <x:c r="E221" s="51" t="str">
        <x:v>DM</x:v>
      </x:c>
      <x:c r="F221" s="51" t="str">
        <x:v>Midfield</x:v>
      </x:c>
      <x:c r="G221" s="51" t="str">
        <x:v>Starter</x:v>
      </x:c>
      <x:c r="H221" s="55" t="n">
        <x:v>1</x:v>
      </x:c>
      <x:c r="I221" s="51" t="str"/>
      <x:c r="J221" s="72" t="str"/>
      <x:c r="K221" s="72" t="str"/>
      <x:c r="L221" s="72" t="str"/>
      <x:c r="M221" s="72" t="str"/>
      <x:c r="N221" s="72" t="str"/>
      <x:c r="O221" s="72" t="str"/>
      <x:c r="P221" s="72" t="str">
        <x:v>Available</x:v>
      </x:c>
      <x:c r="Q221" s="72" t="n">
        <x:v>0</x:v>
      </x:c>
      <x:c r="R221" s="55" t="str">
        <x:f>IF($D221="","",ROUND(MAX(0,MIN(100,0.35*$J221+0.2*$K221+0.15*$L221+0.15*$M221+0.1*$N221+0.05*$O221-IF(OR($P221="Out",$P221="Suspended"),$Q221,IF($P221="Doubtful",$Q221*0.5,IF($P221="Limited",$Q221*0.25,0))))),2))</x:f>
      </x:c>
      <x:c r="S221" s="55" t="n">
        <x:f>IF($D221="",0,ROUND(IF(OR($P221="Out",$P221="Suspended"),$Q221*$H221,IF($P221="Doubtful",$Q221*$H221*0.5,IF($P221="Limited",$Q221*$H221*0.25,0))),2))</x:f>
        <x:v>0</x:v>
      </x:c>
      <x:c r="T221" s="55" t="str"/>
      <x:c r="U221" s="51" t="str"/>
    </x:row>
    <x:row r="222">
      <x:c r="A222" s="51" t="str">
        <x:v>Brazil</x:v>
      </x:c>
      <x:c r="B222" s="51" t="str">
        <x:v>C</x:v>
      </x:c>
      <x:c r="C222" s="51" t="n">
        <x:v>10</x:v>
      </x:c>
      <x:c r="D222" s="71" t="str"/>
      <x:c r="E222" s="51" t="str">
        <x:v>DM</x:v>
      </x:c>
      <x:c r="F222" s="51" t="str">
        <x:v>Midfield</x:v>
      </x:c>
      <x:c r="G222" s="51" t="str">
        <x:v>Starter</x:v>
      </x:c>
      <x:c r="H222" s="55" t="n">
        <x:v>1</x:v>
      </x:c>
      <x:c r="I222" s="51" t="str"/>
      <x:c r="J222" s="72" t="str"/>
      <x:c r="K222" s="72" t="str"/>
      <x:c r="L222" s="72" t="str"/>
      <x:c r="M222" s="72" t="str"/>
      <x:c r="N222" s="72" t="str"/>
      <x:c r="O222" s="72" t="str"/>
      <x:c r="P222" s="72" t="str">
        <x:v>Available</x:v>
      </x:c>
      <x:c r="Q222" s="72" t="n">
        <x:v>0</x:v>
      </x:c>
      <x:c r="R222" s="55" t="str">
        <x:f>IF($D222="","",ROUND(MAX(0,MIN(100,0.35*$J222+0.2*$K222+0.15*$L222+0.15*$M222+0.1*$N222+0.05*$O222-IF(OR($P222="Out",$P222="Suspended"),$Q222,IF($P222="Doubtful",$Q222*0.5,IF($P222="Limited",$Q222*0.25,0))))),2))</x:f>
      </x:c>
      <x:c r="S222" s="55" t="n">
        <x:f>IF($D222="",0,ROUND(IF(OR($P222="Out",$P222="Suspended"),$Q222*$H222,IF($P222="Doubtful",$Q222*$H222*0.5,IF($P222="Limited",$Q222*$H222*0.25,0))),2))</x:f>
        <x:v>0</x:v>
      </x:c>
      <x:c r="T222" s="55" t="str"/>
      <x:c r="U222" s="51" t="str"/>
    </x:row>
    <x:row r="223">
      <x:c r="A223" s="51" t="str">
        <x:v>Brazil</x:v>
      </x:c>
      <x:c r="B223" s="51" t="str">
        <x:v>C</x:v>
      </x:c>
      <x:c r="C223" s="51" t="n">
        <x:v>11</x:v>
      </x:c>
      <x:c r="D223" s="71" t="str"/>
      <x:c r="E223" s="51" t="str">
        <x:v>DM</x:v>
      </x:c>
      <x:c r="F223" s="51" t="str">
        <x:v>Midfield</x:v>
      </x:c>
      <x:c r="G223" s="51" t="str">
        <x:v>Starter</x:v>
      </x:c>
      <x:c r="H223" s="55" t="n">
        <x:v>1</x:v>
      </x:c>
      <x:c r="I223" s="51" t="str"/>
      <x:c r="J223" s="72" t="str"/>
      <x:c r="K223" s="72" t="str"/>
      <x:c r="L223" s="72" t="str"/>
      <x:c r="M223" s="72" t="str"/>
      <x:c r="N223" s="72" t="str"/>
      <x:c r="O223" s="72" t="str"/>
      <x:c r="P223" s="72" t="str">
        <x:v>Available</x:v>
      </x:c>
      <x:c r="Q223" s="72" t="n">
        <x:v>0</x:v>
      </x:c>
      <x:c r="R223" s="55" t="str">
        <x:f>IF($D223="","",ROUND(MAX(0,MIN(100,0.35*$J223+0.2*$K223+0.15*$L223+0.15*$M223+0.1*$N223+0.05*$O223-IF(OR($P223="Out",$P223="Suspended"),$Q223,IF($P223="Doubtful",$Q223*0.5,IF($P223="Limited",$Q223*0.25,0))))),2))</x:f>
      </x:c>
      <x:c r="S223" s="55" t="n">
        <x:f>IF($D223="",0,ROUND(IF(OR($P223="Out",$P223="Suspended"),$Q223*$H223,IF($P223="Doubtful",$Q223*$H223*0.5,IF($P223="Limited",$Q223*$H223*0.25,0))),2))</x:f>
        <x:v>0</x:v>
      </x:c>
      <x:c r="T223" s="55" t="str"/>
      <x:c r="U223" s="51" t="str"/>
    </x:row>
    <x:row r="224">
      <x:c r="A224" s="51" t="str">
        <x:v>Brazil</x:v>
      </x:c>
      <x:c r="B224" s="51" t="str">
        <x:v>C</x:v>
      </x:c>
      <x:c r="C224" s="51" t="n">
        <x:v>12</x:v>
      </x:c>
      <x:c r="D224" s="71" t="str"/>
      <x:c r="E224" s="51" t="str">
        <x:v>CM</x:v>
      </x:c>
      <x:c r="F224" s="51" t="str">
        <x:v>Midfield</x:v>
      </x:c>
      <x:c r="G224" s="51" t="str">
        <x:v>Rotation</x:v>
      </x:c>
      <x:c r="H224" s="55" t="n">
        <x:v>0.35</x:v>
      </x:c>
      <x:c r="I224" s="51" t="str"/>
      <x:c r="J224" s="72" t="str"/>
      <x:c r="K224" s="72" t="str"/>
      <x:c r="L224" s="72" t="str"/>
      <x:c r="M224" s="72" t="str"/>
      <x:c r="N224" s="72" t="str"/>
      <x:c r="O224" s="72" t="str"/>
      <x:c r="P224" s="72" t="str">
        <x:v>Available</x:v>
      </x:c>
      <x:c r="Q224" s="72" t="n">
        <x:v>0</x:v>
      </x:c>
      <x:c r="R224" s="55" t="str">
        <x:f>IF($D224="","",ROUND(MAX(0,MIN(100,0.35*$J224+0.2*$K224+0.15*$L224+0.15*$M224+0.1*$N224+0.05*$O224-IF(OR($P224="Out",$P224="Suspended"),$Q224,IF($P224="Doubtful",$Q224*0.5,IF($P224="Limited",$Q224*0.25,0))))),2))</x:f>
      </x:c>
      <x:c r="S224" s="55" t="n">
        <x:f>IF($D224="",0,ROUND(IF(OR($P224="Out",$P224="Suspended"),$Q224*$H224,IF($P224="Doubtful",$Q224*$H224*0.5,IF($P224="Limited",$Q224*$H224*0.25,0))),2))</x:f>
        <x:v>0</x:v>
      </x:c>
      <x:c r="T224" s="55" t="str"/>
      <x:c r="U224" s="51" t="str"/>
    </x:row>
    <x:row r="225">
      <x:c r="A225" s="51" t="str">
        <x:v>Brazil</x:v>
      </x:c>
      <x:c r="B225" s="51" t="str">
        <x:v>C</x:v>
      </x:c>
      <x:c r="C225" s="51" t="n">
        <x:v>13</x:v>
      </x:c>
      <x:c r="D225" s="71" t="str"/>
      <x:c r="E225" s="51" t="str">
        <x:v>CM</x:v>
      </x:c>
      <x:c r="F225" s="51" t="str">
        <x:v>Midfield</x:v>
      </x:c>
      <x:c r="G225" s="51" t="str">
        <x:v>Rotation</x:v>
      </x:c>
      <x:c r="H225" s="55" t="n">
        <x:v>0.35</x:v>
      </x:c>
      <x:c r="I225" s="51" t="str"/>
      <x:c r="J225" s="72" t="str"/>
      <x:c r="K225" s="72" t="str"/>
      <x:c r="L225" s="72" t="str"/>
      <x:c r="M225" s="72" t="str"/>
      <x:c r="N225" s="72" t="str"/>
      <x:c r="O225" s="72" t="str"/>
      <x:c r="P225" s="72" t="str">
        <x:v>Available</x:v>
      </x:c>
      <x:c r="Q225" s="72" t="n">
        <x:v>0</x:v>
      </x:c>
      <x:c r="R225" s="55" t="str">
        <x:f>IF($D225="","",ROUND(MAX(0,MIN(100,0.35*$J225+0.2*$K225+0.15*$L225+0.15*$M225+0.1*$N225+0.05*$O225-IF(OR($P225="Out",$P225="Suspended"),$Q225,IF($P225="Doubtful",$Q225*0.5,IF($P225="Limited",$Q225*0.25,0))))),2))</x:f>
      </x:c>
      <x:c r="S225" s="55" t="n">
        <x:f>IF($D225="",0,ROUND(IF(OR($P225="Out",$P225="Suspended"),$Q225*$H225,IF($P225="Doubtful",$Q225*$H225*0.5,IF($P225="Limited",$Q225*$H225*0.25,0))),2))</x:f>
        <x:v>0</x:v>
      </x:c>
      <x:c r="T225" s="55" t="str"/>
      <x:c r="U225" s="51" t="str"/>
    </x:row>
    <x:row r="226">
      <x:c r="A226" s="51" t="str">
        <x:v>Brazil</x:v>
      </x:c>
      <x:c r="B226" s="51" t="str">
        <x:v>C</x:v>
      </x:c>
      <x:c r="C226" s="51" t="n">
        <x:v>14</x:v>
      </x:c>
      <x:c r="D226" s="71" t="str"/>
      <x:c r="E226" s="51" t="str">
        <x:v>CM</x:v>
      </x:c>
      <x:c r="F226" s="51" t="str">
        <x:v>Midfield</x:v>
      </x:c>
      <x:c r="G226" s="51" t="str">
        <x:v>Rotation</x:v>
      </x:c>
      <x:c r="H226" s="55" t="n">
        <x:v>0.35</x:v>
      </x:c>
      <x:c r="I226" s="51" t="str"/>
      <x:c r="J226" s="72" t="str"/>
      <x:c r="K226" s="72" t="str"/>
      <x:c r="L226" s="72" t="str"/>
      <x:c r="M226" s="72" t="str"/>
      <x:c r="N226" s="72" t="str"/>
      <x:c r="O226" s="72" t="str"/>
      <x:c r="P226" s="72" t="str">
        <x:v>Available</x:v>
      </x:c>
      <x:c r="Q226" s="72" t="n">
        <x:v>0</x:v>
      </x:c>
      <x:c r="R226" s="55" t="str">
        <x:f>IF($D226="","",ROUND(MAX(0,MIN(100,0.35*$J226+0.2*$K226+0.15*$L226+0.15*$M226+0.1*$N226+0.05*$O226-IF(OR($P226="Out",$P226="Suspended"),$Q226,IF($P226="Doubtful",$Q226*0.5,IF($P226="Limited",$Q226*0.25,0))))),2))</x:f>
      </x:c>
      <x:c r="S226" s="55" t="n">
        <x:f>IF($D226="",0,ROUND(IF(OR($P226="Out",$P226="Suspended"),$Q226*$H226,IF($P226="Doubtful",$Q226*$H226*0.5,IF($P226="Limited",$Q226*$H226*0.25,0))),2))</x:f>
        <x:v>0</x:v>
      </x:c>
      <x:c r="T226" s="55" t="str"/>
      <x:c r="U226" s="51" t="str"/>
    </x:row>
    <x:row r="227">
      <x:c r="A227" s="51" t="str">
        <x:v>Brazil</x:v>
      </x:c>
      <x:c r="B227" s="51" t="str">
        <x:v>C</x:v>
      </x:c>
      <x:c r="C227" s="51" t="n">
        <x:v>15</x:v>
      </x:c>
      <x:c r="D227" s="71" t="str"/>
      <x:c r="E227" s="51" t="str">
        <x:v>CM</x:v>
      </x:c>
      <x:c r="F227" s="51" t="str">
        <x:v>Midfield</x:v>
      </x:c>
      <x:c r="G227" s="51" t="str">
        <x:v>Rotation</x:v>
      </x:c>
      <x:c r="H227" s="55" t="n">
        <x:v>0.35</x:v>
      </x:c>
      <x:c r="I227" s="51" t="str"/>
      <x:c r="J227" s="72" t="str"/>
      <x:c r="K227" s="72" t="str"/>
      <x:c r="L227" s="72" t="str"/>
      <x:c r="M227" s="72" t="str"/>
      <x:c r="N227" s="72" t="str"/>
      <x:c r="O227" s="72" t="str"/>
      <x:c r="P227" s="72" t="str">
        <x:v>Available</x:v>
      </x:c>
      <x:c r="Q227" s="72" t="n">
        <x:v>0</x:v>
      </x:c>
      <x:c r="R227" s="55" t="str">
        <x:f>IF($D227="","",ROUND(MAX(0,MIN(100,0.35*$J227+0.2*$K227+0.15*$L227+0.15*$M227+0.1*$N227+0.05*$O227-IF(OR($P227="Out",$P227="Suspended"),$Q227,IF($P227="Doubtful",$Q227*0.5,IF($P227="Limited",$Q227*0.25,0))))),2))</x:f>
      </x:c>
      <x:c r="S227" s="55" t="n">
        <x:f>IF($D227="",0,ROUND(IF(OR($P227="Out",$P227="Suspended"),$Q227*$H227,IF($P227="Doubtful",$Q227*$H227*0.5,IF($P227="Limited",$Q227*$H227*0.25,0))),2))</x:f>
        <x:v>0</x:v>
      </x:c>
      <x:c r="T227" s="55" t="str"/>
      <x:c r="U227" s="51" t="str"/>
    </x:row>
    <x:row r="228">
      <x:c r="A228" s="51" t="str">
        <x:v>Brazil</x:v>
      </x:c>
      <x:c r="B228" s="51" t="str">
        <x:v>C</x:v>
      </x:c>
      <x:c r="C228" s="51" t="n">
        <x:v>16</x:v>
      </x:c>
      <x:c r="D228" s="71" t="str"/>
      <x:c r="E228" s="51" t="str">
        <x:v>AM</x:v>
      </x:c>
      <x:c r="F228" s="51" t="str">
        <x:v>Attack</x:v>
      </x:c>
      <x:c r="G228" s="51" t="str">
        <x:v>Rotation</x:v>
      </x:c>
      <x:c r="H228" s="55" t="n">
        <x:v>0.35</x:v>
      </x:c>
      <x:c r="I228" s="51" t="str"/>
      <x:c r="J228" s="72" t="str"/>
      <x:c r="K228" s="72" t="str"/>
      <x:c r="L228" s="72" t="str"/>
      <x:c r="M228" s="72" t="str"/>
      <x:c r="N228" s="72" t="str"/>
      <x:c r="O228" s="72" t="str"/>
      <x:c r="P228" s="72" t="str">
        <x:v>Available</x:v>
      </x:c>
      <x:c r="Q228" s="72" t="n">
        <x:v>0</x:v>
      </x:c>
      <x:c r="R228" s="55" t="str">
        <x:f>IF($D228="","",ROUND(MAX(0,MIN(100,0.35*$J228+0.2*$K228+0.15*$L228+0.15*$M228+0.1*$N228+0.05*$O228-IF(OR($P228="Out",$P228="Suspended"),$Q228,IF($P228="Doubtful",$Q228*0.5,IF($P228="Limited",$Q228*0.25,0))))),2))</x:f>
      </x:c>
      <x:c r="S228" s="55" t="n">
        <x:f>IF($D228="",0,ROUND(IF(OR($P228="Out",$P228="Suspended"),$Q228*$H228,IF($P228="Doubtful",$Q228*$H228*0.5,IF($P228="Limited",$Q228*$H228*0.25,0))),2))</x:f>
        <x:v>0</x:v>
      </x:c>
      <x:c r="T228" s="55" t="str"/>
      <x:c r="U228" s="51" t="str"/>
    </x:row>
    <x:row r="229">
      <x:c r="A229" s="51" t="str">
        <x:v>Brazil</x:v>
      </x:c>
      <x:c r="B229" s="51" t="str">
        <x:v>C</x:v>
      </x:c>
      <x:c r="C229" s="51" t="n">
        <x:v>17</x:v>
      </x:c>
      <x:c r="D229" s="71" t="str"/>
      <x:c r="E229" s="51" t="str">
        <x:v>AM</x:v>
      </x:c>
      <x:c r="F229" s="51" t="str">
        <x:v>Attack</x:v>
      </x:c>
      <x:c r="G229" s="51" t="str">
        <x:v>Rotation</x:v>
      </x:c>
      <x:c r="H229" s="55" t="n">
        <x:v>0.35</x:v>
      </x:c>
      <x:c r="I229" s="51" t="str"/>
      <x:c r="J229" s="72" t="str"/>
      <x:c r="K229" s="72" t="str"/>
      <x:c r="L229" s="72" t="str"/>
      <x:c r="M229" s="72" t="str"/>
      <x:c r="N229" s="72" t="str"/>
      <x:c r="O229" s="72" t="str"/>
      <x:c r="P229" s="72" t="str">
        <x:v>Available</x:v>
      </x:c>
      <x:c r="Q229" s="72" t="n">
        <x:v>0</x:v>
      </x:c>
      <x:c r="R229" s="55" t="str">
        <x:f>IF($D229="","",ROUND(MAX(0,MIN(100,0.35*$J229+0.2*$K229+0.15*$L229+0.15*$M229+0.1*$N229+0.05*$O229-IF(OR($P229="Out",$P229="Suspended"),$Q229,IF($P229="Doubtful",$Q229*0.5,IF($P229="Limited",$Q229*0.25,0))))),2))</x:f>
      </x:c>
      <x:c r="S229" s="55" t="n">
        <x:f>IF($D229="",0,ROUND(IF(OR($P229="Out",$P229="Suspended"),$Q229*$H229,IF($P229="Doubtful",$Q229*$H229*0.5,IF($P229="Limited",$Q229*$H229*0.25,0))),2))</x:f>
        <x:v>0</x:v>
      </x:c>
      <x:c r="T229" s="55" t="str"/>
      <x:c r="U229" s="51" t="str"/>
    </x:row>
    <x:row r="230">
      <x:c r="A230" s="51" t="str">
        <x:v>Brazil</x:v>
      </x:c>
      <x:c r="B230" s="51" t="str">
        <x:v>C</x:v>
      </x:c>
      <x:c r="C230" s="51" t="n">
        <x:v>18</x:v>
      </x:c>
      <x:c r="D230" s="71" t="str"/>
      <x:c r="E230" s="51" t="str">
        <x:v>AM</x:v>
      </x:c>
      <x:c r="F230" s="51" t="str">
        <x:v>Attack</x:v>
      </x:c>
      <x:c r="G230" s="51" t="str">
        <x:v>Rotation</x:v>
      </x:c>
      <x:c r="H230" s="55" t="n">
        <x:v>0.35</x:v>
      </x:c>
      <x:c r="I230" s="51" t="str"/>
      <x:c r="J230" s="72" t="str"/>
      <x:c r="K230" s="72" t="str"/>
      <x:c r="L230" s="72" t="str"/>
      <x:c r="M230" s="72" t="str"/>
      <x:c r="N230" s="72" t="str"/>
      <x:c r="O230" s="72" t="str"/>
      <x:c r="P230" s="72" t="str">
        <x:v>Available</x:v>
      </x:c>
      <x:c r="Q230" s="72" t="n">
        <x:v>0</x:v>
      </x:c>
      <x:c r="R230" s="55" t="str">
        <x:f>IF($D230="","",ROUND(MAX(0,MIN(100,0.35*$J230+0.2*$K230+0.15*$L230+0.15*$M230+0.1*$N230+0.05*$O230-IF(OR($P230="Out",$P230="Suspended"),$Q230,IF($P230="Doubtful",$Q230*0.5,IF($P230="Limited",$Q230*0.25,0))))),2))</x:f>
      </x:c>
      <x:c r="S230" s="55" t="n">
        <x:f>IF($D230="",0,ROUND(IF(OR($P230="Out",$P230="Suspended"),$Q230*$H230,IF($P230="Doubtful",$Q230*$H230*0.5,IF($P230="Limited",$Q230*$H230*0.25,0))),2))</x:f>
        <x:v>0</x:v>
      </x:c>
      <x:c r="T230" s="55" t="str"/>
      <x:c r="U230" s="51" t="str"/>
    </x:row>
    <x:row r="231">
      <x:c r="A231" s="51" t="str">
        <x:v>Brazil</x:v>
      </x:c>
      <x:c r="B231" s="51" t="str">
        <x:v>C</x:v>
      </x:c>
      <x:c r="C231" s="51" t="n">
        <x:v>19</x:v>
      </x:c>
      <x:c r="D231" s="71" t="str"/>
      <x:c r="E231" s="51" t="str">
        <x:v>AM</x:v>
      </x:c>
      <x:c r="F231" s="51" t="str">
        <x:v>Attack</x:v>
      </x:c>
      <x:c r="G231" s="51" t="str">
        <x:v>Rotation</x:v>
      </x:c>
      <x:c r="H231" s="55" t="n">
        <x:v>0.35</x:v>
      </x:c>
      <x:c r="I231" s="51" t="str"/>
      <x:c r="J231" s="72" t="str"/>
      <x:c r="K231" s="72" t="str"/>
      <x:c r="L231" s="72" t="str"/>
      <x:c r="M231" s="72" t="str"/>
      <x:c r="N231" s="72" t="str"/>
      <x:c r="O231" s="72" t="str"/>
      <x:c r="P231" s="72" t="str">
        <x:v>Available</x:v>
      </x:c>
      <x:c r="Q231" s="72" t="n">
        <x:v>0</x:v>
      </x:c>
      <x:c r="R231" s="55" t="str">
        <x:f>IF($D231="","",ROUND(MAX(0,MIN(100,0.35*$J231+0.2*$K231+0.15*$L231+0.15*$M231+0.1*$N231+0.05*$O231-IF(OR($P231="Out",$P231="Suspended"),$Q231,IF($P231="Doubtful",$Q231*0.5,IF($P231="Limited",$Q231*0.25,0))))),2))</x:f>
      </x:c>
      <x:c r="S231" s="55" t="n">
        <x:f>IF($D231="",0,ROUND(IF(OR($P231="Out",$P231="Suspended"),$Q231*$H231,IF($P231="Doubtful",$Q231*$H231*0.5,IF($P231="Limited",$Q231*$H231*0.25,0))),2))</x:f>
        <x:v>0</x:v>
      </x:c>
      <x:c r="T231" s="55" t="str"/>
      <x:c r="U231" s="51" t="str"/>
    </x:row>
    <x:row r="232">
      <x:c r="A232" s="51" t="str">
        <x:v>Brazil</x:v>
      </x:c>
      <x:c r="B232" s="51" t="str">
        <x:v>C</x:v>
      </x:c>
      <x:c r="C232" s="51" t="n">
        <x:v>20</x:v>
      </x:c>
      <x:c r="D232" s="71" t="str"/>
      <x:c r="E232" s="51" t="str">
        <x:v>Winger</x:v>
      </x:c>
      <x:c r="F232" s="51" t="str">
        <x:v>Attack</x:v>
      </x:c>
      <x:c r="G232" s="51" t="str">
        <x:v>Rotation</x:v>
      </x:c>
      <x:c r="H232" s="55" t="n">
        <x:v>0.35</x:v>
      </x:c>
      <x:c r="I232" s="51" t="str"/>
      <x:c r="J232" s="72" t="str"/>
      <x:c r="K232" s="72" t="str"/>
      <x:c r="L232" s="72" t="str"/>
      <x:c r="M232" s="72" t="str"/>
      <x:c r="N232" s="72" t="str"/>
      <x:c r="O232" s="72" t="str"/>
      <x:c r="P232" s="72" t="str">
        <x:v>Available</x:v>
      </x:c>
      <x:c r="Q232" s="72" t="n">
        <x:v>0</x:v>
      </x:c>
      <x:c r="R232" s="55" t="str">
        <x:f>IF($D232="","",ROUND(MAX(0,MIN(100,0.35*$J232+0.2*$K232+0.15*$L232+0.15*$M232+0.1*$N232+0.05*$O232-IF(OR($P232="Out",$P232="Suspended"),$Q232,IF($P232="Doubtful",$Q232*0.5,IF($P232="Limited",$Q232*0.25,0))))),2))</x:f>
      </x:c>
      <x:c r="S232" s="55" t="n">
        <x:f>IF($D232="",0,ROUND(IF(OR($P232="Out",$P232="Suspended"),$Q232*$H232,IF($P232="Doubtful",$Q232*$H232*0.5,IF($P232="Limited",$Q232*$H232*0.25,0))),2))</x:f>
        <x:v>0</x:v>
      </x:c>
      <x:c r="T232" s="55" t="str"/>
      <x:c r="U232" s="51" t="str"/>
    </x:row>
    <x:row r="233">
      <x:c r="A233" s="51" t="str">
        <x:v>Brazil</x:v>
      </x:c>
      <x:c r="B233" s="51" t="str">
        <x:v>C</x:v>
      </x:c>
      <x:c r="C233" s="51" t="n">
        <x:v>21</x:v>
      </x:c>
      <x:c r="D233" s="71" t="str"/>
      <x:c r="E233" s="51" t="str">
        <x:v>Winger</x:v>
      </x:c>
      <x:c r="F233" s="51" t="str">
        <x:v>Attack</x:v>
      </x:c>
      <x:c r="G233" s="51" t="str">
        <x:v>Depth</x:v>
      </x:c>
      <x:c r="H233" s="55" t="n">
        <x:v>0.1</x:v>
      </x:c>
      <x:c r="I233" s="51" t="str"/>
      <x:c r="J233" s="72" t="str"/>
      <x:c r="K233" s="72" t="str"/>
      <x:c r="L233" s="72" t="str"/>
      <x:c r="M233" s="72" t="str"/>
      <x:c r="N233" s="72" t="str"/>
      <x:c r="O233" s="72" t="str"/>
      <x:c r="P233" s="72" t="str">
        <x:v>Available</x:v>
      </x:c>
      <x:c r="Q233" s="72" t="n">
        <x:v>0</x:v>
      </x:c>
      <x:c r="R233" s="55" t="str">
        <x:f>IF($D233="","",ROUND(MAX(0,MIN(100,0.35*$J233+0.2*$K233+0.15*$L233+0.15*$M233+0.1*$N233+0.05*$O233-IF(OR($P233="Out",$P233="Suspended"),$Q233,IF($P233="Doubtful",$Q233*0.5,IF($P233="Limited",$Q233*0.25,0))))),2))</x:f>
      </x:c>
      <x:c r="S233" s="55" t="n">
        <x:f>IF($D233="",0,ROUND(IF(OR($P233="Out",$P233="Suspended"),$Q233*$H233,IF($P233="Doubtful",$Q233*$H233*0.5,IF($P233="Limited",$Q233*$H233*0.25,0))),2))</x:f>
        <x:v>0</x:v>
      </x:c>
      <x:c r="T233" s="55" t="str"/>
      <x:c r="U233" s="51" t="str"/>
    </x:row>
    <x:row r="234">
      <x:c r="A234" s="51" t="str">
        <x:v>Brazil</x:v>
      </x:c>
      <x:c r="B234" s="51" t="str">
        <x:v>C</x:v>
      </x:c>
      <x:c r="C234" s="51" t="n">
        <x:v>22</x:v>
      </x:c>
      <x:c r="D234" s="71" t="str"/>
      <x:c r="E234" s="51" t="str">
        <x:v>Winger</x:v>
      </x:c>
      <x:c r="F234" s="51" t="str">
        <x:v>Attack</x:v>
      </x:c>
      <x:c r="G234" s="51" t="str">
        <x:v>Depth</x:v>
      </x:c>
      <x:c r="H234" s="55" t="n">
        <x:v>0.1</x:v>
      </x:c>
      <x:c r="I234" s="51" t="str"/>
      <x:c r="J234" s="72" t="str"/>
      <x:c r="K234" s="72" t="str"/>
      <x:c r="L234" s="72" t="str"/>
      <x:c r="M234" s="72" t="str"/>
      <x:c r="N234" s="72" t="str"/>
      <x:c r="O234" s="72" t="str"/>
      <x:c r="P234" s="72" t="str">
        <x:v>Available</x:v>
      </x:c>
      <x:c r="Q234" s="72" t="n">
        <x:v>0</x:v>
      </x:c>
      <x:c r="R234" s="55" t="str">
        <x:f>IF($D234="","",ROUND(MAX(0,MIN(100,0.35*$J234+0.2*$K234+0.15*$L234+0.15*$M234+0.1*$N234+0.05*$O234-IF(OR($P234="Out",$P234="Suspended"),$Q234,IF($P234="Doubtful",$Q234*0.5,IF($P234="Limited",$Q234*0.25,0))))),2))</x:f>
      </x:c>
      <x:c r="S234" s="55" t="n">
        <x:f>IF($D234="",0,ROUND(IF(OR($P234="Out",$P234="Suspended"),$Q234*$H234,IF($P234="Doubtful",$Q234*$H234*0.5,IF($P234="Limited",$Q234*$H234*0.25,0))),2))</x:f>
        <x:v>0</x:v>
      </x:c>
      <x:c r="T234" s="55" t="str"/>
      <x:c r="U234" s="51" t="str"/>
    </x:row>
    <x:row r="235">
      <x:c r="A235" s="51" t="str">
        <x:v>Brazil</x:v>
      </x:c>
      <x:c r="B235" s="51" t="str">
        <x:v>C</x:v>
      </x:c>
      <x:c r="C235" s="51" t="n">
        <x:v>23</x:v>
      </x:c>
      <x:c r="D235" s="71" t="str"/>
      <x:c r="E235" s="51" t="str">
        <x:v>Winger</x:v>
      </x:c>
      <x:c r="F235" s="51" t="str">
        <x:v>Attack</x:v>
      </x:c>
      <x:c r="G235" s="51" t="str">
        <x:v>Depth</x:v>
      </x:c>
      <x:c r="H235" s="55" t="n">
        <x:v>0.1</x:v>
      </x:c>
      <x:c r="I235" s="51" t="str"/>
      <x:c r="J235" s="72" t="str"/>
      <x:c r="K235" s="72" t="str"/>
      <x:c r="L235" s="72" t="str"/>
      <x:c r="M235" s="72" t="str"/>
      <x:c r="N235" s="72" t="str"/>
      <x:c r="O235" s="72" t="str"/>
      <x:c r="P235" s="72" t="str">
        <x:v>Available</x:v>
      </x:c>
      <x:c r="Q235" s="72" t="n">
        <x:v>0</x:v>
      </x:c>
      <x:c r="R235" s="55" t="str">
        <x:f>IF($D235="","",ROUND(MAX(0,MIN(100,0.35*$J235+0.2*$K235+0.15*$L235+0.15*$M235+0.1*$N235+0.05*$O235-IF(OR($P235="Out",$P235="Suspended"),$Q235,IF($P235="Doubtful",$Q235*0.5,IF($P235="Limited",$Q235*0.25,0))))),2))</x:f>
      </x:c>
      <x:c r="S235" s="55" t="n">
        <x:f>IF($D235="",0,ROUND(IF(OR($P235="Out",$P235="Suspended"),$Q235*$H235,IF($P235="Doubtful",$Q235*$H235*0.5,IF($P235="Limited",$Q235*$H235*0.25,0))),2))</x:f>
        <x:v>0</x:v>
      </x:c>
      <x:c r="T235" s="55" t="str"/>
      <x:c r="U235" s="51" t="str"/>
    </x:row>
    <x:row r="236">
      <x:c r="A236" s="51" t="str">
        <x:v>Brazil</x:v>
      </x:c>
      <x:c r="B236" s="51" t="str">
        <x:v>C</x:v>
      </x:c>
      <x:c r="C236" s="51" t="n">
        <x:v>24</x:v>
      </x:c>
      <x:c r="D236" s="71" t="str"/>
      <x:c r="E236" s="51" t="str">
        <x:v>ST</x:v>
      </x:c>
      <x:c r="F236" s="51" t="str">
        <x:v>Attack</x:v>
      </x:c>
      <x:c r="G236" s="51" t="str">
        <x:v>Depth</x:v>
      </x:c>
      <x:c r="H236" s="55" t="n">
        <x:v>0.1</x:v>
      </x:c>
      <x:c r="I236" s="51" t="str"/>
      <x:c r="J236" s="72" t="str"/>
      <x:c r="K236" s="72" t="str"/>
      <x:c r="L236" s="72" t="str"/>
      <x:c r="M236" s="72" t="str"/>
      <x:c r="N236" s="72" t="str"/>
      <x:c r="O236" s="72" t="str"/>
      <x:c r="P236" s="72" t="str">
        <x:v>Available</x:v>
      </x:c>
      <x:c r="Q236" s="72" t="n">
        <x:v>0</x:v>
      </x:c>
      <x:c r="R236" s="55" t="str">
        <x:f>IF($D236="","",ROUND(MAX(0,MIN(100,0.35*$J236+0.2*$K236+0.15*$L236+0.15*$M236+0.1*$N236+0.05*$O236-IF(OR($P236="Out",$P236="Suspended"),$Q236,IF($P236="Doubtful",$Q236*0.5,IF($P236="Limited",$Q236*0.25,0))))),2))</x:f>
      </x:c>
      <x:c r="S236" s="55" t="n">
        <x:f>IF($D236="",0,ROUND(IF(OR($P236="Out",$P236="Suspended"),$Q236*$H236,IF($P236="Doubtful",$Q236*$H236*0.5,IF($P236="Limited",$Q236*$H236*0.25,0))),2))</x:f>
        <x:v>0</x:v>
      </x:c>
      <x:c r="T236" s="55" t="str"/>
      <x:c r="U236" s="51" t="str"/>
    </x:row>
    <x:row r="237">
      <x:c r="A237" s="51" t="str">
        <x:v>Brazil</x:v>
      </x:c>
      <x:c r="B237" s="51" t="str">
        <x:v>C</x:v>
      </x:c>
      <x:c r="C237" s="51" t="n">
        <x:v>25</x:v>
      </x:c>
      <x:c r="D237" s="71" t="str"/>
      <x:c r="E237" s="51" t="str">
        <x:v>ST</x:v>
      </x:c>
      <x:c r="F237" s="51" t="str">
        <x:v>Attack</x:v>
      </x:c>
      <x:c r="G237" s="51" t="str">
        <x:v>Depth</x:v>
      </x:c>
      <x:c r="H237" s="55" t="n">
        <x:v>0.1</x:v>
      </x:c>
      <x:c r="I237" s="51" t="str"/>
      <x:c r="J237" s="72" t="str"/>
      <x:c r="K237" s="72" t="str"/>
      <x:c r="L237" s="72" t="str"/>
      <x:c r="M237" s="72" t="str"/>
      <x:c r="N237" s="72" t="str"/>
      <x:c r="O237" s="72" t="str"/>
      <x:c r="P237" s="72" t="str">
        <x:v>Available</x:v>
      </x:c>
      <x:c r="Q237" s="72" t="n">
        <x:v>0</x:v>
      </x:c>
      <x:c r="R237" s="55" t="str">
        <x:f>IF($D237="","",ROUND(MAX(0,MIN(100,0.35*$J237+0.2*$K237+0.15*$L237+0.15*$M237+0.1*$N237+0.05*$O237-IF(OR($P237="Out",$P237="Suspended"),$Q237,IF($P237="Doubtful",$Q237*0.5,IF($P237="Limited",$Q237*0.25,0))))),2))</x:f>
      </x:c>
      <x:c r="S237" s="55" t="n">
        <x:f>IF($D237="",0,ROUND(IF(OR($P237="Out",$P237="Suspended"),$Q237*$H237,IF($P237="Doubtful",$Q237*$H237*0.5,IF($P237="Limited",$Q237*$H237*0.25,0))),2))</x:f>
        <x:v>0</x:v>
      </x:c>
      <x:c r="T237" s="55" t="str"/>
      <x:c r="U237" s="51" t="str"/>
    </x:row>
    <x:row r="238">
      <x:c r="A238" s="51" t="str">
        <x:v>Brazil</x:v>
      </x:c>
      <x:c r="B238" s="51" t="str">
        <x:v>C</x:v>
      </x:c>
      <x:c r="C238" s="51" t="n">
        <x:v>26</x:v>
      </x:c>
      <x:c r="D238" s="71" t="str"/>
      <x:c r="E238" s="51" t="str">
        <x:v>ST</x:v>
      </x:c>
      <x:c r="F238" s="51" t="str">
        <x:v>Attack</x:v>
      </x:c>
      <x:c r="G238" s="51" t="str">
        <x:v>Depth</x:v>
      </x:c>
      <x:c r="H238" s="55" t="n">
        <x:v>0.1</x:v>
      </x:c>
      <x:c r="I238" s="51" t="str"/>
      <x:c r="J238" s="72" t="str"/>
      <x:c r="K238" s="72" t="str"/>
      <x:c r="L238" s="72" t="str"/>
      <x:c r="M238" s="72" t="str"/>
      <x:c r="N238" s="72" t="str"/>
      <x:c r="O238" s="72" t="str"/>
      <x:c r="P238" s="72" t="str">
        <x:v>Available</x:v>
      </x:c>
      <x:c r="Q238" s="72" t="n">
        <x:v>0</x:v>
      </x:c>
      <x:c r="R238" s="55" t="str">
        <x:f>IF($D238="","",ROUND(MAX(0,MIN(100,0.35*$J238+0.2*$K238+0.15*$L238+0.15*$M238+0.1*$N238+0.05*$O238-IF(OR($P238="Out",$P238="Suspended"),$Q238,IF($P238="Doubtful",$Q238*0.5,IF($P238="Limited",$Q238*0.25,0))))),2))</x:f>
      </x:c>
      <x:c r="S238" s="55" t="n">
        <x:f>IF($D238="",0,ROUND(IF(OR($P238="Out",$P238="Suspended"),$Q238*$H238,IF($P238="Doubtful",$Q238*$H238*0.5,IF($P238="Limited",$Q238*$H238*0.25,0))),2))</x:f>
        <x:v>0</x:v>
      </x:c>
      <x:c r="T238" s="55" t="str"/>
      <x:c r="U238" s="51" t="str"/>
    </x:row>
    <x:row r="239">
      <x:c r="A239" s="51" t="str">
        <x:v>Haiti</x:v>
      </x:c>
      <x:c r="B239" s="51" t="str">
        <x:v>C</x:v>
      </x:c>
      <x:c r="C239" s="51" t="n">
        <x:v>1</x:v>
      </x:c>
      <x:c r="D239" s="71" t="str"/>
      <x:c r="E239" s="51" t="str">
        <x:v>GK</x:v>
      </x:c>
      <x:c r="F239" s="51" t="str">
        <x:v>GK</x:v>
      </x:c>
      <x:c r="G239" s="51" t="str">
        <x:v>Starter</x:v>
      </x:c>
      <x:c r="H239" s="55" t="n">
        <x:v>1</x:v>
      </x:c>
      <x:c r="I239" s="51" t="str"/>
      <x:c r="J239" s="72" t="str"/>
      <x:c r="K239" s="72" t="str"/>
      <x:c r="L239" s="72" t="str"/>
      <x:c r="M239" s="72" t="str"/>
      <x:c r="N239" s="72" t="str"/>
      <x:c r="O239" s="72" t="str"/>
      <x:c r="P239" s="72" t="str">
        <x:v>Available</x:v>
      </x:c>
      <x:c r="Q239" s="72" t="n">
        <x:v>0</x:v>
      </x:c>
      <x:c r="R239" s="55" t="str">
        <x:f>IF($D239="","",ROUND(MAX(0,MIN(100,0.35*$J239+0.2*$K239+0.15*$L239+0.15*$M239+0.1*$N239+0.05*$O239-IF(OR($P239="Out",$P239="Suspended"),$Q239,IF($P239="Doubtful",$Q239*0.5,IF($P239="Limited",$Q239*0.25,0))))),2))</x:f>
      </x:c>
      <x:c r="S239" s="55" t="n">
        <x:f>IF($D239="",0,ROUND(IF(OR($P239="Out",$P239="Suspended"),$Q239*$H239,IF($P239="Doubtful",$Q239*$H239*0.5,IF($P239="Limited",$Q239*$H239*0.25,0))),2))</x:f>
        <x:v>0</x:v>
      </x:c>
      <x:c r="T239" s="55" t="str"/>
      <x:c r="U239" s="51" t="str"/>
    </x:row>
    <x:row r="240">
      <x:c r="A240" s="51" t="str">
        <x:v>Haiti</x:v>
      </x:c>
      <x:c r="B240" s="51" t="str">
        <x:v>C</x:v>
      </x:c>
      <x:c r="C240" s="51" t="n">
        <x:v>2</x:v>
      </x:c>
      <x:c r="D240" s="71" t="str"/>
      <x:c r="E240" s="51" t="str">
        <x:v>GK</x:v>
      </x:c>
      <x:c r="F240" s="51" t="str">
        <x:v>GK</x:v>
      </x:c>
      <x:c r="G240" s="51" t="str">
        <x:v>Starter</x:v>
      </x:c>
      <x:c r="H240" s="55" t="n">
        <x:v>1</x:v>
      </x:c>
      <x:c r="I240" s="51" t="str"/>
      <x:c r="J240" s="72" t="str"/>
      <x:c r="K240" s="72" t="str"/>
      <x:c r="L240" s="72" t="str"/>
      <x:c r="M240" s="72" t="str"/>
      <x:c r="N240" s="72" t="str"/>
      <x:c r="O240" s="72" t="str"/>
      <x:c r="P240" s="72" t="str">
        <x:v>Available</x:v>
      </x:c>
      <x:c r="Q240" s="72" t="n">
        <x:v>0</x:v>
      </x:c>
      <x:c r="R240" s="55" t="str">
        <x:f>IF($D240="","",ROUND(MAX(0,MIN(100,0.35*$J240+0.2*$K240+0.15*$L240+0.15*$M240+0.1*$N240+0.05*$O240-IF(OR($P240="Out",$P240="Suspended"),$Q240,IF($P240="Doubtful",$Q240*0.5,IF($P240="Limited",$Q240*0.25,0))))),2))</x:f>
      </x:c>
      <x:c r="S240" s="55" t="n">
        <x:f>IF($D240="",0,ROUND(IF(OR($P240="Out",$P240="Suspended"),$Q240*$H240,IF($P240="Doubtful",$Q240*$H240*0.5,IF($P240="Limited",$Q240*$H240*0.25,0))),2))</x:f>
        <x:v>0</x:v>
      </x:c>
      <x:c r="T240" s="55" t="str"/>
      <x:c r="U240" s="51" t="str"/>
    </x:row>
    <x:row r="241">
      <x:c r="A241" s="51" t="str">
        <x:v>Haiti</x:v>
      </x:c>
      <x:c r="B241" s="51" t="str">
        <x:v>C</x:v>
      </x:c>
      <x:c r="C241" s="51" t="n">
        <x:v>3</x:v>
      </x:c>
      <x:c r="D241" s="71" t="str"/>
      <x:c r="E241" s="51" t="str">
        <x:v>GK</x:v>
      </x:c>
      <x:c r="F241" s="51" t="str">
        <x:v>GK</x:v>
      </x:c>
      <x:c r="G241" s="51" t="str">
        <x:v>Starter</x:v>
      </x:c>
      <x:c r="H241" s="55" t="n">
        <x:v>1</x:v>
      </x:c>
      <x:c r="I241" s="51" t="str"/>
      <x:c r="J241" s="72" t="str"/>
      <x:c r="K241" s="72" t="str"/>
      <x:c r="L241" s="72" t="str"/>
      <x:c r="M241" s="72" t="str"/>
      <x:c r="N241" s="72" t="str"/>
      <x:c r="O241" s="72" t="str"/>
      <x:c r="P241" s="72" t="str">
        <x:v>Available</x:v>
      </x:c>
      <x:c r="Q241" s="72" t="n">
        <x:v>0</x:v>
      </x:c>
      <x:c r="R241" s="55" t="str">
        <x:f>IF($D241="","",ROUND(MAX(0,MIN(100,0.35*$J241+0.2*$K241+0.15*$L241+0.15*$M241+0.1*$N241+0.05*$O241-IF(OR($P241="Out",$P241="Suspended"),$Q241,IF($P241="Doubtful",$Q241*0.5,IF($P241="Limited",$Q241*0.25,0))))),2))</x:f>
      </x:c>
      <x:c r="S241" s="55" t="n">
        <x:f>IF($D241="",0,ROUND(IF(OR($P241="Out",$P241="Suspended"),$Q241*$H241,IF($P241="Doubtful",$Q241*$H241*0.5,IF($P241="Limited",$Q241*$H241*0.25,0))),2))</x:f>
        <x:v>0</x:v>
      </x:c>
      <x:c r="T241" s="55" t="str"/>
      <x:c r="U241" s="51" t="str"/>
    </x:row>
    <x:row r="242">
      <x:c r="A242" s="51" t="str">
        <x:v>Haiti</x:v>
      </x:c>
      <x:c r="B242" s="51" t="str">
        <x:v>C</x:v>
      </x:c>
      <x:c r="C242" s="51" t="n">
        <x:v>4</x:v>
      </x:c>
      <x:c r="D242" s="71" t="str"/>
      <x:c r="E242" s="51" t="str">
        <x:v>CB</x:v>
      </x:c>
      <x:c r="F242" s="51" t="str">
        <x:v>Defence</x:v>
      </x:c>
      <x:c r="G242" s="51" t="str">
        <x:v>Starter</x:v>
      </x:c>
      <x:c r="H242" s="55" t="n">
        <x:v>1</x:v>
      </x:c>
      <x:c r="I242" s="51" t="str"/>
      <x:c r="J242" s="72" t="str"/>
      <x:c r="K242" s="72" t="str"/>
      <x:c r="L242" s="72" t="str"/>
      <x:c r="M242" s="72" t="str"/>
      <x:c r="N242" s="72" t="str"/>
      <x:c r="O242" s="72" t="str"/>
      <x:c r="P242" s="72" t="str">
        <x:v>Available</x:v>
      </x:c>
      <x:c r="Q242" s="72" t="n">
        <x:v>0</x:v>
      </x:c>
      <x:c r="R242" s="55" t="str">
        <x:f>IF($D242="","",ROUND(MAX(0,MIN(100,0.35*$J242+0.2*$K242+0.15*$L242+0.15*$M242+0.1*$N242+0.05*$O242-IF(OR($P242="Out",$P242="Suspended"),$Q242,IF($P242="Doubtful",$Q242*0.5,IF($P242="Limited",$Q242*0.25,0))))),2))</x:f>
      </x:c>
      <x:c r="S242" s="55" t="n">
        <x:f>IF($D242="",0,ROUND(IF(OR($P242="Out",$P242="Suspended"),$Q242*$H242,IF($P242="Doubtful",$Q242*$H242*0.5,IF($P242="Limited",$Q242*$H242*0.25,0))),2))</x:f>
        <x:v>0</x:v>
      </x:c>
      <x:c r="T242" s="55" t="str"/>
      <x:c r="U242" s="51" t="str"/>
    </x:row>
    <x:row r="243">
      <x:c r="A243" s="51" t="str">
        <x:v>Haiti</x:v>
      </x:c>
      <x:c r="B243" s="51" t="str">
        <x:v>C</x:v>
      </x:c>
      <x:c r="C243" s="51" t="n">
        <x:v>5</x:v>
      </x:c>
      <x:c r="D243" s="71" t="str"/>
      <x:c r="E243" s="51" t="str">
        <x:v>CB</x:v>
      </x:c>
      <x:c r="F243" s="51" t="str">
        <x:v>Defence</x:v>
      </x:c>
      <x:c r="G243" s="51" t="str">
        <x:v>Starter</x:v>
      </x:c>
      <x:c r="H243" s="55" t="n">
        <x:v>1</x:v>
      </x:c>
      <x:c r="I243" s="51" t="str"/>
      <x:c r="J243" s="72" t="str"/>
      <x:c r="K243" s="72" t="str"/>
      <x:c r="L243" s="72" t="str"/>
      <x:c r="M243" s="72" t="str"/>
      <x:c r="N243" s="72" t="str"/>
      <x:c r="O243" s="72" t="str"/>
      <x:c r="P243" s="72" t="str">
        <x:v>Available</x:v>
      </x:c>
      <x:c r="Q243" s="72" t="n">
        <x:v>0</x:v>
      </x:c>
      <x:c r="R243" s="55" t="str">
        <x:f>IF($D243="","",ROUND(MAX(0,MIN(100,0.35*$J243+0.2*$K243+0.15*$L243+0.15*$M243+0.1*$N243+0.05*$O243-IF(OR($P243="Out",$P243="Suspended"),$Q243,IF($P243="Doubtful",$Q243*0.5,IF($P243="Limited",$Q243*0.25,0))))),2))</x:f>
      </x:c>
      <x:c r="S243" s="55" t="n">
        <x:f>IF($D243="",0,ROUND(IF(OR($P243="Out",$P243="Suspended"),$Q243*$H243,IF($P243="Doubtful",$Q243*$H243*0.5,IF($P243="Limited",$Q243*$H243*0.25,0))),2))</x:f>
        <x:v>0</x:v>
      </x:c>
      <x:c r="T243" s="55" t="str"/>
      <x:c r="U243" s="51" t="str"/>
    </x:row>
    <x:row r="244">
      <x:c r="A244" s="51" t="str">
        <x:v>Haiti</x:v>
      </x:c>
      <x:c r="B244" s="51" t="str">
        <x:v>C</x:v>
      </x:c>
      <x:c r="C244" s="51" t="n">
        <x:v>6</x:v>
      </x:c>
      <x:c r="D244" s="71" t="str"/>
      <x:c r="E244" s="51" t="str">
        <x:v>CB</x:v>
      </x:c>
      <x:c r="F244" s="51" t="str">
        <x:v>Defence</x:v>
      </x:c>
      <x:c r="G244" s="51" t="str">
        <x:v>Starter</x:v>
      </x:c>
      <x:c r="H244" s="55" t="n">
        <x:v>1</x:v>
      </x:c>
      <x:c r="I244" s="51" t="str"/>
      <x:c r="J244" s="72" t="str"/>
      <x:c r="K244" s="72" t="str"/>
      <x:c r="L244" s="72" t="str"/>
      <x:c r="M244" s="72" t="str"/>
      <x:c r="N244" s="72" t="str"/>
      <x:c r="O244" s="72" t="str"/>
      <x:c r="P244" s="72" t="str">
        <x:v>Available</x:v>
      </x:c>
      <x:c r="Q244" s="72" t="n">
        <x:v>0</x:v>
      </x:c>
      <x:c r="R244" s="55" t="str">
        <x:f>IF($D244="","",ROUND(MAX(0,MIN(100,0.35*$J244+0.2*$K244+0.15*$L244+0.15*$M244+0.1*$N244+0.05*$O244-IF(OR($P244="Out",$P244="Suspended"),$Q244,IF($P244="Doubtful",$Q244*0.5,IF($P244="Limited",$Q244*0.25,0))))),2))</x:f>
      </x:c>
      <x:c r="S244" s="55" t="n">
        <x:f>IF($D244="",0,ROUND(IF(OR($P244="Out",$P244="Suspended"),$Q244*$H244,IF($P244="Doubtful",$Q244*$H244*0.5,IF($P244="Limited",$Q244*$H244*0.25,0))),2))</x:f>
        <x:v>0</x:v>
      </x:c>
      <x:c r="T244" s="55" t="str"/>
      <x:c r="U244" s="51" t="str"/>
    </x:row>
    <x:row r="245">
      <x:c r="A245" s="51" t="str">
        <x:v>Haiti</x:v>
      </x:c>
      <x:c r="B245" s="51" t="str">
        <x:v>C</x:v>
      </x:c>
      <x:c r="C245" s="51" t="n">
        <x:v>7</x:v>
      </x:c>
      <x:c r="D245" s="71" t="str"/>
      <x:c r="E245" s="51" t="str">
        <x:v>FB</x:v>
      </x:c>
      <x:c r="F245" s="51" t="str">
        <x:v>Defence</x:v>
      </x:c>
      <x:c r="G245" s="51" t="str">
        <x:v>Starter</x:v>
      </x:c>
      <x:c r="H245" s="55" t="n">
        <x:v>1</x:v>
      </x:c>
      <x:c r="I245" s="51" t="str"/>
      <x:c r="J245" s="72" t="str"/>
      <x:c r="K245" s="72" t="str"/>
      <x:c r="L245" s="72" t="str"/>
      <x:c r="M245" s="72" t="str"/>
      <x:c r="N245" s="72" t="str"/>
      <x:c r="O245" s="72" t="str"/>
      <x:c r="P245" s="72" t="str">
        <x:v>Available</x:v>
      </x:c>
      <x:c r="Q245" s="72" t="n">
        <x:v>0</x:v>
      </x:c>
      <x:c r="R245" s="55" t="str">
        <x:f>IF($D245="","",ROUND(MAX(0,MIN(100,0.35*$J245+0.2*$K245+0.15*$L245+0.15*$M245+0.1*$N245+0.05*$O245-IF(OR($P245="Out",$P245="Suspended"),$Q245,IF($P245="Doubtful",$Q245*0.5,IF($P245="Limited",$Q245*0.25,0))))),2))</x:f>
      </x:c>
      <x:c r="S245" s="55" t="n">
        <x:f>IF($D245="",0,ROUND(IF(OR($P245="Out",$P245="Suspended"),$Q245*$H245,IF($P245="Doubtful",$Q245*$H245*0.5,IF($P245="Limited",$Q245*$H245*0.25,0))),2))</x:f>
        <x:v>0</x:v>
      </x:c>
      <x:c r="T245" s="55" t="str"/>
      <x:c r="U245" s="51" t="str"/>
    </x:row>
    <x:row r="246">
      <x:c r="A246" s="51" t="str">
        <x:v>Haiti</x:v>
      </x:c>
      <x:c r="B246" s="51" t="str">
        <x:v>C</x:v>
      </x:c>
      <x:c r="C246" s="51" t="n">
        <x:v>8</x:v>
      </x:c>
      <x:c r="D246" s="71" t="str"/>
      <x:c r="E246" s="51" t="str">
        <x:v>FB</x:v>
      </x:c>
      <x:c r="F246" s="51" t="str">
        <x:v>Defence</x:v>
      </x:c>
      <x:c r="G246" s="51" t="str">
        <x:v>Starter</x:v>
      </x:c>
      <x:c r="H246" s="55" t="n">
        <x:v>1</x:v>
      </x:c>
      <x:c r="I246" s="51" t="str"/>
      <x:c r="J246" s="72" t="str"/>
      <x:c r="K246" s="72" t="str"/>
      <x:c r="L246" s="72" t="str"/>
      <x:c r="M246" s="72" t="str"/>
      <x:c r="N246" s="72" t="str"/>
      <x:c r="O246" s="72" t="str"/>
      <x:c r="P246" s="72" t="str">
        <x:v>Available</x:v>
      </x:c>
      <x:c r="Q246" s="72" t="n">
        <x:v>0</x:v>
      </x:c>
      <x:c r="R246" s="55" t="str">
        <x:f>IF($D246="","",ROUND(MAX(0,MIN(100,0.35*$J246+0.2*$K246+0.15*$L246+0.15*$M246+0.1*$N246+0.05*$O246-IF(OR($P246="Out",$P246="Suspended"),$Q246,IF($P246="Doubtful",$Q246*0.5,IF($P246="Limited",$Q246*0.25,0))))),2))</x:f>
      </x:c>
      <x:c r="S246" s="55" t="n">
        <x:f>IF($D246="",0,ROUND(IF(OR($P246="Out",$P246="Suspended"),$Q246*$H246,IF($P246="Doubtful",$Q246*$H246*0.5,IF($P246="Limited",$Q246*$H246*0.25,0))),2))</x:f>
        <x:v>0</x:v>
      </x:c>
      <x:c r="T246" s="55" t="str"/>
      <x:c r="U246" s="51" t="str"/>
    </x:row>
    <x:row r="247">
      <x:c r="A247" s="51" t="str">
        <x:v>Haiti</x:v>
      </x:c>
      <x:c r="B247" s="51" t="str">
        <x:v>C</x:v>
      </x:c>
      <x:c r="C247" s="51" t="n">
        <x:v>9</x:v>
      </x:c>
      <x:c r="D247" s="71" t="str"/>
      <x:c r="E247" s="51" t="str">
        <x:v>DM</x:v>
      </x:c>
      <x:c r="F247" s="51" t="str">
        <x:v>Midfield</x:v>
      </x:c>
      <x:c r="G247" s="51" t="str">
        <x:v>Starter</x:v>
      </x:c>
      <x:c r="H247" s="55" t="n">
        <x:v>1</x:v>
      </x:c>
      <x:c r="I247" s="51" t="str"/>
      <x:c r="J247" s="72" t="str"/>
      <x:c r="K247" s="72" t="str"/>
      <x:c r="L247" s="72" t="str"/>
      <x:c r="M247" s="72" t="str"/>
      <x:c r="N247" s="72" t="str"/>
      <x:c r="O247" s="72" t="str"/>
      <x:c r="P247" s="72" t="str">
        <x:v>Available</x:v>
      </x:c>
      <x:c r="Q247" s="72" t="n">
        <x:v>0</x:v>
      </x:c>
      <x:c r="R247" s="55" t="str">
        <x:f>IF($D247="","",ROUND(MAX(0,MIN(100,0.35*$J247+0.2*$K247+0.15*$L247+0.15*$M247+0.1*$N247+0.05*$O247-IF(OR($P247="Out",$P247="Suspended"),$Q247,IF($P247="Doubtful",$Q247*0.5,IF($P247="Limited",$Q247*0.25,0))))),2))</x:f>
      </x:c>
      <x:c r="S247" s="55" t="n">
        <x:f>IF($D247="",0,ROUND(IF(OR($P247="Out",$P247="Suspended"),$Q247*$H247,IF($P247="Doubtful",$Q247*$H247*0.5,IF($P247="Limited",$Q247*$H247*0.25,0))),2))</x:f>
        <x:v>0</x:v>
      </x:c>
      <x:c r="T247" s="55" t="str"/>
      <x:c r="U247" s="51" t="str"/>
    </x:row>
    <x:row r="248">
      <x:c r="A248" s="51" t="str">
        <x:v>Haiti</x:v>
      </x:c>
      <x:c r="B248" s="51" t="str">
        <x:v>C</x:v>
      </x:c>
      <x:c r="C248" s="51" t="n">
        <x:v>10</x:v>
      </x:c>
      <x:c r="D248" s="71" t="str"/>
      <x:c r="E248" s="51" t="str">
        <x:v>DM</x:v>
      </x:c>
      <x:c r="F248" s="51" t="str">
        <x:v>Midfield</x:v>
      </x:c>
      <x:c r="G248" s="51" t="str">
        <x:v>Starter</x:v>
      </x:c>
      <x:c r="H248" s="55" t="n">
        <x:v>1</x:v>
      </x:c>
      <x:c r="I248" s="51" t="str"/>
      <x:c r="J248" s="72" t="str"/>
      <x:c r="K248" s="72" t="str"/>
      <x:c r="L248" s="72" t="str"/>
      <x:c r="M248" s="72" t="str"/>
      <x:c r="N248" s="72" t="str"/>
      <x:c r="O248" s="72" t="str"/>
      <x:c r="P248" s="72" t="str">
        <x:v>Available</x:v>
      </x:c>
      <x:c r="Q248" s="72" t="n">
        <x:v>0</x:v>
      </x:c>
      <x:c r="R248" s="55" t="str">
        <x:f>IF($D248="","",ROUND(MAX(0,MIN(100,0.35*$J248+0.2*$K248+0.15*$L248+0.15*$M248+0.1*$N248+0.05*$O248-IF(OR($P248="Out",$P248="Suspended"),$Q248,IF($P248="Doubtful",$Q248*0.5,IF($P248="Limited",$Q248*0.25,0))))),2))</x:f>
      </x:c>
      <x:c r="S248" s="55" t="n">
        <x:f>IF($D248="",0,ROUND(IF(OR($P248="Out",$P248="Suspended"),$Q248*$H248,IF($P248="Doubtful",$Q248*$H248*0.5,IF($P248="Limited",$Q248*$H248*0.25,0))),2))</x:f>
        <x:v>0</x:v>
      </x:c>
      <x:c r="T248" s="55" t="str"/>
      <x:c r="U248" s="51" t="str"/>
    </x:row>
    <x:row r="249">
      <x:c r="A249" s="51" t="str">
        <x:v>Haiti</x:v>
      </x:c>
      <x:c r="B249" s="51" t="str">
        <x:v>C</x:v>
      </x:c>
      <x:c r="C249" s="51" t="n">
        <x:v>11</x:v>
      </x:c>
      <x:c r="D249" s="71" t="str"/>
      <x:c r="E249" s="51" t="str">
        <x:v>DM</x:v>
      </x:c>
      <x:c r="F249" s="51" t="str">
        <x:v>Midfield</x:v>
      </x:c>
      <x:c r="G249" s="51" t="str">
        <x:v>Starter</x:v>
      </x:c>
      <x:c r="H249" s="55" t="n">
        <x:v>1</x:v>
      </x:c>
      <x:c r="I249" s="51" t="str"/>
      <x:c r="J249" s="72" t="str"/>
      <x:c r="K249" s="72" t="str"/>
      <x:c r="L249" s="72" t="str"/>
      <x:c r="M249" s="72" t="str"/>
      <x:c r="N249" s="72" t="str"/>
      <x:c r="O249" s="72" t="str"/>
      <x:c r="P249" s="72" t="str">
        <x:v>Available</x:v>
      </x:c>
      <x:c r="Q249" s="72" t="n">
        <x:v>0</x:v>
      </x:c>
      <x:c r="R249" s="55" t="str">
        <x:f>IF($D249="","",ROUND(MAX(0,MIN(100,0.35*$J249+0.2*$K249+0.15*$L249+0.15*$M249+0.1*$N249+0.05*$O249-IF(OR($P249="Out",$P249="Suspended"),$Q249,IF($P249="Doubtful",$Q249*0.5,IF($P249="Limited",$Q249*0.25,0))))),2))</x:f>
      </x:c>
      <x:c r="S249" s="55" t="n">
        <x:f>IF($D249="",0,ROUND(IF(OR($P249="Out",$P249="Suspended"),$Q249*$H249,IF($P249="Doubtful",$Q249*$H249*0.5,IF($P249="Limited",$Q249*$H249*0.25,0))),2))</x:f>
        <x:v>0</x:v>
      </x:c>
      <x:c r="T249" s="55" t="str"/>
      <x:c r="U249" s="51" t="str"/>
    </x:row>
    <x:row r="250">
      <x:c r="A250" s="51" t="str">
        <x:v>Haiti</x:v>
      </x:c>
      <x:c r="B250" s="51" t="str">
        <x:v>C</x:v>
      </x:c>
      <x:c r="C250" s="51" t="n">
        <x:v>12</x:v>
      </x:c>
      <x:c r="D250" s="71" t="str"/>
      <x:c r="E250" s="51" t="str">
        <x:v>CM</x:v>
      </x:c>
      <x:c r="F250" s="51" t="str">
        <x:v>Midfield</x:v>
      </x:c>
      <x:c r="G250" s="51" t="str">
        <x:v>Rotation</x:v>
      </x:c>
      <x:c r="H250" s="55" t="n">
        <x:v>0.35</x:v>
      </x:c>
      <x:c r="I250" s="51" t="str"/>
      <x:c r="J250" s="72" t="str"/>
      <x:c r="K250" s="72" t="str"/>
      <x:c r="L250" s="72" t="str"/>
      <x:c r="M250" s="72" t="str"/>
      <x:c r="N250" s="72" t="str"/>
      <x:c r="O250" s="72" t="str"/>
      <x:c r="P250" s="72" t="str">
        <x:v>Available</x:v>
      </x:c>
      <x:c r="Q250" s="72" t="n">
        <x:v>0</x:v>
      </x:c>
      <x:c r="R250" s="55" t="str">
        <x:f>IF($D250="","",ROUND(MAX(0,MIN(100,0.35*$J250+0.2*$K250+0.15*$L250+0.15*$M250+0.1*$N250+0.05*$O250-IF(OR($P250="Out",$P250="Suspended"),$Q250,IF($P250="Doubtful",$Q250*0.5,IF($P250="Limited",$Q250*0.25,0))))),2))</x:f>
      </x:c>
      <x:c r="S250" s="55" t="n">
        <x:f>IF($D250="",0,ROUND(IF(OR($P250="Out",$P250="Suspended"),$Q250*$H250,IF($P250="Doubtful",$Q250*$H250*0.5,IF($P250="Limited",$Q250*$H250*0.25,0))),2))</x:f>
        <x:v>0</x:v>
      </x:c>
      <x:c r="T250" s="55" t="str"/>
      <x:c r="U250" s="51" t="str"/>
    </x:row>
    <x:row r="251">
      <x:c r="A251" s="51" t="str">
        <x:v>Haiti</x:v>
      </x:c>
      <x:c r="B251" s="51" t="str">
        <x:v>C</x:v>
      </x:c>
      <x:c r="C251" s="51" t="n">
        <x:v>13</x:v>
      </x:c>
      <x:c r="D251" s="71" t="str"/>
      <x:c r="E251" s="51" t="str">
        <x:v>CM</x:v>
      </x:c>
      <x:c r="F251" s="51" t="str">
        <x:v>Midfield</x:v>
      </x:c>
      <x:c r="G251" s="51" t="str">
        <x:v>Rotation</x:v>
      </x:c>
      <x:c r="H251" s="55" t="n">
        <x:v>0.35</x:v>
      </x:c>
      <x:c r="I251" s="51" t="str"/>
      <x:c r="J251" s="72" t="str"/>
      <x:c r="K251" s="72" t="str"/>
      <x:c r="L251" s="72" t="str"/>
      <x:c r="M251" s="72" t="str"/>
      <x:c r="N251" s="72" t="str"/>
      <x:c r="O251" s="72" t="str"/>
      <x:c r="P251" s="72" t="str">
        <x:v>Available</x:v>
      </x:c>
      <x:c r="Q251" s="72" t="n">
        <x:v>0</x:v>
      </x:c>
      <x:c r="R251" s="55" t="str">
        <x:f>IF($D251="","",ROUND(MAX(0,MIN(100,0.35*$J251+0.2*$K251+0.15*$L251+0.15*$M251+0.1*$N251+0.05*$O251-IF(OR($P251="Out",$P251="Suspended"),$Q251,IF($P251="Doubtful",$Q251*0.5,IF($P251="Limited",$Q251*0.25,0))))),2))</x:f>
      </x:c>
      <x:c r="S251" s="55" t="n">
        <x:f>IF($D251="",0,ROUND(IF(OR($P251="Out",$P251="Suspended"),$Q251*$H251,IF($P251="Doubtful",$Q251*$H251*0.5,IF($P251="Limited",$Q251*$H251*0.25,0))),2))</x:f>
        <x:v>0</x:v>
      </x:c>
      <x:c r="T251" s="55" t="str"/>
      <x:c r="U251" s="51" t="str"/>
    </x:row>
    <x:row r="252">
      <x:c r="A252" s="51" t="str">
        <x:v>Haiti</x:v>
      </x:c>
      <x:c r="B252" s="51" t="str">
        <x:v>C</x:v>
      </x:c>
      <x:c r="C252" s="51" t="n">
        <x:v>14</x:v>
      </x:c>
      <x:c r="D252" s="71" t="str"/>
      <x:c r="E252" s="51" t="str">
        <x:v>CM</x:v>
      </x:c>
      <x:c r="F252" s="51" t="str">
        <x:v>Midfield</x:v>
      </x:c>
      <x:c r="G252" s="51" t="str">
        <x:v>Rotation</x:v>
      </x:c>
      <x:c r="H252" s="55" t="n">
        <x:v>0.35</x:v>
      </x:c>
      <x:c r="I252" s="51" t="str"/>
      <x:c r="J252" s="72" t="str"/>
      <x:c r="K252" s="72" t="str"/>
      <x:c r="L252" s="72" t="str"/>
      <x:c r="M252" s="72" t="str"/>
      <x:c r="N252" s="72" t="str"/>
      <x:c r="O252" s="72" t="str"/>
      <x:c r="P252" s="72" t="str">
        <x:v>Available</x:v>
      </x:c>
      <x:c r="Q252" s="72" t="n">
        <x:v>0</x:v>
      </x:c>
      <x:c r="R252" s="55" t="str">
        <x:f>IF($D252="","",ROUND(MAX(0,MIN(100,0.35*$J252+0.2*$K252+0.15*$L252+0.15*$M252+0.1*$N252+0.05*$O252-IF(OR($P252="Out",$P252="Suspended"),$Q252,IF($P252="Doubtful",$Q252*0.5,IF($P252="Limited",$Q252*0.25,0))))),2))</x:f>
      </x:c>
      <x:c r="S252" s="55" t="n">
        <x:f>IF($D252="",0,ROUND(IF(OR($P252="Out",$P252="Suspended"),$Q252*$H252,IF($P252="Doubtful",$Q252*$H252*0.5,IF($P252="Limited",$Q252*$H252*0.25,0))),2))</x:f>
        <x:v>0</x:v>
      </x:c>
      <x:c r="T252" s="55" t="str"/>
      <x:c r="U252" s="51" t="str"/>
    </x:row>
    <x:row r="253">
      <x:c r="A253" s="51" t="str">
        <x:v>Haiti</x:v>
      </x:c>
      <x:c r="B253" s="51" t="str">
        <x:v>C</x:v>
      </x:c>
      <x:c r="C253" s="51" t="n">
        <x:v>15</x:v>
      </x:c>
      <x:c r="D253" s="71" t="str"/>
      <x:c r="E253" s="51" t="str">
        <x:v>CM</x:v>
      </x:c>
      <x:c r="F253" s="51" t="str">
        <x:v>Midfield</x:v>
      </x:c>
      <x:c r="G253" s="51" t="str">
        <x:v>Rotation</x:v>
      </x:c>
      <x:c r="H253" s="55" t="n">
        <x:v>0.35</x:v>
      </x:c>
      <x:c r="I253" s="51" t="str"/>
      <x:c r="J253" s="72" t="str"/>
      <x:c r="K253" s="72" t="str"/>
      <x:c r="L253" s="72" t="str"/>
      <x:c r="M253" s="72" t="str"/>
      <x:c r="N253" s="72" t="str"/>
      <x:c r="O253" s="72" t="str"/>
      <x:c r="P253" s="72" t="str">
        <x:v>Available</x:v>
      </x:c>
      <x:c r="Q253" s="72" t="n">
        <x:v>0</x:v>
      </x:c>
      <x:c r="R253" s="55" t="str">
        <x:f>IF($D253="","",ROUND(MAX(0,MIN(100,0.35*$J253+0.2*$K253+0.15*$L253+0.15*$M253+0.1*$N253+0.05*$O253-IF(OR($P253="Out",$P253="Suspended"),$Q253,IF($P253="Doubtful",$Q253*0.5,IF($P253="Limited",$Q253*0.25,0))))),2))</x:f>
      </x:c>
      <x:c r="S253" s="55" t="n">
        <x:f>IF($D253="",0,ROUND(IF(OR($P253="Out",$P253="Suspended"),$Q253*$H253,IF($P253="Doubtful",$Q253*$H253*0.5,IF($P253="Limited",$Q253*$H253*0.25,0))),2))</x:f>
        <x:v>0</x:v>
      </x:c>
      <x:c r="T253" s="55" t="str"/>
      <x:c r="U253" s="51" t="str"/>
    </x:row>
    <x:row r="254">
      <x:c r="A254" s="51" t="str">
        <x:v>Haiti</x:v>
      </x:c>
      <x:c r="B254" s="51" t="str">
        <x:v>C</x:v>
      </x:c>
      <x:c r="C254" s="51" t="n">
        <x:v>16</x:v>
      </x:c>
      <x:c r="D254" s="71" t="str"/>
      <x:c r="E254" s="51" t="str">
        <x:v>AM</x:v>
      </x:c>
      <x:c r="F254" s="51" t="str">
        <x:v>Attack</x:v>
      </x:c>
      <x:c r="G254" s="51" t="str">
        <x:v>Rotation</x:v>
      </x:c>
      <x:c r="H254" s="55" t="n">
        <x:v>0.35</x:v>
      </x:c>
      <x:c r="I254" s="51" t="str"/>
      <x:c r="J254" s="72" t="str"/>
      <x:c r="K254" s="72" t="str"/>
      <x:c r="L254" s="72" t="str"/>
      <x:c r="M254" s="72" t="str"/>
      <x:c r="N254" s="72" t="str"/>
      <x:c r="O254" s="72" t="str"/>
      <x:c r="P254" s="72" t="str">
        <x:v>Available</x:v>
      </x:c>
      <x:c r="Q254" s="72" t="n">
        <x:v>0</x:v>
      </x:c>
      <x:c r="R254" s="55" t="str">
        <x:f>IF($D254="","",ROUND(MAX(0,MIN(100,0.35*$J254+0.2*$K254+0.15*$L254+0.15*$M254+0.1*$N254+0.05*$O254-IF(OR($P254="Out",$P254="Suspended"),$Q254,IF($P254="Doubtful",$Q254*0.5,IF($P254="Limited",$Q254*0.25,0))))),2))</x:f>
      </x:c>
      <x:c r="S254" s="55" t="n">
        <x:f>IF($D254="",0,ROUND(IF(OR($P254="Out",$P254="Suspended"),$Q254*$H254,IF($P254="Doubtful",$Q254*$H254*0.5,IF($P254="Limited",$Q254*$H254*0.25,0))),2))</x:f>
        <x:v>0</x:v>
      </x:c>
      <x:c r="T254" s="55" t="str"/>
      <x:c r="U254" s="51" t="str"/>
    </x:row>
    <x:row r="255">
      <x:c r="A255" s="51" t="str">
        <x:v>Haiti</x:v>
      </x:c>
      <x:c r="B255" s="51" t="str">
        <x:v>C</x:v>
      </x:c>
      <x:c r="C255" s="51" t="n">
        <x:v>17</x:v>
      </x:c>
      <x:c r="D255" s="71" t="str"/>
      <x:c r="E255" s="51" t="str">
        <x:v>AM</x:v>
      </x:c>
      <x:c r="F255" s="51" t="str">
        <x:v>Attack</x:v>
      </x:c>
      <x:c r="G255" s="51" t="str">
        <x:v>Rotation</x:v>
      </x:c>
      <x:c r="H255" s="55" t="n">
        <x:v>0.35</x:v>
      </x:c>
      <x:c r="I255" s="51" t="str"/>
      <x:c r="J255" s="72" t="str"/>
      <x:c r="K255" s="72" t="str"/>
      <x:c r="L255" s="72" t="str"/>
      <x:c r="M255" s="72" t="str"/>
      <x:c r="N255" s="72" t="str"/>
      <x:c r="O255" s="72" t="str"/>
      <x:c r="P255" s="72" t="str">
        <x:v>Available</x:v>
      </x:c>
      <x:c r="Q255" s="72" t="n">
        <x:v>0</x:v>
      </x:c>
      <x:c r="R255" s="55" t="str">
        <x:f>IF($D255="","",ROUND(MAX(0,MIN(100,0.35*$J255+0.2*$K255+0.15*$L255+0.15*$M255+0.1*$N255+0.05*$O255-IF(OR($P255="Out",$P255="Suspended"),$Q255,IF($P255="Doubtful",$Q255*0.5,IF($P255="Limited",$Q255*0.25,0))))),2))</x:f>
      </x:c>
      <x:c r="S255" s="55" t="n">
        <x:f>IF($D255="",0,ROUND(IF(OR($P255="Out",$P255="Suspended"),$Q255*$H255,IF($P255="Doubtful",$Q255*$H255*0.5,IF($P255="Limited",$Q255*$H255*0.25,0))),2))</x:f>
        <x:v>0</x:v>
      </x:c>
      <x:c r="T255" s="55" t="str"/>
      <x:c r="U255" s="51" t="str"/>
    </x:row>
    <x:row r="256">
      <x:c r="A256" s="51" t="str">
        <x:v>Haiti</x:v>
      </x:c>
      <x:c r="B256" s="51" t="str">
        <x:v>C</x:v>
      </x:c>
      <x:c r="C256" s="51" t="n">
        <x:v>18</x:v>
      </x:c>
      <x:c r="D256" s="71" t="str"/>
      <x:c r="E256" s="51" t="str">
        <x:v>AM</x:v>
      </x:c>
      <x:c r="F256" s="51" t="str">
        <x:v>Attack</x:v>
      </x:c>
      <x:c r="G256" s="51" t="str">
        <x:v>Rotation</x:v>
      </x:c>
      <x:c r="H256" s="55" t="n">
        <x:v>0.35</x:v>
      </x:c>
      <x:c r="I256" s="51" t="str"/>
      <x:c r="J256" s="72" t="str"/>
      <x:c r="K256" s="72" t="str"/>
      <x:c r="L256" s="72" t="str"/>
      <x:c r="M256" s="72" t="str"/>
      <x:c r="N256" s="72" t="str"/>
      <x:c r="O256" s="72" t="str"/>
      <x:c r="P256" s="72" t="str">
        <x:v>Available</x:v>
      </x:c>
      <x:c r="Q256" s="72" t="n">
        <x:v>0</x:v>
      </x:c>
      <x:c r="R256" s="55" t="str">
        <x:f>IF($D256="","",ROUND(MAX(0,MIN(100,0.35*$J256+0.2*$K256+0.15*$L256+0.15*$M256+0.1*$N256+0.05*$O256-IF(OR($P256="Out",$P256="Suspended"),$Q256,IF($P256="Doubtful",$Q256*0.5,IF($P256="Limited",$Q256*0.25,0))))),2))</x:f>
      </x:c>
      <x:c r="S256" s="55" t="n">
        <x:f>IF($D256="",0,ROUND(IF(OR($P256="Out",$P256="Suspended"),$Q256*$H256,IF($P256="Doubtful",$Q256*$H256*0.5,IF($P256="Limited",$Q256*$H256*0.25,0))),2))</x:f>
        <x:v>0</x:v>
      </x:c>
      <x:c r="T256" s="55" t="str"/>
      <x:c r="U256" s="51" t="str"/>
    </x:row>
    <x:row r="257">
      <x:c r="A257" s="51" t="str">
        <x:v>Haiti</x:v>
      </x:c>
      <x:c r="B257" s="51" t="str">
        <x:v>C</x:v>
      </x:c>
      <x:c r="C257" s="51" t="n">
        <x:v>19</x:v>
      </x:c>
      <x:c r="D257" s="71" t="str"/>
      <x:c r="E257" s="51" t="str">
        <x:v>AM</x:v>
      </x:c>
      <x:c r="F257" s="51" t="str">
        <x:v>Attack</x:v>
      </x:c>
      <x:c r="G257" s="51" t="str">
        <x:v>Rotation</x:v>
      </x:c>
      <x:c r="H257" s="55" t="n">
        <x:v>0.35</x:v>
      </x:c>
      <x:c r="I257" s="51" t="str"/>
      <x:c r="J257" s="72" t="str"/>
      <x:c r="K257" s="72" t="str"/>
      <x:c r="L257" s="72" t="str"/>
      <x:c r="M257" s="72" t="str"/>
      <x:c r="N257" s="72" t="str"/>
      <x:c r="O257" s="72" t="str"/>
      <x:c r="P257" s="72" t="str">
        <x:v>Available</x:v>
      </x:c>
      <x:c r="Q257" s="72" t="n">
        <x:v>0</x:v>
      </x:c>
      <x:c r="R257" s="55" t="str">
        <x:f>IF($D257="","",ROUND(MAX(0,MIN(100,0.35*$J257+0.2*$K257+0.15*$L257+0.15*$M257+0.1*$N257+0.05*$O257-IF(OR($P257="Out",$P257="Suspended"),$Q257,IF($P257="Doubtful",$Q257*0.5,IF($P257="Limited",$Q257*0.25,0))))),2))</x:f>
      </x:c>
      <x:c r="S257" s="55" t="n">
        <x:f>IF($D257="",0,ROUND(IF(OR($P257="Out",$P257="Suspended"),$Q257*$H257,IF($P257="Doubtful",$Q257*$H257*0.5,IF($P257="Limited",$Q257*$H257*0.25,0))),2))</x:f>
        <x:v>0</x:v>
      </x:c>
      <x:c r="T257" s="55" t="str"/>
      <x:c r="U257" s="51" t="str"/>
    </x:row>
    <x:row r="258">
      <x:c r="A258" s="51" t="str">
        <x:v>Haiti</x:v>
      </x:c>
      <x:c r="B258" s="51" t="str">
        <x:v>C</x:v>
      </x:c>
      <x:c r="C258" s="51" t="n">
        <x:v>20</x:v>
      </x:c>
      <x:c r="D258" s="71" t="str"/>
      <x:c r="E258" s="51" t="str">
        <x:v>Winger</x:v>
      </x:c>
      <x:c r="F258" s="51" t="str">
        <x:v>Attack</x:v>
      </x:c>
      <x:c r="G258" s="51" t="str">
        <x:v>Rotation</x:v>
      </x:c>
      <x:c r="H258" s="55" t="n">
        <x:v>0.35</x:v>
      </x:c>
      <x:c r="I258" s="51" t="str"/>
      <x:c r="J258" s="72" t="str"/>
      <x:c r="K258" s="72" t="str"/>
      <x:c r="L258" s="72" t="str"/>
      <x:c r="M258" s="72" t="str"/>
      <x:c r="N258" s="72" t="str"/>
      <x:c r="O258" s="72" t="str"/>
      <x:c r="P258" s="72" t="str">
        <x:v>Available</x:v>
      </x:c>
      <x:c r="Q258" s="72" t="n">
        <x:v>0</x:v>
      </x:c>
      <x:c r="R258" s="55" t="str">
        <x:f>IF($D258="","",ROUND(MAX(0,MIN(100,0.35*$J258+0.2*$K258+0.15*$L258+0.15*$M258+0.1*$N258+0.05*$O258-IF(OR($P258="Out",$P258="Suspended"),$Q258,IF($P258="Doubtful",$Q258*0.5,IF($P258="Limited",$Q258*0.25,0))))),2))</x:f>
      </x:c>
      <x:c r="S258" s="55" t="n">
        <x:f>IF($D258="",0,ROUND(IF(OR($P258="Out",$P258="Suspended"),$Q258*$H258,IF($P258="Doubtful",$Q258*$H258*0.5,IF($P258="Limited",$Q258*$H258*0.25,0))),2))</x:f>
        <x:v>0</x:v>
      </x:c>
      <x:c r="T258" s="55" t="str"/>
      <x:c r="U258" s="51" t="str"/>
    </x:row>
    <x:row r="259">
      <x:c r="A259" s="51" t="str">
        <x:v>Haiti</x:v>
      </x:c>
      <x:c r="B259" s="51" t="str">
        <x:v>C</x:v>
      </x:c>
      <x:c r="C259" s="51" t="n">
        <x:v>21</x:v>
      </x:c>
      <x:c r="D259" s="71" t="str"/>
      <x:c r="E259" s="51" t="str">
        <x:v>Winger</x:v>
      </x:c>
      <x:c r="F259" s="51" t="str">
        <x:v>Attack</x:v>
      </x:c>
      <x:c r="G259" s="51" t="str">
        <x:v>Depth</x:v>
      </x:c>
      <x:c r="H259" s="55" t="n">
        <x:v>0.1</x:v>
      </x:c>
      <x:c r="I259" s="51" t="str"/>
      <x:c r="J259" s="72" t="str"/>
      <x:c r="K259" s="72" t="str"/>
      <x:c r="L259" s="72" t="str"/>
      <x:c r="M259" s="72" t="str"/>
      <x:c r="N259" s="72" t="str"/>
      <x:c r="O259" s="72" t="str"/>
      <x:c r="P259" s="72" t="str">
        <x:v>Available</x:v>
      </x:c>
      <x:c r="Q259" s="72" t="n">
        <x:v>0</x:v>
      </x:c>
      <x:c r="R259" s="55" t="str">
        <x:f>IF($D259="","",ROUND(MAX(0,MIN(100,0.35*$J259+0.2*$K259+0.15*$L259+0.15*$M259+0.1*$N259+0.05*$O259-IF(OR($P259="Out",$P259="Suspended"),$Q259,IF($P259="Doubtful",$Q259*0.5,IF($P259="Limited",$Q259*0.25,0))))),2))</x:f>
      </x:c>
      <x:c r="S259" s="55" t="n">
        <x:f>IF($D259="",0,ROUND(IF(OR($P259="Out",$P259="Suspended"),$Q259*$H259,IF($P259="Doubtful",$Q259*$H259*0.5,IF($P259="Limited",$Q259*$H259*0.25,0))),2))</x:f>
        <x:v>0</x:v>
      </x:c>
      <x:c r="T259" s="55" t="str"/>
      <x:c r="U259" s="51" t="str"/>
    </x:row>
    <x:row r="260">
      <x:c r="A260" s="51" t="str">
        <x:v>Haiti</x:v>
      </x:c>
      <x:c r="B260" s="51" t="str">
        <x:v>C</x:v>
      </x:c>
      <x:c r="C260" s="51" t="n">
        <x:v>22</x:v>
      </x:c>
      <x:c r="D260" s="71" t="str"/>
      <x:c r="E260" s="51" t="str">
        <x:v>Winger</x:v>
      </x:c>
      <x:c r="F260" s="51" t="str">
        <x:v>Attack</x:v>
      </x:c>
      <x:c r="G260" s="51" t="str">
        <x:v>Depth</x:v>
      </x:c>
      <x:c r="H260" s="55" t="n">
        <x:v>0.1</x:v>
      </x:c>
      <x:c r="I260" s="51" t="str"/>
      <x:c r="J260" s="72" t="str"/>
      <x:c r="K260" s="72" t="str"/>
      <x:c r="L260" s="72" t="str"/>
      <x:c r="M260" s="72" t="str"/>
      <x:c r="N260" s="72" t="str"/>
      <x:c r="O260" s="72" t="str"/>
      <x:c r="P260" s="72" t="str">
        <x:v>Available</x:v>
      </x:c>
      <x:c r="Q260" s="72" t="n">
        <x:v>0</x:v>
      </x:c>
      <x:c r="R260" s="55" t="str">
        <x:f>IF($D260="","",ROUND(MAX(0,MIN(100,0.35*$J260+0.2*$K260+0.15*$L260+0.15*$M260+0.1*$N260+0.05*$O260-IF(OR($P260="Out",$P260="Suspended"),$Q260,IF($P260="Doubtful",$Q260*0.5,IF($P260="Limited",$Q260*0.25,0))))),2))</x:f>
      </x:c>
      <x:c r="S260" s="55" t="n">
        <x:f>IF($D260="",0,ROUND(IF(OR($P260="Out",$P260="Suspended"),$Q260*$H260,IF($P260="Doubtful",$Q260*$H260*0.5,IF($P260="Limited",$Q260*$H260*0.25,0))),2))</x:f>
        <x:v>0</x:v>
      </x:c>
      <x:c r="T260" s="55" t="str"/>
      <x:c r="U260" s="51" t="str"/>
    </x:row>
    <x:row r="261">
      <x:c r="A261" s="51" t="str">
        <x:v>Haiti</x:v>
      </x:c>
      <x:c r="B261" s="51" t="str">
        <x:v>C</x:v>
      </x:c>
      <x:c r="C261" s="51" t="n">
        <x:v>23</x:v>
      </x:c>
      <x:c r="D261" s="71" t="str"/>
      <x:c r="E261" s="51" t="str">
        <x:v>Winger</x:v>
      </x:c>
      <x:c r="F261" s="51" t="str">
        <x:v>Attack</x:v>
      </x:c>
      <x:c r="G261" s="51" t="str">
        <x:v>Depth</x:v>
      </x:c>
      <x:c r="H261" s="55" t="n">
        <x:v>0.1</x:v>
      </x:c>
      <x:c r="I261" s="51" t="str"/>
      <x:c r="J261" s="72" t="str"/>
      <x:c r="K261" s="72" t="str"/>
      <x:c r="L261" s="72" t="str"/>
      <x:c r="M261" s="72" t="str"/>
      <x:c r="N261" s="72" t="str"/>
      <x:c r="O261" s="72" t="str"/>
      <x:c r="P261" s="72" t="str">
        <x:v>Available</x:v>
      </x:c>
      <x:c r="Q261" s="72" t="n">
        <x:v>0</x:v>
      </x:c>
      <x:c r="R261" s="55" t="str">
        <x:f>IF($D261="","",ROUND(MAX(0,MIN(100,0.35*$J261+0.2*$K261+0.15*$L261+0.15*$M261+0.1*$N261+0.05*$O261-IF(OR($P261="Out",$P261="Suspended"),$Q261,IF($P261="Doubtful",$Q261*0.5,IF($P261="Limited",$Q261*0.25,0))))),2))</x:f>
      </x:c>
      <x:c r="S261" s="55" t="n">
        <x:f>IF($D261="",0,ROUND(IF(OR($P261="Out",$P261="Suspended"),$Q261*$H261,IF($P261="Doubtful",$Q261*$H261*0.5,IF($P261="Limited",$Q261*$H261*0.25,0))),2))</x:f>
        <x:v>0</x:v>
      </x:c>
      <x:c r="T261" s="55" t="str"/>
      <x:c r="U261" s="51" t="str"/>
    </x:row>
    <x:row r="262">
      <x:c r="A262" s="51" t="str">
        <x:v>Haiti</x:v>
      </x:c>
      <x:c r="B262" s="51" t="str">
        <x:v>C</x:v>
      </x:c>
      <x:c r="C262" s="51" t="n">
        <x:v>24</x:v>
      </x:c>
      <x:c r="D262" s="71" t="str"/>
      <x:c r="E262" s="51" t="str">
        <x:v>ST</x:v>
      </x:c>
      <x:c r="F262" s="51" t="str">
        <x:v>Attack</x:v>
      </x:c>
      <x:c r="G262" s="51" t="str">
        <x:v>Depth</x:v>
      </x:c>
      <x:c r="H262" s="55" t="n">
        <x:v>0.1</x:v>
      </x:c>
      <x:c r="I262" s="51" t="str"/>
      <x:c r="J262" s="72" t="str"/>
      <x:c r="K262" s="72" t="str"/>
      <x:c r="L262" s="72" t="str"/>
      <x:c r="M262" s="72" t="str"/>
      <x:c r="N262" s="72" t="str"/>
      <x:c r="O262" s="72" t="str"/>
      <x:c r="P262" s="72" t="str">
        <x:v>Available</x:v>
      </x:c>
      <x:c r="Q262" s="72" t="n">
        <x:v>0</x:v>
      </x:c>
      <x:c r="R262" s="55" t="str">
        <x:f>IF($D262="","",ROUND(MAX(0,MIN(100,0.35*$J262+0.2*$K262+0.15*$L262+0.15*$M262+0.1*$N262+0.05*$O262-IF(OR($P262="Out",$P262="Suspended"),$Q262,IF($P262="Doubtful",$Q262*0.5,IF($P262="Limited",$Q262*0.25,0))))),2))</x:f>
      </x:c>
      <x:c r="S262" s="55" t="n">
        <x:f>IF($D262="",0,ROUND(IF(OR($P262="Out",$P262="Suspended"),$Q262*$H262,IF($P262="Doubtful",$Q262*$H262*0.5,IF($P262="Limited",$Q262*$H262*0.25,0))),2))</x:f>
        <x:v>0</x:v>
      </x:c>
      <x:c r="T262" s="55" t="str"/>
      <x:c r="U262" s="51" t="str"/>
    </x:row>
    <x:row r="263">
      <x:c r="A263" s="51" t="str">
        <x:v>Haiti</x:v>
      </x:c>
      <x:c r="B263" s="51" t="str">
        <x:v>C</x:v>
      </x:c>
      <x:c r="C263" s="51" t="n">
        <x:v>25</x:v>
      </x:c>
      <x:c r="D263" s="71" t="str"/>
      <x:c r="E263" s="51" t="str">
        <x:v>ST</x:v>
      </x:c>
      <x:c r="F263" s="51" t="str">
        <x:v>Attack</x:v>
      </x:c>
      <x:c r="G263" s="51" t="str">
        <x:v>Depth</x:v>
      </x:c>
      <x:c r="H263" s="55" t="n">
        <x:v>0.1</x:v>
      </x:c>
      <x:c r="I263" s="51" t="str"/>
      <x:c r="J263" s="72" t="str"/>
      <x:c r="K263" s="72" t="str"/>
      <x:c r="L263" s="72" t="str"/>
      <x:c r="M263" s="72" t="str"/>
      <x:c r="N263" s="72" t="str"/>
      <x:c r="O263" s="72" t="str"/>
      <x:c r="P263" s="72" t="str">
        <x:v>Available</x:v>
      </x:c>
      <x:c r="Q263" s="72" t="n">
        <x:v>0</x:v>
      </x:c>
      <x:c r="R263" s="55" t="str">
        <x:f>IF($D263="","",ROUND(MAX(0,MIN(100,0.35*$J263+0.2*$K263+0.15*$L263+0.15*$M263+0.1*$N263+0.05*$O263-IF(OR($P263="Out",$P263="Suspended"),$Q263,IF($P263="Doubtful",$Q263*0.5,IF($P263="Limited",$Q263*0.25,0))))),2))</x:f>
      </x:c>
      <x:c r="S263" s="55" t="n">
        <x:f>IF($D263="",0,ROUND(IF(OR($P263="Out",$P263="Suspended"),$Q263*$H263,IF($P263="Doubtful",$Q263*$H263*0.5,IF($P263="Limited",$Q263*$H263*0.25,0))),2))</x:f>
        <x:v>0</x:v>
      </x:c>
      <x:c r="T263" s="55" t="str"/>
      <x:c r="U263" s="51" t="str"/>
    </x:row>
    <x:row r="264">
      <x:c r="A264" s="51" t="str">
        <x:v>Haiti</x:v>
      </x:c>
      <x:c r="B264" s="51" t="str">
        <x:v>C</x:v>
      </x:c>
      <x:c r="C264" s="51" t="n">
        <x:v>26</x:v>
      </x:c>
      <x:c r="D264" s="71" t="str"/>
      <x:c r="E264" s="51" t="str">
        <x:v>ST</x:v>
      </x:c>
      <x:c r="F264" s="51" t="str">
        <x:v>Attack</x:v>
      </x:c>
      <x:c r="G264" s="51" t="str">
        <x:v>Depth</x:v>
      </x:c>
      <x:c r="H264" s="55" t="n">
        <x:v>0.1</x:v>
      </x:c>
      <x:c r="I264" s="51" t="str"/>
      <x:c r="J264" s="72" t="str"/>
      <x:c r="K264" s="72" t="str"/>
      <x:c r="L264" s="72" t="str"/>
      <x:c r="M264" s="72" t="str"/>
      <x:c r="N264" s="72" t="str"/>
      <x:c r="O264" s="72" t="str"/>
      <x:c r="P264" s="72" t="str">
        <x:v>Available</x:v>
      </x:c>
      <x:c r="Q264" s="72" t="n">
        <x:v>0</x:v>
      </x:c>
      <x:c r="R264" s="55" t="str">
        <x:f>IF($D264="","",ROUND(MAX(0,MIN(100,0.35*$J264+0.2*$K264+0.15*$L264+0.15*$M264+0.1*$N264+0.05*$O264-IF(OR($P264="Out",$P264="Suspended"),$Q264,IF($P264="Doubtful",$Q264*0.5,IF($P264="Limited",$Q264*0.25,0))))),2))</x:f>
      </x:c>
      <x:c r="S264" s="55" t="n">
        <x:f>IF($D264="",0,ROUND(IF(OR($P264="Out",$P264="Suspended"),$Q264*$H264,IF($P264="Doubtful",$Q264*$H264*0.5,IF($P264="Limited",$Q264*$H264*0.25,0))),2))</x:f>
        <x:v>0</x:v>
      </x:c>
      <x:c r="T264" s="55" t="str"/>
      <x:c r="U264" s="51" t="str"/>
    </x:row>
    <x:row r="265">
      <x:c r="A265" s="51" t="str">
        <x:v>Morocco</x:v>
      </x:c>
      <x:c r="B265" s="51" t="str">
        <x:v>C</x:v>
      </x:c>
      <x:c r="C265" s="51" t="n">
        <x:v>1</x:v>
      </x:c>
      <x:c r="D265" s="71" t="str"/>
      <x:c r="E265" s="51" t="str">
        <x:v>GK</x:v>
      </x:c>
      <x:c r="F265" s="51" t="str">
        <x:v>GK</x:v>
      </x:c>
      <x:c r="G265" s="51" t="str">
        <x:v>Starter</x:v>
      </x:c>
      <x:c r="H265" s="55" t="n">
        <x:v>1</x:v>
      </x:c>
      <x:c r="I265" s="51" t="str"/>
      <x:c r="J265" s="72" t="str"/>
      <x:c r="K265" s="72" t="str"/>
      <x:c r="L265" s="72" t="str"/>
      <x:c r="M265" s="72" t="str"/>
      <x:c r="N265" s="72" t="str"/>
      <x:c r="O265" s="72" t="str"/>
      <x:c r="P265" s="72" t="str">
        <x:v>Available</x:v>
      </x:c>
      <x:c r="Q265" s="72" t="n">
        <x:v>0</x:v>
      </x:c>
      <x:c r="R265" s="55" t="str">
        <x:f>IF($D265="","",ROUND(MAX(0,MIN(100,0.35*$J265+0.2*$K265+0.15*$L265+0.15*$M265+0.1*$N265+0.05*$O265-IF(OR($P265="Out",$P265="Suspended"),$Q265,IF($P265="Doubtful",$Q265*0.5,IF($P265="Limited",$Q265*0.25,0))))),2))</x:f>
      </x:c>
      <x:c r="S265" s="55" t="n">
        <x:f>IF($D265="",0,ROUND(IF(OR($P265="Out",$P265="Suspended"),$Q265*$H265,IF($P265="Doubtful",$Q265*$H265*0.5,IF($P265="Limited",$Q265*$H265*0.25,0))),2))</x:f>
        <x:v>0</x:v>
      </x:c>
      <x:c r="T265" s="55" t="str"/>
      <x:c r="U265" s="51" t="str"/>
    </x:row>
    <x:row r="266">
      <x:c r="A266" s="51" t="str">
        <x:v>Morocco</x:v>
      </x:c>
      <x:c r="B266" s="51" t="str">
        <x:v>C</x:v>
      </x:c>
      <x:c r="C266" s="51" t="n">
        <x:v>2</x:v>
      </x:c>
      <x:c r="D266" s="71" t="str"/>
      <x:c r="E266" s="51" t="str">
        <x:v>GK</x:v>
      </x:c>
      <x:c r="F266" s="51" t="str">
        <x:v>GK</x:v>
      </x:c>
      <x:c r="G266" s="51" t="str">
        <x:v>Starter</x:v>
      </x:c>
      <x:c r="H266" s="55" t="n">
        <x:v>1</x:v>
      </x:c>
      <x:c r="I266" s="51" t="str"/>
      <x:c r="J266" s="72" t="str"/>
      <x:c r="K266" s="72" t="str"/>
      <x:c r="L266" s="72" t="str"/>
      <x:c r="M266" s="72" t="str"/>
      <x:c r="N266" s="72" t="str"/>
      <x:c r="O266" s="72" t="str"/>
      <x:c r="P266" s="72" t="str">
        <x:v>Available</x:v>
      </x:c>
      <x:c r="Q266" s="72" t="n">
        <x:v>0</x:v>
      </x:c>
      <x:c r="R266" s="55" t="str">
        <x:f>IF($D266="","",ROUND(MAX(0,MIN(100,0.35*$J266+0.2*$K266+0.15*$L266+0.15*$M266+0.1*$N266+0.05*$O266-IF(OR($P266="Out",$P266="Suspended"),$Q266,IF($P266="Doubtful",$Q266*0.5,IF($P266="Limited",$Q266*0.25,0))))),2))</x:f>
      </x:c>
      <x:c r="S266" s="55" t="n">
        <x:f>IF($D266="",0,ROUND(IF(OR($P266="Out",$P266="Suspended"),$Q266*$H266,IF($P266="Doubtful",$Q266*$H266*0.5,IF($P266="Limited",$Q266*$H266*0.25,0))),2))</x:f>
        <x:v>0</x:v>
      </x:c>
      <x:c r="T266" s="55" t="str"/>
      <x:c r="U266" s="51" t="str"/>
    </x:row>
    <x:row r="267">
      <x:c r="A267" s="51" t="str">
        <x:v>Morocco</x:v>
      </x:c>
      <x:c r="B267" s="51" t="str">
        <x:v>C</x:v>
      </x:c>
      <x:c r="C267" s="51" t="n">
        <x:v>3</x:v>
      </x:c>
      <x:c r="D267" s="71" t="str"/>
      <x:c r="E267" s="51" t="str">
        <x:v>GK</x:v>
      </x:c>
      <x:c r="F267" s="51" t="str">
        <x:v>GK</x:v>
      </x:c>
      <x:c r="G267" s="51" t="str">
        <x:v>Starter</x:v>
      </x:c>
      <x:c r="H267" s="55" t="n">
        <x:v>1</x:v>
      </x:c>
      <x:c r="I267" s="51" t="str"/>
      <x:c r="J267" s="72" t="str"/>
      <x:c r="K267" s="72" t="str"/>
      <x:c r="L267" s="72" t="str"/>
      <x:c r="M267" s="72" t="str"/>
      <x:c r="N267" s="72" t="str"/>
      <x:c r="O267" s="72" t="str"/>
      <x:c r="P267" s="72" t="str">
        <x:v>Available</x:v>
      </x:c>
      <x:c r="Q267" s="72" t="n">
        <x:v>0</x:v>
      </x:c>
      <x:c r="R267" s="55" t="str">
        <x:f>IF($D267="","",ROUND(MAX(0,MIN(100,0.35*$J267+0.2*$K267+0.15*$L267+0.15*$M267+0.1*$N267+0.05*$O267-IF(OR($P267="Out",$P267="Suspended"),$Q267,IF($P267="Doubtful",$Q267*0.5,IF($P267="Limited",$Q267*0.25,0))))),2))</x:f>
      </x:c>
      <x:c r="S267" s="55" t="n">
        <x:f>IF($D267="",0,ROUND(IF(OR($P267="Out",$P267="Suspended"),$Q267*$H267,IF($P267="Doubtful",$Q267*$H267*0.5,IF($P267="Limited",$Q267*$H267*0.25,0))),2))</x:f>
        <x:v>0</x:v>
      </x:c>
      <x:c r="T267" s="55" t="str"/>
      <x:c r="U267" s="51" t="str"/>
    </x:row>
    <x:row r="268">
      <x:c r="A268" s="51" t="str">
        <x:v>Morocco</x:v>
      </x:c>
      <x:c r="B268" s="51" t="str">
        <x:v>C</x:v>
      </x:c>
      <x:c r="C268" s="51" t="n">
        <x:v>4</x:v>
      </x:c>
      <x:c r="D268" s="71" t="str"/>
      <x:c r="E268" s="51" t="str">
        <x:v>CB</x:v>
      </x:c>
      <x:c r="F268" s="51" t="str">
        <x:v>Defence</x:v>
      </x:c>
      <x:c r="G268" s="51" t="str">
        <x:v>Starter</x:v>
      </x:c>
      <x:c r="H268" s="55" t="n">
        <x:v>1</x:v>
      </x:c>
      <x:c r="I268" s="51" t="str"/>
      <x:c r="J268" s="72" t="str"/>
      <x:c r="K268" s="72" t="str"/>
      <x:c r="L268" s="72" t="str"/>
      <x:c r="M268" s="72" t="str"/>
      <x:c r="N268" s="72" t="str"/>
      <x:c r="O268" s="72" t="str"/>
      <x:c r="P268" s="72" t="str">
        <x:v>Available</x:v>
      </x:c>
      <x:c r="Q268" s="72" t="n">
        <x:v>0</x:v>
      </x:c>
      <x:c r="R268" s="55" t="str">
        <x:f>IF($D268="","",ROUND(MAX(0,MIN(100,0.35*$J268+0.2*$K268+0.15*$L268+0.15*$M268+0.1*$N268+0.05*$O268-IF(OR($P268="Out",$P268="Suspended"),$Q268,IF($P268="Doubtful",$Q268*0.5,IF($P268="Limited",$Q268*0.25,0))))),2))</x:f>
      </x:c>
      <x:c r="S268" s="55" t="n">
        <x:f>IF($D268="",0,ROUND(IF(OR($P268="Out",$P268="Suspended"),$Q268*$H268,IF($P268="Doubtful",$Q268*$H268*0.5,IF($P268="Limited",$Q268*$H268*0.25,0))),2))</x:f>
        <x:v>0</x:v>
      </x:c>
      <x:c r="T268" s="55" t="str"/>
      <x:c r="U268" s="51" t="str"/>
    </x:row>
    <x:row r="269">
      <x:c r="A269" s="51" t="str">
        <x:v>Morocco</x:v>
      </x:c>
      <x:c r="B269" s="51" t="str">
        <x:v>C</x:v>
      </x:c>
      <x:c r="C269" s="51" t="n">
        <x:v>5</x:v>
      </x:c>
      <x:c r="D269" s="71" t="str"/>
      <x:c r="E269" s="51" t="str">
        <x:v>CB</x:v>
      </x:c>
      <x:c r="F269" s="51" t="str">
        <x:v>Defence</x:v>
      </x:c>
      <x:c r="G269" s="51" t="str">
        <x:v>Starter</x:v>
      </x:c>
      <x:c r="H269" s="55" t="n">
        <x:v>1</x:v>
      </x:c>
      <x:c r="I269" s="51" t="str"/>
      <x:c r="J269" s="72" t="str"/>
      <x:c r="K269" s="72" t="str"/>
      <x:c r="L269" s="72" t="str"/>
      <x:c r="M269" s="72" t="str"/>
      <x:c r="N269" s="72" t="str"/>
      <x:c r="O269" s="72" t="str"/>
      <x:c r="P269" s="72" t="str">
        <x:v>Available</x:v>
      </x:c>
      <x:c r="Q269" s="72" t="n">
        <x:v>0</x:v>
      </x:c>
      <x:c r="R269" s="55" t="str">
        <x:f>IF($D269="","",ROUND(MAX(0,MIN(100,0.35*$J269+0.2*$K269+0.15*$L269+0.15*$M269+0.1*$N269+0.05*$O269-IF(OR($P269="Out",$P269="Suspended"),$Q269,IF($P269="Doubtful",$Q269*0.5,IF($P269="Limited",$Q269*0.25,0))))),2))</x:f>
      </x:c>
      <x:c r="S269" s="55" t="n">
        <x:f>IF($D269="",0,ROUND(IF(OR($P269="Out",$P269="Suspended"),$Q269*$H269,IF($P269="Doubtful",$Q269*$H269*0.5,IF($P269="Limited",$Q269*$H269*0.25,0))),2))</x:f>
        <x:v>0</x:v>
      </x:c>
      <x:c r="T269" s="55" t="str"/>
      <x:c r="U269" s="51" t="str"/>
    </x:row>
    <x:row r="270">
      <x:c r="A270" s="51" t="str">
        <x:v>Morocco</x:v>
      </x:c>
      <x:c r="B270" s="51" t="str">
        <x:v>C</x:v>
      </x:c>
      <x:c r="C270" s="51" t="n">
        <x:v>6</x:v>
      </x:c>
      <x:c r="D270" s="71" t="str"/>
      <x:c r="E270" s="51" t="str">
        <x:v>CB</x:v>
      </x:c>
      <x:c r="F270" s="51" t="str">
        <x:v>Defence</x:v>
      </x:c>
      <x:c r="G270" s="51" t="str">
        <x:v>Starter</x:v>
      </x:c>
      <x:c r="H270" s="55" t="n">
        <x:v>1</x:v>
      </x:c>
      <x:c r="I270" s="51" t="str"/>
      <x:c r="J270" s="72" t="str"/>
      <x:c r="K270" s="72" t="str"/>
      <x:c r="L270" s="72" t="str"/>
      <x:c r="M270" s="72" t="str"/>
      <x:c r="N270" s="72" t="str"/>
      <x:c r="O270" s="72" t="str"/>
      <x:c r="P270" s="72" t="str">
        <x:v>Available</x:v>
      </x:c>
      <x:c r="Q270" s="72" t="n">
        <x:v>0</x:v>
      </x:c>
      <x:c r="R270" s="55" t="str">
        <x:f>IF($D270="","",ROUND(MAX(0,MIN(100,0.35*$J270+0.2*$K270+0.15*$L270+0.15*$M270+0.1*$N270+0.05*$O270-IF(OR($P270="Out",$P270="Suspended"),$Q270,IF($P270="Doubtful",$Q270*0.5,IF($P270="Limited",$Q270*0.25,0))))),2))</x:f>
      </x:c>
      <x:c r="S270" s="55" t="n">
        <x:f>IF($D270="",0,ROUND(IF(OR($P270="Out",$P270="Suspended"),$Q270*$H270,IF($P270="Doubtful",$Q270*$H270*0.5,IF($P270="Limited",$Q270*$H270*0.25,0))),2))</x:f>
        <x:v>0</x:v>
      </x:c>
      <x:c r="T270" s="55" t="str"/>
      <x:c r="U270" s="51" t="str"/>
    </x:row>
    <x:row r="271">
      <x:c r="A271" s="51" t="str">
        <x:v>Morocco</x:v>
      </x:c>
      <x:c r="B271" s="51" t="str">
        <x:v>C</x:v>
      </x:c>
      <x:c r="C271" s="51" t="n">
        <x:v>7</x:v>
      </x:c>
      <x:c r="D271" s="71" t="str"/>
      <x:c r="E271" s="51" t="str">
        <x:v>FB</x:v>
      </x:c>
      <x:c r="F271" s="51" t="str">
        <x:v>Defence</x:v>
      </x:c>
      <x:c r="G271" s="51" t="str">
        <x:v>Starter</x:v>
      </x:c>
      <x:c r="H271" s="55" t="n">
        <x:v>1</x:v>
      </x:c>
      <x:c r="I271" s="51" t="str"/>
      <x:c r="J271" s="72" t="str"/>
      <x:c r="K271" s="72" t="str"/>
      <x:c r="L271" s="72" t="str"/>
      <x:c r="M271" s="72" t="str"/>
      <x:c r="N271" s="72" t="str"/>
      <x:c r="O271" s="72" t="str"/>
      <x:c r="P271" s="72" t="str">
        <x:v>Available</x:v>
      </x:c>
      <x:c r="Q271" s="72" t="n">
        <x:v>0</x:v>
      </x:c>
      <x:c r="R271" s="55" t="str">
        <x:f>IF($D271="","",ROUND(MAX(0,MIN(100,0.35*$J271+0.2*$K271+0.15*$L271+0.15*$M271+0.1*$N271+0.05*$O271-IF(OR($P271="Out",$P271="Suspended"),$Q271,IF($P271="Doubtful",$Q271*0.5,IF($P271="Limited",$Q271*0.25,0))))),2))</x:f>
      </x:c>
      <x:c r="S271" s="55" t="n">
        <x:f>IF($D271="",0,ROUND(IF(OR($P271="Out",$P271="Suspended"),$Q271*$H271,IF($P271="Doubtful",$Q271*$H271*0.5,IF($P271="Limited",$Q271*$H271*0.25,0))),2))</x:f>
        <x:v>0</x:v>
      </x:c>
      <x:c r="T271" s="55" t="str"/>
      <x:c r="U271" s="51" t="str"/>
    </x:row>
    <x:row r="272">
      <x:c r="A272" s="51" t="str">
        <x:v>Morocco</x:v>
      </x:c>
      <x:c r="B272" s="51" t="str">
        <x:v>C</x:v>
      </x:c>
      <x:c r="C272" s="51" t="n">
        <x:v>8</x:v>
      </x:c>
      <x:c r="D272" s="71" t="str"/>
      <x:c r="E272" s="51" t="str">
        <x:v>FB</x:v>
      </x:c>
      <x:c r="F272" s="51" t="str">
        <x:v>Defence</x:v>
      </x:c>
      <x:c r="G272" s="51" t="str">
        <x:v>Starter</x:v>
      </x:c>
      <x:c r="H272" s="55" t="n">
        <x:v>1</x:v>
      </x:c>
      <x:c r="I272" s="51" t="str"/>
      <x:c r="J272" s="72" t="str"/>
      <x:c r="K272" s="72" t="str"/>
      <x:c r="L272" s="72" t="str"/>
      <x:c r="M272" s="72" t="str"/>
      <x:c r="N272" s="72" t="str"/>
      <x:c r="O272" s="72" t="str"/>
      <x:c r="P272" s="72" t="str">
        <x:v>Available</x:v>
      </x:c>
      <x:c r="Q272" s="72" t="n">
        <x:v>0</x:v>
      </x:c>
      <x:c r="R272" s="55" t="str">
        <x:f>IF($D272="","",ROUND(MAX(0,MIN(100,0.35*$J272+0.2*$K272+0.15*$L272+0.15*$M272+0.1*$N272+0.05*$O272-IF(OR($P272="Out",$P272="Suspended"),$Q272,IF($P272="Doubtful",$Q272*0.5,IF($P272="Limited",$Q272*0.25,0))))),2))</x:f>
      </x:c>
      <x:c r="S272" s="55" t="n">
        <x:f>IF($D272="",0,ROUND(IF(OR($P272="Out",$P272="Suspended"),$Q272*$H272,IF($P272="Doubtful",$Q272*$H272*0.5,IF($P272="Limited",$Q272*$H272*0.25,0))),2))</x:f>
        <x:v>0</x:v>
      </x:c>
      <x:c r="T272" s="55" t="str"/>
      <x:c r="U272" s="51" t="str"/>
    </x:row>
    <x:row r="273">
      <x:c r="A273" s="51" t="str">
        <x:v>Morocco</x:v>
      </x:c>
      <x:c r="B273" s="51" t="str">
        <x:v>C</x:v>
      </x:c>
      <x:c r="C273" s="51" t="n">
        <x:v>9</x:v>
      </x:c>
      <x:c r="D273" s="71" t="str"/>
      <x:c r="E273" s="51" t="str">
        <x:v>DM</x:v>
      </x:c>
      <x:c r="F273" s="51" t="str">
        <x:v>Midfield</x:v>
      </x:c>
      <x:c r="G273" s="51" t="str">
        <x:v>Starter</x:v>
      </x:c>
      <x:c r="H273" s="55" t="n">
        <x:v>1</x:v>
      </x:c>
      <x:c r="I273" s="51" t="str"/>
      <x:c r="J273" s="72" t="str"/>
      <x:c r="K273" s="72" t="str"/>
      <x:c r="L273" s="72" t="str"/>
      <x:c r="M273" s="72" t="str"/>
      <x:c r="N273" s="72" t="str"/>
      <x:c r="O273" s="72" t="str"/>
      <x:c r="P273" s="72" t="str">
        <x:v>Available</x:v>
      </x:c>
      <x:c r="Q273" s="72" t="n">
        <x:v>0</x:v>
      </x:c>
      <x:c r="R273" s="55" t="str">
        <x:f>IF($D273="","",ROUND(MAX(0,MIN(100,0.35*$J273+0.2*$K273+0.15*$L273+0.15*$M273+0.1*$N273+0.05*$O273-IF(OR($P273="Out",$P273="Suspended"),$Q273,IF($P273="Doubtful",$Q273*0.5,IF($P273="Limited",$Q273*0.25,0))))),2))</x:f>
      </x:c>
      <x:c r="S273" s="55" t="n">
        <x:f>IF($D273="",0,ROUND(IF(OR($P273="Out",$P273="Suspended"),$Q273*$H273,IF($P273="Doubtful",$Q273*$H273*0.5,IF($P273="Limited",$Q273*$H273*0.25,0))),2))</x:f>
        <x:v>0</x:v>
      </x:c>
      <x:c r="T273" s="55" t="str"/>
      <x:c r="U273" s="51" t="str"/>
    </x:row>
    <x:row r="274">
      <x:c r="A274" s="51" t="str">
        <x:v>Morocco</x:v>
      </x:c>
      <x:c r="B274" s="51" t="str">
        <x:v>C</x:v>
      </x:c>
      <x:c r="C274" s="51" t="n">
        <x:v>10</x:v>
      </x:c>
      <x:c r="D274" s="71" t="str"/>
      <x:c r="E274" s="51" t="str">
        <x:v>DM</x:v>
      </x:c>
      <x:c r="F274" s="51" t="str">
        <x:v>Midfield</x:v>
      </x:c>
      <x:c r="G274" s="51" t="str">
        <x:v>Starter</x:v>
      </x:c>
      <x:c r="H274" s="55" t="n">
        <x:v>1</x:v>
      </x:c>
      <x:c r="I274" s="51" t="str"/>
      <x:c r="J274" s="72" t="str"/>
      <x:c r="K274" s="72" t="str"/>
      <x:c r="L274" s="72" t="str"/>
      <x:c r="M274" s="72" t="str"/>
      <x:c r="N274" s="72" t="str"/>
      <x:c r="O274" s="72" t="str"/>
      <x:c r="P274" s="72" t="str">
        <x:v>Available</x:v>
      </x:c>
      <x:c r="Q274" s="72" t="n">
        <x:v>0</x:v>
      </x:c>
      <x:c r="R274" s="55" t="str">
        <x:f>IF($D274="","",ROUND(MAX(0,MIN(100,0.35*$J274+0.2*$K274+0.15*$L274+0.15*$M274+0.1*$N274+0.05*$O274-IF(OR($P274="Out",$P274="Suspended"),$Q274,IF($P274="Doubtful",$Q274*0.5,IF($P274="Limited",$Q274*0.25,0))))),2))</x:f>
      </x:c>
      <x:c r="S274" s="55" t="n">
        <x:f>IF($D274="",0,ROUND(IF(OR($P274="Out",$P274="Suspended"),$Q274*$H274,IF($P274="Doubtful",$Q274*$H274*0.5,IF($P274="Limited",$Q274*$H274*0.25,0))),2))</x:f>
        <x:v>0</x:v>
      </x:c>
      <x:c r="T274" s="55" t="str"/>
      <x:c r="U274" s="51" t="str"/>
    </x:row>
    <x:row r="275">
      <x:c r="A275" s="51" t="str">
        <x:v>Morocco</x:v>
      </x:c>
      <x:c r="B275" s="51" t="str">
        <x:v>C</x:v>
      </x:c>
      <x:c r="C275" s="51" t="n">
        <x:v>11</x:v>
      </x:c>
      <x:c r="D275" s="71" t="str"/>
      <x:c r="E275" s="51" t="str">
        <x:v>DM</x:v>
      </x:c>
      <x:c r="F275" s="51" t="str">
        <x:v>Midfield</x:v>
      </x:c>
      <x:c r="G275" s="51" t="str">
        <x:v>Starter</x:v>
      </x:c>
      <x:c r="H275" s="55" t="n">
        <x:v>1</x:v>
      </x:c>
      <x:c r="I275" s="51" t="str"/>
      <x:c r="J275" s="72" t="str"/>
      <x:c r="K275" s="72" t="str"/>
      <x:c r="L275" s="72" t="str"/>
      <x:c r="M275" s="72" t="str"/>
      <x:c r="N275" s="72" t="str"/>
      <x:c r="O275" s="72" t="str"/>
      <x:c r="P275" s="72" t="str">
        <x:v>Available</x:v>
      </x:c>
      <x:c r="Q275" s="72" t="n">
        <x:v>0</x:v>
      </x:c>
      <x:c r="R275" s="55" t="str">
        <x:f>IF($D275="","",ROUND(MAX(0,MIN(100,0.35*$J275+0.2*$K275+0.15*$L275+0.15*$M275+0.1*$N275+0.05*$O275-IF(OR($P275="Out",$P275="Suspended"),$Q275,IF($P275="Doubtful",$Q275*0.5,IF($P275="Limited",$Q275*0.25,0))))),2))</x:f>
      </x:c>
      <x:c r="S275" s="55" t="n">
        <x:f>IF($D275="",0,ROUND(IF(OR($P275="Out",$P275="Suspended"),$Q275*$H275,IF($P275="Doubtful",$Q275*$H275*0.5,IF($P275="Limited",$Q275*$H275*0.25,0))),2))</x:f>
        <x:v>0</x:v>
      </x:c>
      <x:c r="T275" s="55" t="str"/>
      <x:c r="U275" s="51" t="str"/>
    </x:row>
    <x:row r="276">
      <x:c r="A276" s="51" t="str">
        <x:v>Morocco</x:v>
      </x:c>
      <x:c r="B276" s="51" t="str">
        <x:v>C</x:v>
      </x:c>
      <x:c r="C276" s="51" t="n">
        <x:v>12</x:v>
      </x:c>
      <x:c r="D276" s="71" t="str"/>
      <x:c r="E276" s="51" t="str">
        <x:v>CM</x:v>
      </x:c>
      <x:c r="F276" s="51" t="str">
        <x:v>Midfield</x:v>
      </x:c>
      <x:c r="G276" s="51" t="str">
        <x:v>Rotation</x:v>
      </x:c>
      <x:c r="H276" s="55" t="n">
        <x:v>0.35</x:v>
      </x:c>
      <x:c r="I276" s="51" t="str"/>
      <x:c r="J276" s="72" t="str"/>
      <x:c r="K276" s="72" t="str"/>
      <x:c r="L276" s="72" t="str"/>
      <x:c r="M276" s="72" t="str"/>
      <x:c r="N276" s="72" t="str"/>
      <x:c r="O276" s="72" t="str"/>
      <x:c r="P276" s="72" t="str">
        <x:v>Available</x:v>
      </x:c>
      <x:c r="Q276" s="72" t="n">
        <x:v>0</x:v>
      </x:c>
      <x:c r="R276" s="55" t="str">
        <x:f>IF($D276="","",ROUND(MAX(0,MIN(100,0.35*$J276+0.2*$K276+0.15*$L276+0.15*$M276+0.1*$N276+0.05*$O276-IF(OR($P276="Out",$P276="Suspended"),$Q276,IF($P276="Doubtful",$Q276*0.5,IF($P276="Limited",$Q276*0.25,0))))),2))</x:f>
      </x:c>
      <x:c r="S276" s="55" t="n">
        <x:f>IF($D276="",0,ROUND(IF(OR($P276="Out",$P276="Suspended"),$Q276*$H276,IF($P276="Doubtful",$Q276*$H276*0.5,IF($P276="Limited",$Q276*$H276*0.25,0))),2))</x:f>
        <x:v>0</x:v>
      </x:c>
      <x:c r="T276" s="55" t="str"/>
      <x:c r="U276" s="51" t="str"/>
    </x:row>
    <x:row r="277">
      <x:c r="A277" s="51" t="str">
        <x:v>Morocco</x:v>
      </x:c>
      <x:c r="B277" s="51" t="str">
        <x:v>C</x:v>
      </x:c>
      <x:c r="C277" s="51" t="n">
        <x:v>13</x:v>
      </x:c>
      <x:c r="D277" s="71" t="str"/>
      <x:c r="E277" s="51" t="str">
        <x:v>CM</x:v>
      </x:c>
      <x:c r="F277" s="51" t="str">
        <x:v>Midfield</x:v>
      </x:c>
      <x:c r="G277" s="51" t="str">
        <x:v>Rotation</x:v>
      </x:c>
      <x:c r="H277" s="55" t="n">
        <x:v>0.35</x:v>
      </x:c>
      <x:c r="I277" s="51" t="str"/>
      <x:c r="J277" s="72" t="str"/>
      <x:c r="K277" s="72" t="str"/>
      <x:c r="L277" s="72" t="str"/>
      <x:c r="M277" s="72" t="str"/>
      <x:c r="N277" s="72" t="str"/>
      <x:c r="O277" s="72" t="str"/>
      <x:c r="P277" s="72" t="str">
        <x:v>Available</x:v>
      </x:c>
      <x:c r="Q277" s="72" t="n">
        <x:v>0</x:v>
      </x:c>
      <x:c r="R277" s="55" t="str">
        <x:f>IF($D277="","",ROUND(MAX(0,MIN(100,0.35*$J277+0.2*$K277+0.15*$L277+0.15*$M277+0.1*$N277+0.05*$O277-IF(OR($P277="Out",$P277="Suspended"),$Q277,IF($P277="Doubtful",$Q277*0.5,IF($P277="Limited",$Q277*0.25,0))))),2))</x:f>
      </x:c>
      <x:c r="S277" s="55" t="n">
        <x:f>IF($D277="",0,ROUND(IF(OR($P277="Out",$P277="Suspended"),$Q277*$H277,IF($P277="Doubtful",$Q277*$H277*0.5,IF($P277="Limited",$Q277*$H277*0.25,0))),2))</x:f>
        <x:v>0</x:v>
      </x:c>
      <x:c r="T277" s="55" t="str"/>
      <x:c r="U277" s="51" t="str"/>
    </x:row>
    <x:row r="278">
      <x:c r="A278" s="51" t="str">
        <x:v>Morocco</x:v>
      </x:c>
      <x:c r="B278" s="51" t="str">
        <x:v>C</x:v>
      </x:c>
      <x:c r="C278" s="51" t="n">
        <x:v>14</x:v>
      </x:c>
      <x:c r="D278" s="71" t="str"/>
      <x:c r="E278" s="51" t="str">
        <x:v>CM</x:v>
      </x:c>
      <x:c r="F278" s="51" t="str">
        <x:v>Midfield</x:v>
      </x:c>
      <x:c r="G278" s="51" t="str">
        <x:v>Rotation</x:v>
      </x:c>
      <x:c r="H278" s="55" t="n">
        <x:v>0.35</x:v>
      </x:c>
      <x:c r="I278" s="51" t="str"/>
      <x:c r="J278" s="72" t="str"/>
      <x:c r="K278" s="72" t="str"/>
      <x:c r="L278" s="72" t="str"/>
      <x:c r="M278" s="72" t="str"/>
      <x:c r="N278" s="72" t="str"/>
      <x:c r="O278" s="72" t="str"/>
      <x:c r="P278" s="72" t="str">
        <x:v>Available</x:v>
      </x:c>
      <x:c r="Q278" s="72" t="n">
        <x:v>0</x:v>
      </x:c>
      <x:c r="R278" s="55" t="str">
        <x:f>IF($D278="","",ROUND(MAX(0,MIN(100,0.35*$J278+0.2*$K278+0.15*$L278+0.15*$M278+0.1*$N278+0.05*$O278-IF(OR($P278="Out",$P278="Suspended"),$Q278,IF($P278="Doubtful",$Q278*0.5,IF($P278="Limited",$Q278*0.25,0))))),2))</x:f>
      </x:c>
      <x:c r="S278" s="55" t="n">
        <x:f>IF($D278="",0,ROUND(IF(OR($P278="Out",$P278="Suspended"),$Q278*$H278,IF($P278="Doubtful",$Q278*$H278*0.5,IF($P278="Limited",$Q278*$H278*0.25,0))),2))</x:f>
        <x:v>0</x:v>
      </x:c>
      <x:c r="T278" s="55" t="str"/>
      <x:c r="U278" s="51" t="str"/>
    </x:row>
    <x:row r="279">
      <x:c r="A279" s="51" t="str">
        <x:v>Morocco</x:v>
      </x:c>
      <x:c r="B279" s="51" t="str">
        <x:v>C</x:v>
      </x:c>
      <x:c r="C279" s="51" t="n">
        <x:v>15</x:v>
      </x:c>
      <x:c r="D279" s="71" t="str"/>
      <x:c r="E279" s="51" t="str">
        <x:v>CM</x:v>
      </x:c>
      <x:c r="F279" s="51" t="str">
        <x:v>Midfield</x:v>
      </x:c>
      <x:c r="G279" s="51" t="str">
        <x:v>Rotation</x:v>
      </x:c>
      <x:c r="H279" s="55" t="n">
        <x:v>0.35</x:v>
      </x:c>
      <x:c r="I279" s="51" t="str"/>
      <x:c r="J279" s="72" t="str"/>
      <x:c r="K279" s="72" t="str"/>
      <x:c r="L279" s="72" t="str"/>
      <x:c r="M279" s="72" t="str"/>
      <x:c r="N279" s="72" t="str"/>
      <x:c r="O279" s="72" t="str"/>
      <x:c r="P279" s="72" t="str">
        <x:v>Available</x:v>
      </x:c>
      <x:c r="Q279" s="72" t="n">
        <x:v>0</x:v>
      </x:c>
      <x:c r="R279" s="55" t="str">
        <x:f>IF($D279="","",ROUND(MAX(0,MIN(100,0.35*$J279+0.2*$K279+0.15*$L279+0.15*$M279+0.1*$N279+0.05*$O279-IF(OR($P279="Out",$P279="Suspended"),$Q279,IF($P279="Doubtful",$Q279*0.5,IF($P279="Limited",$Q279*0.25,0))))),2))</x:f>
      </x:c>
      <x:c r="S279" s="55" t="n">
        <x:f>IF($D279="",0,ROUND(IF(OR($P279="Out",$P279="Suspended"),$Q279*$H279,IF($P279="Doubtful",$Q279*$H279*0.5,IF($P279="Limited",$Q279*$H279*0.25,0))),2))</x:f>
        <x:v>0</x:v>
      </x:c>
      <x:c r="T279" s="55" t="str"/>
      <x:c r="U279" s="51" t="str"/>
    </x:row>
    <x:row r="280">
      <x:c r="A280" s="51" t="str">
        <x:v>Morocco</x:v>
      </x:c>
      <x:c r="B280" s="51" t="str">
        <x:v>C</x:v>
      </x:c>
      <x:c r="C280" s="51" t="n">
        <x:v>16</x:v>
      </x:c>
      <x:c r="D280" s="71" t="str"/>
      <x:c r="E280" s="51" t="str">
        <x:v>AM</x:v>
      </x:c>
      <x:c r="F280" s="51" t="str">
        <x:v>Attack</x:v>
      </x:c>
      <x:c r="G280" s="51" t="str">
        <x:v>Rotation</x:v>
      </x:c>
      <x:c r="H280" s="55" t="n">
        <x:v>0.35</x:v>
      </x:c>
      <x:c r="I280" s="51" t="str"/>
      <x:c r="J280" s="72" t="str"/>
      <x:c r="K280" s="72" t="str"/>
      <x:c r="L280" s="72" t="str"/>
      <x:c r="M280" s="72" t="str"/>
      <x:c r="N280" s="72" t="str"/>
      <x:c r="O280" s="72" t="str"/>
      <x:c r="P280" s="72" t="str">
        <x:v>Available</x:v>
      </x:c>
      <x:c r="Q280" s="72" t="n">
        <x:v>0</x:v>
      </x:c>
      <x:c r="R280" s="55" t="str">
        <x:f>IF($D280="","",ROUND(MAX(0,MIN(100,0.35*$J280+0.2*$K280+0.15*$L280+0.15*$M280+0.1*$N280+0.05*$O280-IF(OR($P280="Out",$P280="Suspended"),$Q280,IF($P280="Doubtful",$Q280*0.5,IF($P280="Limited",$Q280*0.25,0))))),2))</x:f>
      </x:c>
      <x:c r="S280" s="55" t="n">
        <x:f>IF($D280="",0,ROUND(IF(OR($P280="Out",$P280="Suspended"),$Q280*$H280,IF($P280="Doubtful",$Q280*$H280*0.5,IF($P280="Limited",$Q280*$H280*0.25,0))),2))</x:f>
        <x:v>0</x:v>
      </x:c>
      <x:c r="T280" s="55" t="str"/>
      <x:c r="U280" s="51" t="str"/>
    </x:row>
    <x:row r="281">
      <x:c r="A281" s="51" t="str">
        <x:v>Morocco</x:v>
      </x:c>
      <x:c r="B281" s="51" t="str">
        <x:v>C</x:v>
      </x:c>
      <x:c r="C281" s="51" t="n">
        <x:v>17</x:v>
      </x:c>
      <x:c r="D281" s="71" t="str"/>
      <x:c r="E281" s="51" t="str">
        <x:v>AM</x:v>
      </x:c>
      <x:c r="F281" s="51" t="str">
        <x:v>Attack</x:v>
      </x:c>
      <x:c r="G281" s="51" t="str">
        <x:v>Rotation</x:v>
      </x:c>
      <x:c r="H281" s="55" t="n">
        <x:v>0.35</x:v>
      </x:c>
      <x:c r="I281" s="51" t="str"/>
      <x:c r="J281" s="72" t="str"/>
      <x:c r="K281" s="72" t="str"/>
      <x:c r="L281" s="72" t="str"/>
      <x:c r="M281" s="72" t="str"/>
      <x:c r="N281" s="72" t="str"/>
      <x:c r="O281" s="72" t="str"/>
      <x:c r="P281" s="72" t="str">
        <x:v>Available</x:v>
      </x:c>
      <x:c r="Q281" s="72" t="n">
        <x:v>0</x:v>
      </x:c>
      <x:c r="R281" s="55" t="str">
        <x:f>IF($D281="","",ROUND(MAX(0,MIN(100,0.35*$J281+0.2*$K281+0.15*$L281+0.15*$M281+0.1*$N281+0.05*$O281-IF(OR($P281="Out",$P281="Suspended"),$Q281,IF($P281="Doubtful",$Q281*0.5,IF($P281="Limited",$Q281*0.25,0))))),2))</x:f>
      </x:c>
      <x:c r="S281" s="55" t="n">
        <x:f>IF($D281="",0,ROUND(IF(OR($P281="Out",$P281="Suspended"),$Q281*$H281,IF($P281="Doubtful",$Q281*$H281*0.5,IF($P281="Limited",$Q281*$H281*0.25,0))),2))</x:f>
        <x:v>0</x:v>
      </x:c>
      <x:c r="T281" s="55" t="str"/>
      <x:c r="U281" s="51" t="str"/>
    </x:row>
    <x:row r="282">
      <x:c r="A282" s="51" t="str">
        <x:v>Morocco</x:v>
      </x:c>
      <x:c r="B282" s="51" t="str">
        <x:v>C</x:v>
      </x:c>
      <x:c r="C282" s="51" t="n">
        <x:v>18</x:v>
      </x:c>
      <x:c r="D282" s="71" t="str"/>
      <x:c r="E282" s="51" t="str">
        <x:v>AM</x:v>
      </x:c>
      <x:c r="F282" s="51" t="str">
        <x:v>Attack</x:v>
      </x:c>
      <x:c r="G282" s="51" t="str">
        <x:v>Rotation</x:v>
      </x:c>
      <x:c r="H282" s="55" t="n">
        <x:v>0.35</x:v>
      </x:c>
      <x:c r="I282" s="51" t="str"/>
      <x:c r="J282" s="72" t="str"/>
      <x:c r="K282" s="72" t="str"/>
      <x:c r="L282" s="72" t="str"/>
      <x:c r="M282" s="72" t="str"/>
      <x:c r="N282" s="72" t="str"/>
      <x:c r="O282" s="72" t="str"/>
      <x:c r="P282" s="72" t="str">
        <x:v>Available</x:v>
      </x:c>
      <x:c r="Q282" s="72" t="n">
        <x:v>0</x:v>
      </x:c>
      <x:c r="R282" s="55" t="str">
        <x:f>IF($D282="","",ROUND(MAX(0,MIN(100,0.35*$J282+0.2*$K282+0.15*$L282+0.15*$M282+0.1*$N282+0.05*$O282-IF(OR($P282="Out",$P282="Suspended"),$Q282,IF($P282="Doubtful",$Q282*0.5,IF($P282="Limited",$Q282*0.25,0))))),2))</x:f>
      </x:c>
      <x:c r="S282" s="55" t="n">
        <x:f>IF($D282="",0,ROUND(IF(OR($P282="Out",$P282="Suspended"),$Q282*$H282,IF($P282="Doubtful",$Q282*$H282*0.5,IF($P282="Limited",$Q282*$H282*0.25,0))),2))</x:f>
        <x:v>0</x:v>
      </x:c>
      <x:c r="T282" s="55" t="str"/>
      <x:c r="U282" s="51" t="str"/>
    </x:row>
    <x:row r="283">
      <x:c r="A283" s="51" t="str">
        <x:v>Morocco</x:v>
      </x:c>
      <x:c r="B283" s="51" t="str">
        <x:v>C</x:v>
      </x:c>
      <x:c r="C283" s="51" t="n">
        <x:v>19</x:v>
      </x:c>
      <x:c r="D283" s="71" t="str"/>
      <x:c r="E283" s="51" t="str">
        <x:v>AM</x:v>
      </x:c>
      <x:c r="F283" s="51" t="str">
        <x:v>Attack</x:v>
      </x:c>
      <x:c r="G283" s="51" t="str">
        <x:v>Rotation</x:v>
      </x:c>
      <x:c r="H283" s="55" t="n">
        <x:v>0.35</x:v>
      </x:c>
      <x:c r="I283" s="51" t="str"/>
      <x:c r="J283" s="72" t="str"/>
      <x:c r="K283" s="72" t="str"/>
      <x:c r="L283" s="72" t="str"/>
      <x:c r="M283" s="72" t="str"/>
      <x:c r="N283" s="72" t="str"/>
      <x:c r="O283" s="72" t="str"/>
      <x:c r="P283" s="72" t="str">
        <x:v>Available</x:v>
      </x:c>
      <x:c r="Q283" s="72" t="n">
        <x:v>0</x:v>
      </x:c>
      <x:c r="R283" s="55" t="str">
        <x:f>IF($D283="","",ROUND(MAX(0,MIN(100,0.35*$J283+0.2*$K283+0.15*$L283+0.15*$M283+0.1*$N283+0.05*$O283-IF(OR($P283="Out",$P283="Suspended"),$Q283,IF($P283="Doubtful",$Q283*0.5,IF($P283="Limited",$Q283*0.25,0))))),2))</x:f>
      </x:c>
      <x:c r="S283" s="55" t="n">
        <x:f>IF($D283="",0,ROUND(IF(OR($P283="Out",$P283="Suspended"),$Q283*$H283,IF($P283="Doubtful",$Q283*$H283*0.5,IF($P283="Limited",$Q283*$H283*0.25,0))),2))</x:f>
        <x:v>0</x:v>
      </x:c>
      <x:c r="T283" s="55" t="str"/>
      <x:c r="U283" s="51" t="str"/>
    </x:row>
    <x:row r="284">
      <x:c r="A284" s="51" t="str">
        <x:v>Morocco</x:v>
      </x:c>
      <x:c r="B284" s="51" t="str">
        <x:v>C</x:v>
      </x:c>
      <x:c r="C284" s="51" t="n">
        <x:v>20</x:v>
      </x:c>
      <x:c r="D284" s="71" t="str"/>
      <x:c r="E284" s="51" t="str">
        <x:v>Winger</x:v>
      </x:c>
      <x:c r="F284" s="51" t="str">
        <x:v>Attack</x:v>
      </x:c>
      <x:c r="G284" s="51" t="str">
        <x:v>Rotation</x:v>
      </x:c>
      <x:c r="H284" s="55" t="n">
        <x:v>0.35</x:v>
      </x:c>
      <x:c r="I284" s="51" t="str"/>
      <x:c r="J284" s="72" t="str"/>
      <x:c r="K284" s="72" t="str"/>
      <x:c r="L284" s="72" t="str"/>
      <x:c r="M284" s="72" t="str"/>
      <x:c r="N284" s="72" t="str"/>
      <x:c r="O284" s="72" t="str"/>
      <x:c r="P284" s="72" t="str">
        <x:v>Available</x:v>
      </x:c>
      <x:c r="Q284" s="72" t="n">
        <x:v>0</x:v>
      </x:c>
      <x:c r="R284" s="55" t="str">
        <x:f>IF($D284="","",ROUND(MAX(0,MIN(100,0.35*$J284+0.2*$K284+0.15*$L284+0.15*$M284+0.1*$N284+0.05*$O284-IF(OR($P284="Out",$P284="Suspended"),$Q284,IF($P284="Doubtful",$Q284*0.5,IF($P284="Limited",$Q284*0.25,0))))),2))</x:f>
      </x:c>
      <x:c r="S284" s="55" t="n">
        <x:f>IF($D284="",0,ROUND(IF(OR($P284="Out",$P284="Suspended"),$Q284*$H284,IF($P284="Doubtful",$Q284*$H284*0.5,IF($P284="Limited",$Q284*$H284*0.25,0))),2))</x:f>
        <x:v>0</x:v>
      </x:c>
      <x:c r="T284" s="55" t="str"/>
      <x:c r="U284" s="51" t="str"/>
    </x:row>
    <x:row r="285">
      <x:c r="A285" s="51" t="str">
        <x:v>Morocco</x:v>
      </x:c>
      <x:c r="B285" s="51" t="str">
        <x:v>C</x:v>
      </x:c>
      <x:c r="C285" s="51" t="n">
        <x:v>21</x:v>
      </x:c>
      <x:c r="D285" s="71" t="str"/>
      <x:c r="E285" s="51" t="str">
        <x:v>Winger</x:v>
      </x:c>
      <x:c r="F285" s="51" t="str">
        <x:v>Attack</x:v>
      </x:c>
      <x:c r="G285" s="51" t="str">
        <x:v>Depth</x:v>
      </x:c>
      <x:c r="H285" s="55" t="n">
        <x:v>0.1</x:v>
      </x:c>
      <x:c r="I285" s="51" t="str"/>
      <x:c r="J285" s="72" t="str"/>
      <x:c r="K285" s="72" t="str"/>
      <x:c r="L285" s="72" t="str"/>
      <x:c r="M285" s="72" t="str"/>
      <x:c r="N285" s="72" t="str"/>
      <x:c r="O285" s="72" t="str"/>
      <x:c r="P285" s="72" t="str">
        <x:v>Available</x:v>
      </x:c>
      <x:c r="Q285" s="72" t="n">
        <x:v>0</x:v>
      </x:c>
      <x:c r="R285" s="55" t="str">
        <x:f>IF($D285="","",ROUND(MAX(0,MIN(100,0.35*$J285+0.2*$K285+0.15*$L285+0.15*$M285+0.1*$N285+0.05*$O285-IF(OR($P285="Out",$P285="Suspended"),$Q285,IF($P285="Doubtful",$Q285*0.5,IF($P285="Limited",$Q285*0.25,0))))),2))</x:f>
      </x:c>
      <x:c r="S285" s="55" t="n">
        <x:f>IF($D285="",0,ROUND(IF(OR($P285="Out",$P285="Suspended"),$Q285*$H285,IF($P285="Doubtful",$Q285*$H285*0.5,IF($P285="Limited",$Q285*$H285*0.25,0))),2))</x:f>
        <x:v>0</x:v>
      </x:c>
      <x:c r="T285" s="55" t="str"/>
      <x:c r="U285" s="51" t="str"/>
    </x:row>
    <x:row r="286">
      <x:c r="A286" s="51" t="str">
        <x:v>Morocco</x:v>
      </x:c>
      <x:c r="B286" s="51" t="str">
        <x:v>C</x:v>
      </x:c>
      <x:c r="C286" s="51" t="n">
        <x:v>22</x:v>
      </x:c>
      <x:c r="D286" s="71" t="str"/>
      <x:c r="E286" s="51" t="str">
        <x:v>Winger</x:v>
      </x:c>
      <x:c r="F286" s="51" t="str">
        <x:v>Attack</x:v>
      </x:c>
      <x:c r="G286" s="51" t="str">
        <x:v>Depth</x:v>
      </x:c>
      <x:c r="H286" s="55" t="n">
        <x:v>0.1</x:v>
      </x:c>
      <x:c r="I286" s="51" t="str"/>
      <x:c r="J286" s="72" t="str"/>
      <x:c r="K286" s="72" t="str"/>
      <x:c r="L286" s="72" t="str"/>
      <x:c r="M286" s="72" t="str"/>
      <x:c r="N286" s="72" t="str"/>
      <x:c r="O286" s="72" t="str"/>
      <x:c r="P286" s="72" t="str">
        <x:v>Available</x:v>
      </x:c>
      <x:c r="Q286" s="72" t="n">
        <x:v>0</x:v>
      </x:c>
      <x:c r="R286" s="55" t="str">
        <x:f>IF($D286="","",ROUND(MAX(0,MIN(100,0.35*$J286+0.2*$K286+0.15*$L286+0.15*$M286+0.1*$N286+0.05*$O286-IF(OR($P286="Out",$P286="Suspended"),$Q286,IF($P286="Doubtful",$Q286*0.5,IF($P286="Limited",$Q286*0.25,0))))),2))</x:f>
      </x:c>
      <x:c r="S286" s="55" t="n">
        <x:f>IF($D286="",0,ROUND(IF(OR($P286="Out",$P286="Suspended"),$Q286*$H286,IF($P286="Doubtful",$Q286*$H286*0.5,IF($P286="Limited",$Q286*$H286*0.25,0))),2))</x:f>
        <x:v>0</x:v>
      </x:c>
      <x:c r="T286" s="55" t="str"/>
      <x:c r="U286" s="51" t="str"/>
    </x:row>
    <x:row r="287">
      <x:c r="A287" s="51" t="str">
        <x:v>Morocco</x:v>
      </x:c>
      <x:c r="B287" s="51" t="str">
        <x:v>C</x:v>
      </x:c>
      <x:c r="C287" s="51" t="n">
        <x:v>23</x:v>
      </x:c>
      <x:c r="D287" s="71" t="str"/>
      <x:c r="E287" s="51" t="str">
        <x:v>Winger</x:v>
      </x:c>
      <x:c r="F287" s="51" t="str">
        <x:v>Attack</x:v>
      </x:c>
      <x:c r="G287" s="51" t="str">
        <x:v>Depth</x:v>
      </x:c>
      <x:c r="H287" s="55" t="n">
        <x:v>0.1</x:v>
      </x:c>
      <x:c r="I287" s="51" t="str"/>
      <x:c r="J287" s="72" t="str"/>
      <x:c r="K287" s="72" t="str"/>
      <x:c r="L287" s="72" t="str"/>
      <x:c r="M287" s="72" t="str"/>
      <x:c r="N287" s="72" t="str"/>
      <x:c r="O287" s="72" t="str"/>
      <x:c r="P287" s="72" t="str">
        <x:v>Available</x:v>
      </x:c>
      <x:c r="Q287" s="72" t="n">
        <x:v>0</x:v>
      </x:c>
      <x:c r="R287" s="55" t="str">
        <x:f>IF($D287="","",ROUND(MAX(0,MIN(100,0.35*$J287+0.2*$K287+0.15*$L287+0.15*$M287+0.1*$N287+0.05*$O287-IF(OR($P287="Out",$P287="Suspended"),$Q287,IF($P287="Doubtful",$Q287*0.5,IF($P287="Limited",$Q287*0.25,0))))),2))</x:f>
      </x:c>
      <x:c r="S287" s="55" t="n">
        <x:f>IF($D287="",0,ROUND(IF(OR($P287="Out",$P287="Suspended"),$Q287*$H287,IF($P287="Doubtful",$Q287*$H287*0.5,IF($P287="Limited",$Q287*$H287*0.25,0))),2))</x:f>
        <x:v>0</x:v>
      </x:c>
      <x:c r="T287" s="55" t="str"/>
      <x:c r="U287" s="51" t="str"/>
    </x:row>
    <x:row r="288">
      <x:c r="A288" s="51" t="str">
        <x:v>Morocco</x:v>
      </x:c>
      <x:c r="B288" s="51" t="str">
        <x:v>C</x:v>
      </x:c>
      <x:c r="C288" s="51" t="n">
        <x:v>24</x:v>
      </x:c>
      <x:c r="D288" s="71" t="str"/>
      <x:c r="E288" s="51" t="str">
        <x:v>ST</x:v>
      </x:c>
      <x:c r="F288" s="51" t="str">
        <x:v>Attack</x:v>
      </x:c>
      <x:c r="G288" s="51" t="str">
        <x:v>Depth</x:v>
      </x:c>
      <x:c r="H288" s="55" t="n">
        <x:v>0.1</x:v>
      </x:c>
      <x:c r="I288" s="51" t="str"/>
      <x:c r="J288" s="72" t="str"/>
      <x:c r="K288" s="72" t="str"/>
      <x:c r="L288" s="72" t="str"/>
      <x:c r="M288" s="72" t="str"/>
      <x:c r="N288" s="72" t="str"/>
      <x:c r="O288" s="72" t="str"/>
      <x:c r="P288" s="72" t="str">
        <x:v>Available</x:v>
      </x:c>
      <x:c r="Q288" s="72" t="n">
        <x:v>0</x:v>
      </x:c>
      <x:c r="R288" s="55" t="str">
        <x:f>IF($D288="","",ROUND(MAX(0,MIN(100,0.35*$J288+0.2*$K288+0.15*$L288+0.15*$M288+0.1*$N288+0.05*$O288-IF(OR($P288="Out",$P288="Suspended"),$Q288,IF($P288="Doubtful",$Q288*0.5,IF($P288="Limited",$Q288*0.25,0))))),2))</x:f>
      </x:c>
      <x:c r="S288" s="55" t="n">
        <x:f>IF($D288="",0,ROUND(IF(OR($P288="Out",$P288="Suspended"),$Q288*$H288,IF($P288="Doubtful",$Q288*$H288*0.5,IF($P288="Limited",$Q288*$H288*0.25,0))),2))</x:f>
        <x:v>0</x:v>
      </x:c>
      <x:c r="T288" s="55" t="str"/>
      <x:c r="U288" s="51" t="str"/>
    </x:row>
    <x:row r="289">
      <x:c r="A289" s="51" t="str">
        <x:v>Morocco</x:v>
      </x:c>
      <x:c r="B289" s="51" t="str">
        <x:v>C</x:v>
      </x:c>
      <x:c r="C289" s="51" t="n">
        <x:v>25</x:v>
      </x:c>
      <x:c r="D289" s="71" t="str"/>
      <x:c r="E289" s="51" t="str">
        <x:v>ST</x:v>
      </x:c>
      <x:c r="F289" s="51" t="str">
        <x:v>Attack</x:v>
      </x:c>
      <x:c r="G289" s="51" t="str">
        <x:v>Depth</x:v>
      </x:c>
      <x:c r="H289" s="55" t="n">
        <x:v>0.1</x:v>
      </x:c>
      <x:c r="I289" s="51" t="str"/>
      <x:c r="J289" s="72" t="str"/>
      <x:c r="K289" s="72" t="str"/>
      <x:c r="L289" s="72" t="str"/>
      <x:c r="M289" s="72" t="str"/>
      <x:c r="N289" s="72" t="str"/>
      <x:c r="O289" s="72" t="str"/>
      <x:c r="P289" s="72" t="str">
        <x:v>Available</x:v>
      </x:c>
      <x:c r="Q289" s="72" t="n">
        <x:v>0</x:v>
      </x:c>
      <x:c r="R289" s="55" t="str">
        <x:f>IF($D289="","",ROUND(MAX(0,MIN(100,0.35*$J289+0.2*$K289+0.15*$L289+0.15*$M289+0.1*$N289+0.05*$O289-IF(OR($P289="Out",$P289="Suspended"),$Q289,IF($P289="Doubtful",$Q289*0.5,IF($P289="Limited",$Q289*0.25,0))))),2))</x:f>
      </x:c>
      <x:c r="S289" s="55" t="n">
        <x:f>IF($D289="",0,ROUND(IF(OR($P289="Out",$P289="Suspended"),$Q289*$H289,IF($P289="Doubtful",$Q289*$H289*0.5,IF($P289="Limited",$Q289*$H289*0.25,0))),2))</x:f>
        <x:v>0</x:v>
      </x:c>
      <x:c r="T289" s="55" t="str"/>
      <x:c r="U289" s="51" t="str"/>
    </x:row>
    <x:row r="290">
      <x:c r="A290" s="51" t="str">
        <x:v>Morocco</x:v>
      </x:c>
      <x:c r="B290" s="51" t="str">
        <x:v>C</x:v>
      </x:c>
      <x:c r="C290" s="51" t="n">
        <x:v>26</x:v>
      </x:c>
      <x:c r="D290" s="71" t="str"/>
      <x:c r="E290" s="51" t="str">
        <x:v>ST</x:v>
      </x:c>
      <x:c r="F290" s="51" t="str">
        <x:v>Attack</x:v>
      </x:c>
      <x:c r="G290" s="51" t="str">
        <x:v>Depth</x:v>
      </x:c>
      <x:c r="H290" s="55" t="n">
        <x:v>0.1</x:v>
      </x:c>
      <x:c r="I290" s="51" t="str"/>
      <x:c r="J290" s="72" t="str"/>
      <x:c r="K290" s="72" t="str"/>
      <x:c r="L290" s="72" t="str"/>
      <x:c r="M290" s="72" t="str"/>
      <x:c r="N290" s="72" t="str"/>
      <x:c r="O290" s="72" t="str"/>
      <x:c r="P290" s="72" t="str">
        <x:v>Available</x:v>
      </x:c>
      <x:c r="Q290" s="72" t="n">
        <x:v>0</x:v>
      </x:c>
      <x:c r="R290" s="55" t="str">
        <x:f>IF($D290="","",ROUND(MAX(0,MIN(100,0.35*$J290+0.2*$K290+0.15*$L290+0.15*$M290+0.1*$N290+0.05*$O290-IF(OR($P290="Out",$P290="Suspended"),$Q290,IF($P290="Doubtful",$Q290*0.5,IF($P290="Limited",$Q290*0.25,0))))),2))</x:f>
      </x:c>
      <x:c r="S290" s="55" t="n">
        <x:f>IF($D290="",0,ROUND(IF(OR($P290="Out",$P290="Suspended"),$Q290*$H290,IF($P290="Doubtful",$Q290*$H290*0.5,IF($P290="Limited",$Q290*$H290*0.25,0))),2))</x:f>
        <x:v>0</x:v>
      </x:c>
      <x:c r="T290" s="55" t="str"/>
      <x:c r="U290" s="51" t="str"/>
    </x:row>
    <x:row r="291">
      <x:c r="A291" s="51" t="str">
        <x:v>Scotland</x:v>
      </x:c>
      <x:c r="B291" s="51" t="str">
        <x:v>C</x:v>
      </x:c>
      <x:c r="C291" s="51" t="n">
        <x:v>1</x:v>
      </x:c>
      <x:c r="D291" s="71" t="str"/>
      <x:c r="E291" s="51" t="str">
        <x:v>GK</x:v>
      </x:c>
      <x:c r="F291" s="51" t="str">
        <x:v>GK</x:v>
      </x:c>
      <x:c r="G291" s="51" t="str">
        <x:v>Starter</x:v>
      </x:c>
      <x:c r="H291" s="55" t="n">
        <x:v>1</x:v>
      </x:c>
      <x:c r="I291" s="51" t="str"/>
      <x:c r="J291" s="72" t="str"/>
      <x:c r="K291" s="72" t="str"/>
      <x:c r="L291" s="72" t="str"/>
      <x:c r="M291" s="72" t="str"/>
      <x:c r="N291" s="72" t="str"/>
      <x:c r="O291" s="72" t="str"/>
      <x:c r="P291" s="72" t="str">
        <x:v>Available</x:v>
      </x:c>
      <x:c r="Q291" s="72" t="n">
        <x:v>0</x:v>
      </x:c>
      <x:c r="R291" s="55" t="str">
        <x:f>IF($D291="","",ROUND(MAX(0,MIN(100,0.35*$J291+0.2*$K291+0.15*$L291+0.15*$M291+0.1*$N291+0.05*$O291-IF(OR($P291="Out",$P291="Suspended"),$Q291,IF($P291="Doubtful",$Q291*0.5,IF($P291="Limited",$Q291*0.25,0))))),2))</x:f>
      </x:c>
      <x:c r="S291" s="55" t="n">
        <x:f>IF($D291="",0,ROUND(IF(OR($P291="Out",$P291="Suspended"),$Q291*$H291,IF($P291="Doubtful",$Q291*$H291*0.5,IF($P291="Limited",$Q291*$H291*0.25,0))),2))</x:f>
        <x:v>0</x:v>
      </x:c>
      <x:c r="T291" s="55" t="str"/>
      <x:c r="U291" s="51" t="str"/>
    </x:row>
    <x:row r="292">
      <x:c r="A292" s="51" t="str">
        <x:v>Scotland</x:v>
      </x:c>
      <x:c r="B292" s="51" t="str">
        <x:v>C</x:v>
      </x:c>
      <x:c r="C292" s="51" t="n">
        <x:v>2</x:v>
      </x:c>
      <x:c r="D292" s="71" t="str"/>
      <x:c r="E292" s="51" t="str">
        <x:v>GK</x:v>
      </x:c>
      <x:c r="F292" s="51" t="str">
        <x:v>GK</x:v>
      </x:c>
      <x:c r="G292" s="51" t="str">
        <x:v>Starter</x:v>
      </x:c>
      <x:c r="H292" s="55" t="n">
        <x:v>1</x:v>
      </x:c>
      <x:c r="I292" s="51" t="str"/>
      <x:c r="J292" s="72" t="str"/>
      <x:c r="K292" s="72" t="str"/>
      <x:c r="L292" s="72" t="str"/>
      <x:c r="M292" s="72" t="str"/>
      <x:c r="N292" s="72" t="str"/>
      <x:c r="O292" s="72" t="str"/>
      <x:c r="P292" s="72" t="str">
        <x:v>Available</x:v>
      </x:c>
      <x:c r="Q292" s="72" t="n">
        <x:v>0</x:v>
      </x:c>
      <x:c r="R292" s="55" t="str">
        <x:f>IF($D292="","",ROUND(MAX(0,MIN(100,0.35*$J292+0.2*$K292+0.15*$L292+0.15*$M292+0.1*$N292+0.05*$O292-IF(OR($P292="Out",$P292="Suspended"),$Q292,IF($P292="Doubtful",$Q292*0.5,IF($P292="Limited",$Q292*0.25,0))))),2))</x:f>
      </x:c>
      <x:c r="S292" s="55" t="n">
        <x:f>IF($D292="",0,ROUND(IF(OR($P292="Out",$P292="Suspended"),$Q292*$H292,IF($P292="Doubtful",$Q292*$H292*0.5,IF($P292="Limited",$Q292*$H292*0.25,0))),2))</x:f>
        <x:v>0</x:v>
      </x:c>
      <x:c r="T292" s="55" t="str"/>
      <x:c r="U292" s="51" t="str"/>
    </x:row>
    <x:row r="293">
      <x:c r="A293" s="51" t="str">
        <x:v>Scotland</x:v>
      </x:c>
      <x:c r="B293" s="51" t="str">
        <x:v>C</x:v>
      </x:c>
      <x:c r="C293" s="51" t="n">
        <x:v>3</x:v>
      </x:c>
      <x:c r="D293" s="71" t="str"/>
      <x:c r="E293" s="51" t="str">
        <x:v>GK</x:v>
      </x:c>
      <x:c r="F293" s="51" t="str">
        <x:v>GK</x:v>
      </x:c>
      <x:c r="G293" s="51" t="str">
        <x:v>Starter</x:v>
      </x:c>
      <x:c r="H293" s="55" t="n">
        <x:v>1</x:v>
      </x:c>
      <x:c r="I293" s="51" t="str"/>
      <x:c r="J293" s="72" t="str"/>
      <x:c r="K293" s="72" t="str"/>
      <x:c r="L293" s="72" t="str"/>
      <x:c r="M293" s="72" t="str"/>
      <x:c r="N293" s="72" t="str"/>
      <x:c r="O293" s="72" t="str"/>
      <x:c r="P293" s="72" t="str">
        <x:v>Available</x:v>
      </x:c>
      <x:c r="Q293" s="72" t="n">
        <x:v>0</x:v>
      </x:c>
      <x:c r="R293" s="55" t="str">
        <x:f>IF($D293="","",ROUND(MAX(0,MIN(100,0.35*$J293+0.2*$K293+0.15*$L293+0.15*$M293+0.1*$N293+0.05*$O293-IF(OR($P293="Out",$P293="Suspended"),$Q293,IF($P293="Doubtful",$Q293*0.5,IF($P293="Limited",$Q293*0.25,0))))),2))</x:f>
      </x:c>
      <x:c r="S293" s="55" t="n">
        <x:f>IF($D293="",0,ROUND(IF(OR($P293="Out",$P293="Suspended"),$Q293*$H293,IF($P293="Doubtful",$Q293*$H293*0.5,IF($P293="Limited",$Q293*$H293*0.25,0))),2))</x:f>
        <x:v>0</x:v>
      </x:c>
      <x:c r="T293" s="55" t="str"/>
      <x:c r="U293" s="51" t="str"/>
    </x:row>
    <x:row r="294">
      <x:c r="A294" s="51" t="str">
        <x:v>Scotland</x:v>
      </x:c>
      <x:c r="B294" s="51" t="str">
        <x:v>C</x:v>
      </x:c>
      <x:c r="C294" s="51" t="n">
        <x:v>4</x:v>
      </x:c>
      <x:c r="D294" s="71" t="str"/>
      <x:c r="E294" s="51" t="str">
        <x:v>CB</x:v>
      </x:c>
      <x:c r="F294" s="51" t="str">
        <x:v>Defence</x:v>
      </x:c>
      <x:c r="G294" s="51" t="str">
        <x:v>Starter</x:v>
      </x:c>
      <x:c r="H294" s="55" t="n">
        <x:v>1</x:v>
      </x:c>
      <x:c r="I294" s="51" t="str"/>
      <x:c r="J294" s="72" t="str"/>
      <x:c r="K294" s="72" t="str"/>
      <x:c r="L294" s="72" t="str"/>
      <x:c r="M294" s="72" t="str"/>
      <x:c r="N294" s="72" t="str"/>
      <x:c r="O294" s="72" t="str"/>
      <x:c r="P294" s="72" t="str">
        <x:v>Available</x:v>
      </x:c>
      <x:c r="Q294" s="72" t="n">
        <x:v>0</x:v>
      </x:c>
      <x:c r="R294" s="55" t="str">
        <x:f>IF($D294="","",ROUND(MAX(0,MIN(100,0.35*$J294+0.2*$K294+0.15*$L294+0.15*$M294+0.1*$N294+0.05*$O294-IF(OR($P294="Out",$P294="Suspended"),$Q294,IF($P294="Doubtful",$Q294*0.5,IF($P294="Limited",$Q294*0.25,0))))),2))</x:f>
      </x:c>
      <x:c r="S294" s="55" t="n">
        <x:f>IF($D294="",0,ROUND(IF(OR($P294="Out",$P294="Suspended"),$Q294*$H294,IF($P294="Doubtful",$Q294*$H294*0.5,IF($P294="Limited",$Q294*$H294*0.25,0))),2))</x:f>
        <x:v>0</x:v>
      </x:c>
      <x:c r="T294" s="55" t="str"/>
      <x:c r="U294" s="51" t="str"/>
    </x:row>
    <x:row r="295">
      <x:c r="A295" s="51" t="str">
        <x:v>Scotland</x:v>
      </x:c>
      <x:c r="B295" s="51" t="str">
        <x:v>C</x:v>
      </x:c>
      <x:c r="C295" s="51" t="n">
        <x:v>5</x:v>
      </x:c>
      <x:c r="D295" s="71" t="str"/>
      <x:c r="E295" s="51" t="str">
        <x:v>CB</x:v>
      </x:c>
      <x:c r="F295" s="51" t="str">
        <x:v>Defence</x:v>
      </x:c>
      <x:c r="G295" s="51" t="str">
        <x:v>Starter</x:v>
      </x:c>
      <x:c r="H295" s="55" t="n">
        <x:v>1</x:v>
      </x:c>
      <x:c r="I295" s="51" t="str"/>
      <x:c r="J295" s="72" t="str"/>
      <x:c r="K295" s="72" t="str"/>
      <x:c r="L295" s="72" t="str"/>
      <x:c r="M295" s="72" t="str"/>
      <x:c r="N295" s="72" t="str"/>
      <x:c r="O295" s="72" t="str"/>
      <x:c r="P295" s="72" t="str">
        <x:v>Available</x:v>
      </x:c>
      <x:c r="Q295" s="72" t="n">
        <x:v>0</x:v>
      </x:c>
      <x:c r="R295" s="55" t="str">
        <x:f>IF($D295="","",ROUND(MAX(0,MIN(100,0.35*$J295+0.2*$K295+0.15*$L295+0.15*$M295+0.1*$N295+0.05*$O295-IF(OR($P295="Out",$P295="Suspended"),$Q295,IF($P295="Doubtful",$Q295*0.5,IF($P295="Limited",$Q295*0.25,0))))),2))</x:f>
      </x:c>
      <x:c r="S295" s="55" t="n">
        <x:f>IF($D295="",0,ROUND(IF(OR($P295="Out",$P295="Suspended"),$Q295*$H295,IF($P295="Doubtful",$Q295*$H295*0.5,IF($P295="Limited",$Q295*$H295*0.25,0))),2))</x:f>
        <x:v>0</x:v>
      </x:c>
      <x:c r="T295" s="55" t="str"/>
      <x:c r="U295" s="51" t="str"/>
    </x:row>
    <x:row r="296">
      <x:c r="A296" s="51" t="str">
        <x:v>Scotland</x:v>
      </x:c>
      <x:c r="B296" s="51" t="str">
        <x:v>C</x:v>
      </x:c>
      <x:c r="C296" s="51" t="n">
        <x:v>6</x:v>
      </x:c>
      <x:c r="D296" s="71" t="str"/>
      <x:c r="E296" s="51" t="str">
        <x:v>CB</x:v>
      </x:c>
      <x:c r="F296" s="51" t="str">
        <x:v>Defence</x:v>
      </x:c>
      <x:c r="G296" s="51" t="str">
        <x:v>Starter</x:v>
      </x:c>
      <x:c r="H296" s="55" t="n">
        <x:v>1</x:v>
      </x:c>
      <x:c r="I296" s="51" t="str"/>
      <x:c r="J296" s="72" t="str"/>
      <x:c r="K296" s="72" t="str"/>
      <x:c r="L296" s="72" t="str"/>
      <x:c r="M296" s="72" t="str"/>
      <x:c r="N296" s="72" t="str"/>
      <x:c r="O296" s="72" t="str"/>
      <x:c r="P296" s="72" t="str">
        <x:v>Available</x:v>
      </x:c>
      <x:c r="Q296" s="72" t="n">
        <x:v>0</x:v>
      </x:c>
      <x:c r="R296" s="55" t="str">
        <x:f>IF($D296="","",ROUND(MAX(0,MIN(100,0.35*$J296+0.2*$K296+0.15*$L296+0.15*$M296+0.1*$N296+0.05*$O296-IF(OR($P296="Out",$P296="Suspended"),$Q296,IF($P296="Doubtful",$Q296*0.5,IF($P296="Limited",$Q296*0.25,0))))),2))</x:f>
      </x:c>
      <x:c r="S296" s="55" t="n">
        <x:f>IF($D296="",0,ROUND(IF(OR($P296="Out",$P296="Suspended"),$Q296*$H296,IF($P296="Doubtful",$Q296*$H296*0.5,IF($P296="Limited",$Q296*$H296*0.25,0))),2))</x:f>
        <x:v>0</x:v>
      </x:c>
      <x:c r="T296" s="55" t="str"/>
      <x:c r="U296" s="51" t="str"/>
    </x:row>
    <x:row r="297">
      <x:c r="A297" s="51" t="str">
        <x:v>Scotland</x:v>
      </x:c>
      <x:c r="B297" s="51" t="str">
        <x:v>C</x:v>
      </x:c>
      <x:c r="C297" s="51" t="n">
        <x:v>7</x:v>
      </x:c>
      <x:c r="D297" s="71" t="str"/>
      <x:c r="E297" s="51" t="str">
        <x:v>FB</x:v>
      </x:c>
      <x:c r="F297" s="51" t="str">
        <x:v>Defence</x:v>
      </x:c>
      <x:c r="G297" s="51" t="str">
        <x:v>Starter</x:v>
      </x:c>
      <x:c r="H297" s="55" t="n">
        <x:v>1</x:v>
      </x:c>
      <x:c r="I297" s="51" t="str"/>
      <x:c r="J297" s="72" t="str"/>
      <x:c r="K297" s="72" t="str"/>
      <x:c r="L297" s="72" t="str"/>
      <x:c r="M297" s="72" t="str"/>
      <x:c r="N297" s="72" t="str"/>
      <x:c r="O297" s="72" t="str"/>
      <x:c r="P297" s="72" t="str">
        <x:v>Available</x:v>
      </x:c>
      <x:c r="Q297" s="72" t="n">
        <x:v>0</x:v>
      </x:c>
      <x:c r="R297" s="55" t="str">
        <x:f>IF($D297="","",ROUND(MAX(0,MIN(100,0.35*$J297+0.2*$K297+0.15*$L297+0.15*$M297+0.1*$N297+0.05*$O297-IF(OR($P297="Out",$P297="Suspended"),$Q297,IF($P297="Doubtful",$Q297*0.5,IF($P297="Limited",$Q297*0.25,0))))),2))</x:f>
      </x:c>
      <x:c r="S297" s="55" t="n">
        <x:f>IF($D297="",0,ROUND(IF(OR($P297="Out",$P297="Suspended"),$Q297*$H297,IF($P297="Doubtful",$Q297*$H297*0.5,IF($P297="Limited",$Q297*$H297*0.25,0))),2))</x:f>
        <x:v>0</x:v>
      </x:c>
      <x:c r="T297" s="55" t="str"/>
      <x:c r="U297" s="51" t="str"/>
    </x:row>
    <x:row r="298">
      <x:c r="A298" s="51" t="str">
        <x:v>Scotland</x:v>
      </x:c>
      <x:c r="B298" s="51" t="str">
        <x:v>C</x:v>
      </x:c>
      <x:c r="C298" s="51" t="n">
        <x:v>8</x:v>
      </x:c>
      <x:c r="D298" s="71" t="str"/>
      <x:c r="E298" s="51" t="str">
        <x:v>FB</x:v>
      </x:c>
      <x:c r="F298" s="51" t="str">
        <x:v>Defence</x:v>
      </x:c>
      <x:c r="G298" s="51" t="str">
        <x:v>Starter</x:v>
      </x:c>
      <x:c r="H298" s="55" t="n">
        <x:v>1</x:v>
      </x:c>
      <x:c r="I298" s="51" t="str"/>
      <x:c r="J298" s="72" t="str"/>
      <x:c r="K298" s="72" t="str"/>
      <x:c r="L298" s="72" t="str"/>
      <x:c r="M298" s="72" t="str"/>
      <x:c r="N298" s="72" t="str"/>
      <x:c r="O298" s="72" t="str"/>
      <x:c r="P298" s="72" t="str">
        <x:v>Available</x:v>
      </x:c>
      <x:c r="Q298" s="72" t="n">
        <x:v>0</x:v>
      </x:c>
      <x:c r="R298" s="55" t="str">
        <x:f>IF($D298="","",ROUND(MAX(0,MIN(100,0.35*$J298+0.2*$K298+0.15*$L298+0.15*$M298+0.1*$N298+0.05*$O298-IF(OR($P298="Out",$P298="Suspended"),$Q298,IF($P298="Doubtful",$Q298*0.5,IF($P298="Limited",$Q298*0.25,0))))),2))</x:f>
      </x:c>
      <x:c r="S298" s="55" t="n">
        <x:f>IF($D298="",0,ROUND(IF(OR($P298="Out",$P298="Suspended"),$Q298*$H298,IF($P298="Doubtful",$Q298*$H298*0.5,IF($P298="Limited",$Q298*$H298*0.25,0))),2))</x:f>
        <x:v>0</x:v>
      </x:c>
      <x:c r="T298" s="55" t="str"/>
      <x:c r="U298" s="51" t="str"/>
    </x:row>
    <x:row r="299">
      <x:c r="A299" s="51" t="str">
        <x:v>Scotland</x:v>
      </x:c>
      <x:c r="B299" s="51" t="str">
        <x:v>C</x:v>
      </x:c>
      <x:c r="C299" s="51" t="n">
        <x:v>9</x:v>
      </x:c>
      <x:c r="D299" s="71" t="str"/>
      <x:c r="E299" s="51" t="str">
        <x:v>DM</x:v>
      </x:c>
      <x:c r="F299" s="51" t="str">
        <x:v>Midfield</x:v>
      </x:c>
      <x:c r="G299" s="51" t="str">
        <x:v>Starter</x:v>
      </x:c>
      <x:c r="H299" s="55" t="n">
        <x:v>1</x:v>
      </x:c>
      <x:c r="I299" s="51" t="str"/>
      <x:c r="J299" s="72" t="str"/>
      <x:c r="K299" s="72" t="str"/>
      <x:c r="L299" s="72" t="str"/>
      <x:c r="M299" s="72" t="str"/>
      <x:c r="N299" s="72" t="str"/>
      <x:c r="O299" s="72" t="str"/>
      <x:c r="P299" s="72" t="str">
        <x:v>Available</x:v>
      </x:c>
      <x:c r="Q299" s="72" t="n">
        <x:v>0</x:v>
      </x:c>
      <x:c r="R299" s="55" t="str">
        <x:f>IF($D299="","",ROUND(MAX(0,MIN(100,0.35*$J299+0.2*$K299+0.15*$L299+0.15*$M299+0.1*$N299+0.05*$O299-IF(OR($P299="Out",$P299="Suspended"),$Q299,IF($P299="Doubtful",$Q299*0.5,IF($P299="Limited",$Q299*0.25,0))))),2))</x:f>
      </x:c>
      <x:c r="S299" s="55" t="n">
        <x:f>IF($D299="",0,ROUND(IF(OR($P299="Out",$P299="Suspended"),$Q299*$H299,IF($P299="Doubtful",$Q299*$H299*0.5,IF($P299="Limited",$Q299*$H299*0.25,0))),2))</x:f>
        <x:v>0</x:v>
      </x:c>
      <x:c r="T299" s="55" t="str"/>
      <x:c r="U299" s="51" t="str"/>
    </x:row>
    <x:row r="300">
      <x:c r="A300" s="51" t="str">
        <x:v>Scotland</x:v>
      </x:c>
      <x:c r="B300" s="51" t="str">
        <x:v>C</x:v>
      </x:c>
      <x:c r="C300" s="51" t="n">
        <x:v>10</x:v>
      </x:c>
      <x:c r="D300" s="71" t="str"/>
      <x:c r="E300" s="51" t="str">
        <x:v>DM</x:v>
      </x:c>
      <x:c r="F300" s="51" t="str">
        <x:v>Midfield</x:v>
      </x:c>
      <x:c r="G300" s="51" t="str">
        <x:v>Starter</x:v>
      </x:c>
      <x:c r="H300" s="55" t="n">
        <x:v>1</x:v>
      </x:c>
      <x:c r="I300" s="51" t="str"/>
      <x:c r="J300" s="72" t="str"/>
      <x:c r="K300" s="72" t="str"/>
      <x:c r="L300" s="72" t="str"/>
      <x:c r="M300" s="72" t="str"/>
      <x:c r="N300" s="72" t="str"/>
      <x:c r="O300" s="72" t="str"/>
      <x:c r="P300" s="72" t="str">
        <x:v>Available</x:v>
      </x:c>
      <x:c r="Q300" s="72" t="n">
        <x:v>0</x:v>
      </x:c>
      <x:c r="R300" s="55" t="str">
        <x:f>IF($D300="","",ROUND(MAX(0,MIN(100,0.35*$J300+0.2*$K300+0.15*$L300+0.15*$M300+0.1*$N300+0.05*$O300-IF(OR($P300="Out",$P300="Suspended"),$Q300,IF($P300="Doubtful",$Q300*0.5,IF($P300="Limited",$Q300*0.25,0))))),2))</x:f>
      </x:c>
      <x:c r="S300" s="55" t="n">
        <x:f>IF($D300="",0,ROUND(IF(OR($P300="Out",$P300="Suspended"),$Q300*$H300,IF($P300="Doubtful",$Q300*$H300*0.5,IF($P300="Limited",$Q300*$H300*0.25,0))),2))</x:f>
        <x:v>0</x:v>
      </x:c>
      <x:c r="T300" s="55" t="str"/>
      <x:c r="U300" s="51" t="str"/>
    </x:row>
    <x:row r="301">
      <x:c r="A301" s="51" t="str">
        <x:v>Scotland</x:v>
      </x:c>
      <x:c r="B301" s="51" t="str">
        <x:v>C</x:v>
      </x:c>
      <x:c r="C301" s="51" t="n">
        <x:v>11</x:v>
      </x:c>
      <x:c r="D301" s="71" t="str"/>
      <x:c r="E301" s="51" t="str">
        <x:v>DM</x:v>
      </x:c>
      <x:c r="F301" s="51" t="str">
        <x:v>Midfield</x:v>
      </x:c>
      <x:c r="G301" s="51" t="str">
        <x:v>Starter</x:v>
      </x:c>
      <x:c r="H301" s="55" t="n">
        <x:v>1</x:v>
      </x:c>
      <x:c r="I301" s="51" t="str"/>
      <x:c r="J301" s="72" t="str"/>
      <x:c r="K301" s="72" t="str"/>
      <x:c r="L301" s="72" t="str"/>
      <x:c r="M301" s="72" t="str"/>
      <x:c r="N301" s="72" t="str"/>
      <x:c r="O301" s="72" t="str"/>
      <x:c r="P301" s="72" t="str">
        <x:v>Available</x:v>
      </x:c>
      <x:c r="Q301" s="72" t="n">
        <x:v>0</x:v>
      </x:c>
      <x:c r="R301" s="55" t="str">
        <x:f>IF($D301="","",ROUND(MAX(0,MIN(100,0.35*$J301+0.2*$K301+0.15*$L301+0.15*$M301+0.1*$N301+0.05*$O301-IF(OR($P301="Out",$P301="Suspended"),$Q301,IF($P301="Doubtful",$Q301*0.5,IF($P301="Limited",$Q301*0.25,0))))),2))</x:f>
      </x:c>
      <x:c r="S301" s="55" t="n">
        <x:f>IF($D301="",0,ROUND(IF(OR($P301="Out",$P301="Suspended"),$Q301*$H301,IF($P301="Doubtful",$Q301*$H301*0.5,IF($P301="Limited",$Q301*$H301*0.25,0))),2))</x:f>
        <x:v>0</x:v>
      </x:c>
      <x:c r="T301" s="55" t="str"/>
      <x:c r="U301" s="51" t="str"/>
    </x:row>
    <x:row r="302">
      <x:c r="A302" s="51" t="str">
        <x:v>Scotland</x:v>
      </x:c>
      <x:c r="B302" s="51" t="str">
        <x:v>C</x:v>
      </x:c>
      <x:c r="C302" s="51" t="n">
        <x:v>12</x:v>
      </x:c>
      <x:c r="D302" s="71" t="str"/>
      <x:c r="E302" s="51" t="str">
        <x:v>CM</x:v>
      </x:c>
      <x:c r="F302" s="51" t="str">
        <x:v>Midfield</x:v>
      </x:c>
      <x:c r="G302" s="51" t="str">
        <x:v>Rotation</x:v>
      </x:c>
      <x:c r="H302" s="55" t="n">
        <x:v>0.35</x:v>
      </x:c>
      <x:c r="I302" s="51" t="str"/>
      <x:c r="J302" s="72" t="str"/>
      <x:c r="K302" s="72" t="str"/>
      <x:c r="L302" s="72" t="str"/>
      <x:c r="M302" s="72" t="str"/>
      <x:c r="N302" s="72" t="str"/>
      <x:c r="O302" s="72" t="str"/>
      <x:c r="P302" s="72" t="str">
        <x:v>Available</x:v>
      </x:c>
      <x:c r="Q302" s="72" t="n">
        <x:v>0</x:v>
      </x:c>
      <x:c r="R302" s="55" t="str">
        <x:f>IF($D302="","",ROUND(MAX(0,MIN(100,0.35*$J302+0.2*$K302+0.15*$L302+0.15*$M302+0.1*$N302+0.05*$O302-IF(OR($P302="Out",$P302="Suspended"),$Q302,IF($P302="Doubtful",$Q302*0.5,IF($P302="Limited",$Q302*0.25,0))))),2))</x:f>
      </x:c>
      <x:c r="S302" s="55" t="n">
        <x:f>IF($D302="",0,ROUND(IF(OR($P302="Out",$P302="Suspended"),$Q302*$H302,IF($P302="Doubtful",$Q302*$H302*0.5,IF($P302="Limited",$Q302*$H302*0.25,0))),2))</x:f>
        <x:v>0</x:v>
      </x:c>
      <x:c r="T302" s="55" t="str"/>
      <x:c r="U302" s="51" t="str"/>
    </x:row>
    <x:row r="303">
      <x:c r="A303" s="51" t="str">
        <x:v>Scotland</x:v>
      </x:c>
      <x:c r="B303" s="51" t="str">
        <x:v>C</x:v>
      </x:c>
      <x:c r="C303" s="51" t="n">
        <x:v>13</x:v>
      </x:c>
      <x:c r="D303" s="71" t="str"/>
      <x:c r="E303" s="51" t="str">
        <x:v>CM</x:v>
      </x:c>
      <x:c r="F303" s="51" t="str">
        <x:v>Midfield</x:v>
      </x:c>
      <x:c r="G303" s="51" t="str">
        <x:v>Rotation</x:v>
      </x:c>
      <x:c r="H303" s="55" t="n">
        <x:v>0.35</x:v>
      </x:c>
      <x:c r="I303" s="51" t="str"/>
      <x:c r="J303" s="72" t="str"/>
      <x:c r="K303" s="72" t="str"/>
      <x:c r="L303" s="72" t="str"/>
      <x:c r="M303" s="72" t="str"/>
      <x:c r="N303" s="72" t="str"/>
      <x:c r="O303" s="72" t="str"/>
      <x:c r="P303" s="72" t="str">
        <x:v>Available</x:v>
      </x:c>
      <x:c r="Q303" s="72" t="n">
        <x:v>0</x:v>
      </x:c>
      <x:c r="R303" s="55" t="str">
        <x:f>IF($D303="","",ROUND(MAX(0,MIN(100,0.35*$J303+0.2*$K303+0.15*$L303+0.15*$M303+0.1*$N303+0.05*$O303-IF(OR($P303="Out",$P303="Suspended"),$Q303,IF($P303="Doubtful",$Q303*0.5,IF($P303="Limited",$Q303*0.25,0))))),2))</x:f>
      </x:c>
      <x:c r="S303" s="55" t="n">
        <x:f>IF($D303="",0,ROUND(IF(OR($P303="Out",$P303="Suspended"),$Q303*$H303,IF($P303="Doubtful",$Q303*$H303*0.5,IF($P303="Limited",$Q303*$H303*0.25,0))),2))</x:f>
        <x:v>0</x:v>
      </x:c>
      <x:c r="T303" s="55" t="str"/>
      <x:c r="U303" s="51" t="str"/>
    </x:row>
    <x:row r="304">
      <x:c r="A304" s="51" t="str">
        <x:v>Scotland</x:v>
      </x:c>
      <x:c r="B304" s="51" t="str">
        <x:v>C</x:v>
      </x:c>
      <x:c r="C304" s="51" t="n">
        <x:v>14</x:v>
      </x:c>
      <x:c r="D304" s="71" t="str"/>
      <x:c r="E304" s="51" t="str">
        <x:v>CM</x:v>
      </x:c>
      <x:c r="F304" s="51" t="str">
        <x:v>Midfield</x:v>
      </x:c>
      <x:c r="G304" s="51" t="str">
        <x:v>Rotation</x:v>
      </x:c>
      <x:c r="H304" s="55" t="n">
        <x:v>0.35</x:v>
      </x:c>
      <x:c r="I304" s="51" t="str"/>
      <x:c r="J304" s="72" t="str"/>
      <x:c r="K304" s="72" t="str"/>
      <x:c r="L304" s="72" t="str"/>
      <x:c r="M304" s="72" t="str"/>
      <x:c r="N304" s="72" t="str"/>
      <x:c r="O304" s="72" t="str"/>
      <x:c r="P304" s="72" t="str">
        <x:v>Available</x:v>
      </x:c>
      <x:c r="Q304" s="72" t="n">
        <x:v>0</x:v>
      </x:c>
      <x:c r="R304" s="55" t="str">
        <x:f>IF($D304="","",ROUND(MAX(0,MIN(100,0.35*$J304+0.2*$K304+0.15*$L304+0.15*$M304+0.1*$N304+0.05*$O304-IF(OR($P304="Out",$P304="Suspended"),$Q304,IF($P304="Doubtful",$Q304*0.5,IF($P304="Limited",$Q304*0.25,0))))),2))</x:f>
      </x:c>
      <x:c r="S304" s="55" t="n">
        <x:f>IF($D304="",0,ROUND(IF(OR($P304="Out",$P304="Suspended"),$Q304*$H304,IF($P304="Doubtful",$Q304*$H304*0.5,IF($P304="Limited",$Q304*$H304*0.25,0))),2))</x:f>
        <x:v>0</x:v>
      </x:c>
      <x:c r="T304" s="55" t="str"/>
      <x:c r="U304" s="51" t="str"/>
    </x:row>
    <x:row r="305">
      <x:c r="A305" s="51" t="str">
        <x:v>Scotland</x:v>
      </x:c>
      <x:c r="B305" s="51" t="str">
        <x:v>C</x:v>
      </x:c>
      <x:c r="C305" s="51" t="n">
        <x:v>15</x:v>
      </x:c>
      <x:c r="D305" s="71" t="str"/>
      <x:c r="E305" s="51" t="str">
        <x:v>CM</x:v>
      </x:c>
      <x:c r="F305" s="51" t="str">
        <x:v>Midfield</x:v>
      </x:c>
      <x:c r="G305" s="51" t="str">
        <x:v>Rotation</x:v>
      </x:c>
      <x:c r="H305" s="55" t="n">
        <x:v>0.35</x:v>
      </x:c>
      <x:c r="I305" s="51" t="str"/>
      <x:c r="J305" s="72" t="str"/>
      <x:c r="K305" s="72" t="str"/>
      <x:c r="L305" s="72" t="str"/>
      <x:c r="M305" s="72" t="str"/>
      <x:c r="N305" s="72" t="str"/>
      <x:c r="O305" s="72" t="str"/>
      <x:c r="P305" s="72" t="str">
        <x:v>Available</x:v>
      </x:c>
      <x:c r="Q305" s="72" t="n">
        <x:v>0</x:v>
      </x:c>
      <x:c r="R305" s="55" t="str">
        <x:f>IF($D305="","",ROUND(MAX(0,MIN(100,0.35*$J305+0.2*$K305+0.15*$L305+0.15*$M305+0.1*$N305+0.05*$O305-IF(OR($P305="Out",$P305="Suspended"),$Q305,IF($P305="Doubtful",$Q305*0.5,IF($P305="Limited",$Q305*0.25,0))))),2))</x:f>
      </x:c>
      <x:c r="S305" s="55" t="n">
        <x:f>IF($D305="",0,ROUND(IF(OR($P305="Out",$P305="Suspended"),$Q305*$H305,IF($P305="Doubtful",$Q305*$H305*0.5,IF($P305="Limited",$Q305*$H305*0.25,0))),2))</x:f>
        <x:v>0</x:v>
      </x:c>
      <x:c r="T305" s="55" t="str"/>
      <x:c r="U305" s="51" t="str"/>
    </x:row>
    <x:row r="306">
      <x:c r="A306" s="51" t="str">
        <x:v>Scotland</x:v>
      </x:c>
      <x:c r="B306" s="51" t="str">
        <x:v>C</x:v>
      </x:c>
      <x:c r="C306" s="51" t="n">
        <x:v>16</x:v>
      </x:c>
      <x:c r="D306" s="71" t="str"/>
      <x:c r="E306" s="51" t="str">
        <x:v>AM</x:v>
      </x:c>
      <x:c r="F306" s="51" t="str">
        <x:v>Attack</x:v>
      </x:c>
      <x:c r="G306" s="51" t="str">
        <x:v>Rotation</x:v>
      </x:c>
      <x:c r="H306" s="55" t="n">
        <x:v>0.35</x:v>
      </x:c>
      <x:c r="I306" s="51" t="str"/>
      <x:c r="J306" s="72" t="str"/>
      <x:c r="K306" s="72" t="str"/>
      <x:c r="L306" s="72" t="str"/>
      <x:c r="M306" s="72" t="str"/>
      <x:c r="N306" s="72" t="str"/>
      <x:c r="O306" s="72" t="str"/>
      <x:c r="P306" s="72" t="str">
        <x:v>Available</x:v>
      </x:c>
      <x:c r="Q306" s="72" t="n">
        <x:v>0</x:v>
      </x:c>
      <x:c r="R306" s="55" t="str">
        <x:f>IF($D306="","",ROUND(MAX(0,MIN(100,0.35*$J306+0.2*$K306+0.15*$L306+0.15*$M306+0.1*$N306+0.05*$O306-IF(OR($P306="Out",$P306="Suspended"),$Q306,IF($P306="Doubtful",$Q306*0.5,IF($P306="Limited",$Q306*0.25,0))))),2))</x:f>
      </x:c>
      <x:c r="S306" s="55" t="n">
        <x:f>IF($D306="",0,ROUND(IF(OR($P306="Out",$P306="Suspended"),$Q306*$H306,IF($P306="Doubtful",$Q306*$H306*0.5,IF($P306="Limited",$Q306*$H306*0.25,0))),2))</x:f>
        <x:v>0</x:v>
      </x:c>
      <x:c r="T306" s="55" t="str"/>
      <x:c r="U306" s="51" t="str"/>
    </x:row>
    <x:row r="307">
      <x:c r="A307" s="51" t="str">
        <x:v>Scotland</x:v>
      </x:c>
      <x:c r="B307" s="51" t="str">
        <x:v>C</x:v>
      </x:c>
      <x:c r="C307" s="51" t="n">
        <x:v>17</x:v>
      </x:c>
      <x:c r="D307" s="71" t="str"/>
      <x:c r="E307" s="51" t="str">
        <x:v>AM</x:v>
      </x:c>
      <x:c r="F307" s="51" t="str">
        <x:v>Attack</x:v>
      </x:c>
      <x:c r="G307" s="51" t="str">
        <x:v>Rotation</x:v>
      </x:c>
      <x:c r="H307" s="55" t="n">
        <x:v>0.35</x:v>
      </x:c>
      <x:c r="I307" s="51" t="str"/>
      <x:c r="J307" s="72" t="str"/>
      <x:c r="K307" s="72" t="str"/>
      <x:c r="L307" s="72" t="str"/>
      <x:c r="M307" s="72" t="str"/>
      <x:c r="N307" s="72" t="str"/>
      <x:c r="O307" s="72" t="str"/>
      <x:c r="P307" s="72" t="str">
        <x:v>Available</x:v>
      </x:c>
      <x:c r="Q307" s="72" t="n">
        <x:v>0</x:v>
      </x:c>
      <x:c r="R307" s="55" t="str">
        <x:f>IF($D307="","",ROUND(MAX(0,MIN(100,0.35*$J307+0.2*$K307+0.15*$L307+0.15*$M307+0.1*$N307+0.05*$O307-IF(OR($P307="Out",$P307="Suspended"),$Q307,IF($P307="Doubtful",$Q307*0.5,IF($P307="Limited",$Q307*0.25,0))))),2))</x:f>
      </x:c>
      <x:c r="S307" s="55" t="n">
        <x:f>IF($D307="",0,ROUND(IF(OR($P307="Out",$P307="Suspended"),$Q307*$H307,IF($P307="Doubtful",$Q307*$H307*0.5,IF($P307="Limited",$Q307*$H307*0.25,0))),2))</x:f>
        <x:v>0</x:v>
      </x:c>
      <x:c r="T307" s="55" t="str"/>
      <x:c r="U307" s="51" t="str"/>
    </x:row>
    <x:row r="308">
      <x:c r="A308" s="51" t="str">
        <x:v>Scotland</x:v>
      </x:c>
      <x:c r="B308" s="51" t="str">
        <x:v>C</x:v>
      </x:c>
      <x:c r="C308" s="51" t="n">
        <x:v>18</x:v>
      </x:c>
      <x:c r="D308" s="71" t="str"/>
      <x:c r="E308" s="51" t="str">
        <x:v>AM</x:v>
      </x:c>
      <x:c r="F308" s="51" t="str">
        <x:v>Attack</x:v>
      </x:c>
      <x:c r="G308" s="51" t="str">
        <x:v>Rotation</x:v>
      </x:c>
      <x:c r="H308" s="55" t="n">
        <x:v>0.35</x:v>
      </x:c>
      <x:c r="I308" s="51" t="str"/>
      <x:c r="J308" s="72" t="str"/>
      <x:c r="K308" s="72" t="str"/>
      <x:c r="L308" s="72" t="str"/>
      <x:c r="M308" s="72" t="str"/>
      <x:c r="N308" s="72" t="str"/>
      <x:c r="O308" s="72" t="str"/>
      <x:c r="P308" s="72" t="str">
        <x:v>Available</x:v>
      </x:c>
      <x:c r="Q308" s="72" t="n">
        <x:v>0</x:v>
      </x:c>
      <x:c r="R308" s="55" t="str">
        <x:f>IF($D308="","",ROUND(MAX(0,MIN(100,0.35*$J308+0.2*$K308+0.15*$L308+0.15*$M308+0.1*$N308+0.05*$O308-IF(OR($P308="Out",$P308="Suspended"),$Q308,IF($P308="Doubtful",$Q308*0.5,IF($P308="Limited",$Q308*0.25,0))))),2))</x:f>
      </x:c>
      <x:c r="S308" s="55" t="n">
        <x:f>IF($D308="",0,ROUND(IF(OR($P308="Out",$P308="Suspended"),$Q308*$H308,IF($P308="Doubtful",$Q308*$H308*0.5,IF($P308="Limited",$Q308*$H308*0.25,0))),2))</x:f>
        <x:v>0</x:v>
      </x:c>
      <x:c r="T308" s="55" t="str"/>
      <x:c r="U308" s="51" t="str"/>
    </x:row>
    <x:row r="309">
      <x:c r="A309" s="51" t="str">
        <x:v>Scotland</x:v>
      </x:c>
      <x:c r="B309" s="51" t="str">
        <x:v>C</x:v>
      </x:c>
      <x:c r="C309" s="51" t="n">
        <x:v>19</x:v>
      </x:c>
      <x:c r="D309" s="71" t="str"/>
      <x:c r="E309" s="51" t="str">
        <x:v>AM</x:v>
      </x:c>
      <x:c r="F309" s="51" t="str">
        <x:v>Attack</x:v>
      </x:c>
      <x:c r="G309" s="51" t="str">
        <x:v>Rotation</x:v>
      </x:c>
      <x:c r="H309" s="55" t="n">
        <x:v>0.35</x:v>
      </x:c>
      <x:c r="I309" s="51" t="str"/>
      <x:c r="J309" s="72" t="str"/>
      <x:c r="K309" s="72" t="str"/>
      <x:c r="L309" s="72" t="str"/>
      <x:c r="M309" s="72" t="str"/>
      <x:c r="N309" s="72" t="str"/>
      <x:c r="O309" s="72" t="str"/>
      <x:c r="P309" s="72" t="str">
        <x:v>Available</x:v>
      </x:c>
      <x:c r="Q309" s="72" t="n">
        <x:v>0</x:v>
      </x:c>
      <x:c r="R309" s="55" t="str">
        <x:f>IF($D309="","",ROUND(MAX(0,MIN(100,0.35*$J309+0.2*$K309+0.15*$L309+0.15*$M309+0.1*$N309+0.05*$O309-IF(OR($P309="Out",$P309="Suspended"),$Q309,IF($P309="Doubtful",$Q309*0.5,IF($P309="Limited",$Q309*0.25,0))))),2))</x:f>
      </x:c>
      <x:c r="S309" s="55" t="n">
        <x:f>IF($D309="",0,ROUND(IF(OR($P309="Out",$P309="Suspended"),$Q309*$H309,IF($P309="Doubtful",$Q309*$H309*0.5,IF($P309="Limited",$Q309*$H309*0.25,0))),2))</x:f>
        <x:v>0</x:v>
      </x:c>
      <x:c r="T309" s="55" t="str"/>
      <x:c r="U309" s="51" t="str"/>
    </x:row>
    <x:row r="310">
      <x:c r="A310" s="51" t="str">
        <x:v>Scotland</x:v>
      </x:c>
      <x:c r="B310" s="51" t="str">
        <x:v>C</x:v>
      </x:c>
      <x:c r="C310" s="51" t="n">
        <x:v>20</x:v>
      </x:c>
      <x:c r="D310" s="71" t="str"/>
      <x:c r="E310" s="51" t="str">
        <x:v>Winger</x:v>
      </x:c>
      <x:c r="F310" s="51" t="str">
        <x:v>Attack</x:v>
      </x:c>
      <x:c r="G310" s="51" t="str">
        <x:v>Rotation</x:v>
      </x:c>
      <x:c r="H310" s="55" t="n">
        <x:v>0.35</x:v>
      </x:c>
      <x:c r="I310" s="51" t="str"/>
      <x:c r="J310" s="72" t="str"/>
      <x:c r="K310" s="72" t="str"/>
      <x:c r="L310" s="72" t="str"/>
      <x:c r="M310" s="72" t="str"/>
      <x:c r="N310" s="72" t="str"/>
      <x:c r="O310" s="72" t="str"/>
      <x:c r="P310" s="72" t="str">
        <x:v>Available</x:v>
      </x:c>
      <x:c r="Q310" s="72" t="n">
        <x:v>0</x:v>
      </x:c>
      <x:c r="R310" s="55" t="str">
        <x:f>IF($D310="","",ROUND(MAX(0,MIN(100,0.35*$J310+0.2*$K310+0.15*$L310+0.15*$M310+0.1*$N310+0.05*$O310-IF(OR($P310="Out",$P310="Suspended"),$Q310,IF($P310="Doubtful",$Q310*0.5,IF($P310="Limited",$Q310*0.25,0))))),2))</x:f>
      </x:c>
      <x:c r="S310" s="55" t="n">
        <x:f>IF($D310="",0,ROUND(IF(OR($P310="Out",$P310="Suspended"),$Q310*$H310,IF($P310="Doubtful",$Q310*$H310*0.5,IF($P310="Limited",$Q310*$H310*0.25,0))),2))</x:f>
        <x:v>0</x:v>
      </x:c>
      <x:c r="T310" s="55" t="str"/>
      <x:c r="U310" s="51" t="str"/>
    </x:row>
    <x:row r="311">
      <x:c r="A311" s="51" t="str">
        <x:v>Scotland</x:v>
      </x:c>
      <x:c r="B311" s="51" t="str">
        <x:v>C</x:v>
      </x:c>
      <x:c r="C311" s="51" t="n">
        <x:v>21</x:v>
      </x:c>
      <x:c r="D311" s="71" t="str"/>
      <x:c r="E311" s="51" t="str">
        <x:v>Winger</x:v>
      </x:c>
      <x:c r="F311" s="51" t="str">
        <x:v>Attack</x:v>
      </x:c>
      <x:c r="G311" s="51" t="str">
        <x:v>Depth</x:v>
      </x:c>
      <x:c r="H311" s="55" t="n">
        <x:v>0.1</x:v>
      </x:c>
      <x:c r="I311" s="51" t="str"/>
      <x:c r="J311" s="72" t="str"/>
      <x:c r="K311" s="72" t="str"/>
      <x:c r="L311" s="72" t="str"/>
      <x:c r="M311" s="72" t="str"/>
      <x:c r="N311" s="72" t="str"/>
      <x:c r="O311" s="72" t="str"/>
      <x:c r="P311" s="72" t="str">
        <x:v>Available</x:v>
      </x:c>
      <x:c r="Q311" s="72" t="n">
        <x:v>0</x:v>
      </x:c>
      <x:c r="R311" s="55" t="str">
        <x:f>IF($D311="","",ROUND(MAX(0,MIN(100,0.35*$J311+0.2*$K311+0.15*$L311+0.15*$M311+0.1*$N311+0.05*$O311-IF(OR($P311="Out",$P311="Suspended"),$Q311,IF($P311="Doubtful",$Q311*0.5,IF($P311="Limited",$Q311*0.25,0))))),2))</x:f>
      </x:c>
      <x:c r="S311" s="55" t="n">
        <x:f>IF($D311="",0,ROUND(IF(OR($P311="Out",$P311="Suspended"),$Q311*$H311,IF($P311="Doubtful",$Q311*$H311*0.5,IF($P311="Limited",$Q311*$H311*0.25,0))),2))</x:f>
        <x:v>0</x:v>
      </x:c>
      <x:c r="T311" s="55" t="str"/>
      <x:c r="U311" s="51" t="str"/>
    </x:row>
    <x:row r="312">
      <x:c r="A312" s="51" t="str">
        <x:v>Scotland</x:v>
      </x:c>
      <x:c r="B312" s="51" t="str">
        <x:v>C</x:v>
      </x:c>
      <x:c r="C312" s="51" t="n">
        <x:v>22</x:v>
      </x:c>
      <x:c r="D312" s="71" t="str"/>
      <x:c r="E312" s="51" t="str">
        <x:v>Winger</x:v>
      </x:c>
      <x:c r="F312" s="51" t="str">
        <x:v>Attack</x:v>
      </x:c>
      <x:c r="G312" s="51" t="str">
        <x:v>Depth</x:v>
      </x:c>
      <x:c r="H312" s="55" t="n">
        <x:v>0.1</x:v>
      </x:c>
      <x:c r="I312" s="51" t="str"/>
      <x:c r="J312" s="72" t="str"/>
      <x:c r="K312" s="72" t="str"/>
      <x:c r="L312" s="72" t="str"/>
      <x:c r="M312" s="72" t="str"/>
      <x:c r="N312" s="72" t="str"/>
      <x:c r="O312" s="72" t="str"/>
      <x:c r="P312" s="72" t="str">
        <x:v>Available</x:v>
      </x:c>
      <x:c r="Q312" s="72" t="n">
        <x:v>0</x:v>
      </x:c>
      <x:c r="R312" s="55" t="str">
        <x:f>IF($D312="","",ROUND(MAX(0,MIN(100,0.35*$J312+0.2*$K312+0.15*$L312+0.15*$M312+0.1*$N312+0.05*$O312-IF(OR($P312="Out",$P312="Suspended"),$Q312,IF($P312="Doubtful",$Q312*0.5,IF($P312="Limited",$Q312*0.25,0))))),2))</x:f>
      </x:c>
      <x:c r="S312" s="55" t="n">
        <x:f>IF($D312="",0,ROUND(IF(OR($P312="Out",$P312="Suspended"),$Q312*$H312,IF($P312="Doubtful",$Q312*$H312*0.5,IF($P312="Limited",$Q312*$H312*0.25,0))),2))</x:f>
        <x:v>0</x:v>
      </x:c>
      <x:c r="T312" s="55" t="str"/>
      <x:c r="U312" s="51" t="str"/>
    </x:row>
    <x:row r="313">
      <x:c r="A313" s="51" t="str">
        <x:v>Scotland</x:v>
      </x:c>
      <x:c r="B313" s="51" t="str">
        <x:v>C</x:v>
      </x:c>
      <x:c r="C313" s="51" t="n">
        <x:v>23</x:v>
      </x:c>
      <x:c r="D313" s="71" t="str"/>
      <x:c r="E313" s="51" t="str">
        <x:v>Winger</x:v>
      </x:c>
      <x:c r="F313" s="51" t="str">
        <x:v>Attack</x:v>
      </x:c>
      <x:c r="G313" s="51" t="str">
        <x:v>Depth</x:v>
      </x:c>
      <x:c r="H313" s="55" t="n">
        <x:v>0.1</x:v>
      </x:c>
      <x:c r="I313" s="51" t="str"/>
      <x:c r="J313" s="72" t="str"/>
      <x:c r="K313" s="72" t="str"/>
      <x:c r="L313" s="72" t="str"/>
      <x:c r="M313" s="72" t="str"/>
      <x:c r="N313" s="72" t="str"/>
      <x:c r="O313" s="72" t="str"/>
      <x:c r="P313" s="72" t="str">
        <x:v>Available</x:v>
      </x:c>
      <x:c r="Q313" s="72" t="n">
        <x:v>0</x:v>
      </x:c>
      <x:c r="R313" s="55" t="str">
        <x:f>IF($D313="","",ROUND(MAX(0,MIN(100,0.35*$J313+0.2*$K313+0.15*$L313+0.15*$M313+0.1*$N313+0.05*$O313-IF(OR($P313="Out",$P313="Suspended"),$Q313,IF($P313="Doubtful",$Q313*0.5,IF($P313="Limited",$Q313*0.25,0))))),2))</x:f>
      </x:c>
      <x:c r="S313" s="55" t="n">
        <x:f>IF($D313="",0,ROUND(IF(OR($P313="Out",$P313="Suspended"),$Q313*$H313,IF($P313="Doubtful",$Q313*$H313*0.5,IF($P313="Limited",$Q313*$H313*0.25,0))),2))</x:f>
        <x:v>0</x:v>
      </x:c>
      <x:c r="T313" s="55" t="str"/>
      <x:c r="U313" s="51" t="str"/>
    </x:row>
    <x:row r="314">
      <x:c r="A314" s="51" t="str">
        <x:v>Scotland</x:v>
      </x:c>
      <x:c r="B314" s="51" t="str">
        <x:v>C</x:v>
      </x:c>
      <x:c r="C314" s="51" t="n">
        <x:v>24</x:v>
      </x:c>
      <x:c r="D314" s="71" t="str"/>
      <x:c r="E314" s="51" t="str">
        <x:v>ST</x:v>
      </x:c>
      <x:c r="F314" s="51" t="str">
        <x:v>Attack</x:v>
      </x:c>
      <x:c r="G314" s="51" t="str">
        <x:v>Depth</x:v>
      </x:c>
      <x:c r="H314" s="55" t="n">
        <x:v>0.1</x:v>
      </x:c>
      <x:c r="I314" s="51" t="str"/>
      <x:c r="J314" s="72" t="str"/>
      <x:c r="K314" s="72" t="str"/>
      <x:c r="L314" s="72" t="str"/>
      <x:c r="M314" s="72" t="str"/>
      <x:c r="N314" s="72" t="str"/>
      <x:c r="O314" s="72" t="str"/>
      <x:c r="P314" s="72" t="str">
        <x:v>Available</x:v>
      </x:c>
      <x:c r="Q314" s="72" t="n">
        <x:v>0</x:v>
      </x:c>
      <x:c r="R314" s="55" t="str">
        <x:f>IF($D314="","",ROUND(MAX(0,MIN(100,0.35*$J314+0.2*$K314+0.15*$L314+0.15*$M314+0.1*$N314+0.05*$O314-IF(OR($P314="Out",$P314="Suspended"),$Q314,IF($P314="Doubtful",$Q314*0.5,IF($P314="Limited",$Q314*0.25,0))))),2))</x:f>
      </x:c>
      <x:c r="S314" s="55" t="n">
        <x:f>IF($D314="",0,ROUND(IF(OR($P314="Out",$P314="Suspended"),$Q314*$H314,IF($P314="Doubtful",$Q314*$H314*0.5,IF($P314="Limited",$Q314*$H314*0.25,0))),2))</x:f>
        <x:v>0</x:v>
      </x:c>
      <x:c r="T314" s="55" t="str"/>
      <x:c r="U314" s="51" t="str"/>
    </x:row>
    <x:row r="315">
      <x:c r="A315" s="51" t="str">
        <x:v>Scotland</x:v>
      </x:c>
      <x:c r="B315" s="51" t="str">
        <x:v>C</x:v>
      </x:c>
      <x:c r="C315" s="51" t="n">
        <x:v>25</x:v>
      </x:c>
      <x:c r="D315" s="71" t="str"/>
      <x:c r="E315" s="51" t="str">
        <x:v>ST</x:v>
      </x:c>
      <x:c r="F315" s="51" t="str">
        <x:v>Attack</x:v>
      </x:c>
      <x:c r="G315" s="51" t="str">
        <x:v>Depth</x:v>
      </x:c>
      <x:c r="H315" s="55" t="n">
        <x:v>0.1</x:v>
      </x:c>
      <x:c r="I315" s="51" t="str"/>
      <x:c r="J315" s="72" t="str"/>
      <x:c r="K315" s="72" t="str"/>
      <x:c r="L315" s="72" t="str"/>
      <x:c r="M315" s="72" t="str"/>
      <x:c r="N315" s="72" t="str"/>
      <x:c r="O315" s="72" t="str"/>
      <x:c r="P315" s="72" t="str">
        <x:v>Available</x:v>
      </x:c>
      <x:c r="Q315" s="72" t="n">
        <x:v>0</x:v>
      </x:c>
      <x:c r="R315" s="55" t="str">
        <x:f>IF($D315="","",ROUND(MAX(0,MIN(100,0.35*$J315+0.2*$K315+0.15*$L315+0.15*$M315+0.1*$N315+0.05*$O315-IF(OR($P315="Out",$P315="Suspended"),$Q315,IF($P315="Doubtful",$Q315*0.5,IF($P315="Limited",$Q315*0.25,0))))),2))</x:f>
      </x:c>
      <x:c r="S315" s="55" t="n">
        <x:f>IF($D315="",0,ROUND(IF(OR($P315="Out",$P315="Suspended"),$Q315*$H315,IF($P315="Doubtful",$Q315*$H315*0.5,IF($P315="Limited",$Q315*$H315*0.25,0))),2))</x:f>
        <x:v>0</x:v>
      </x:c>
      <x:c r="T315" s="55" t="str"/>
      <x:c r="U315" s="51" t="str"/>
    </x:row>
    <x:row r="316">
      <x:c r="A316" s="51" t="str">
        <x:v>Scotland</x:v>
      </x:c>
      <x:c r="B316" s="51" t="str">
        <x:v>C</x:v>
      </x:c>
      <x:c r="C316" s="51" t="n">
        <x:v>26</x:v>
      </x:c>
      <x:c r="D316" s="71" t="str"/>
      <x:c r="E316" s="51" t="str">
        <x:v>ST</x:v>
      </x:c>
      <x:c r="F316" s="51" t="str">
        <x:v>Attack</x:v>
      </x:c>
      <x:c r="G316" s="51" t="str">
        <x:v>Depth</x:v>
      </x:c>
      <x:c r="H316" s="55" t="n">
        <x:v>0.1</x:v>
      </x:c>
      <x:c r="I316" s="51" t="str"/>
      <x:c r="J316" s="72" t="str"/>
      <x:c r="K316" s="72" t="str"/>
      <x:c r="L316" s="72" t="str"/>
      <x:c r="M316" s="72" t="str"/>
      <x:c r="N316" s="72" t="str"/>
      <x:c r="O316" s="72" t="str"/>
      <x:c r="P316" s="72" t="str">
        <x:v>Available</x:v>
      </x:c>
      <x:c r="Q316" s="72" t="n">
        <x:v>0</x:v>
      </x:c>
      <x:c r="R316" s="55" t="str">
        <x:f>IF($D316="","",ROUND(MAX(0,MIN(100,0.35*$J316+0.2*$K316+0.15*$L316+0.15*$M316+0.1*$N316+0.05*$O316-IF(OR($P316="Out",$P316="Suspended"),$Q316,IF($P316="Doubtful",$Q316*0.5,IF($P316="Limited",$Q316*0.25,0))))),2))</x:f>
      </x:c>
      <x:c r="S316" s="55" t="n">
        <x:f>IF($D316="",0,ROUND(IF(OR($P316="Out",$P316="Suspended"),$Q316*$H316,IF($P316="Doubtful",$Q316*$H316*0.5,IF($P316="Limited",$Q316*$H316*0.25,0))),2))</x:f>
        <x:v>0</x:v>
      </x:c>
      <x:c r="T316" s="55" t="str"/>
      <x:c r="U316" s="51" t="str"/>
    </x:row>
    <x:row r="317">
      <x:c r="A317" s="51" t="str">
        <x:v>Australia</x:v>
      </x:c>
      <x:c r="B317" s="51" t="str">
        <x:v>D</x:v>
      </x:c>
      <x:c r="C317" s="51" t="n">
        <x:v>1</x:v>
      </x:c>
      <x:c r="D317" s="71" t="str"/>
      <x:c r="E317" s="51" t="str">
        <x:v>GK</x:v>
      </x:c>
      <x:c r="F317" s="51" t="str">
        <x:v>GK</x:v>
      </x:c>
      <x:c r="G317" s="51" t="str">
        <x:v>Starter</x:v>
      </x:c>
      <x:c r="H317" s="55" t="n">
        <x:v>1</x:v>
      </x:c>
      <x:c r="I317" s="51" t="str"/>
      <x:c r="J317" s="72" t="str"/>
      <x:c r="K317" s="72" t="str"/>
      <x:c r="L317" s="72" t="str"/>
      <x:c r="M317" s="72" t="str"/>
      <x:c r="N317" s="72" t="str"/>
      <x:c r="O317" s="72" t="str"/>
      <x:c r="P317" s="72" t="str">
        <x:v>Available</x:v>
      </x:c>
      <x:c r="Q317" s="72" t="n">
        <x:v>0</x:v>
      </x:c>
      <x:c r="R317" s="55" t="str">
        <x:f>IF($D317="","",ROUND(MAX(0,MIN(100,0.35*$J317+0.2*$K317+0.15*$L317+0.15*$M317+0.1*$N317+0.05*$O317-IF(OR($P317="Out",$P317="Suspended"),$Q317,IF($P317="Doubtful",$Q317*0.5,IF($P317="Limited",$Q317*0.25,0))))),2))</x:f>
      </x:c>
      <x:c r="S317" s="55" t="n">
        <x:f>IF($D317="",0,ROUND(IF(OR($P317="Out",$P317="Suspended"),$Q317*$H317,IF($P317="Doubtful",$Q317*$H317*0.5,IF($P317="Limited",$Q317*$H317*0.25,0))),2))</x:f>
        <x:v>0</x:v>
      </x:c>
      <x:c r="T317" s="55" t="str"/>
      <x:c r="U317" s="51" t="str"/>
    </x:row>
    <x:row r="318">
      <x:c r="A318" s="51" t="str">
        <x:v>Australia</x:v>
      </x:c>
      <x:c r="B318" s="51" t="str">
        <x:v>D</x:v>
      </x:c>
      <x:c r="C318" s="51" t="n">
        <x:v>2</x:v>
      </x:c>
      <x:c r="D318" s="71" t="str"/>
      <x:c r="E318" s="51" t="str">
        <x:v>GK</x:v>
      </x:c>
      <x:c r="F318" s="51" t="str">
        <x:v>GK</x:v>
      </x:c>
      <x:c r="G318" s="51" t="str">
        <x:v>Starter</x:v>
      </x:c>
      <x:c r="H318" s="55" t="n">
        <x:v>1</x:v>
      </x:c>
      <x:c r="I318" s="51" t="str"/>
      <x:c r="J318" s="72" t="str"/>
      <x:c r="K318" s="72" t="str"/>
      <x:c r="L318" s="72" t="str"/>
      <x:c r="M318" s="72" t="str"/>
      <x:c r="N318" s="72" t="str"/>
      <x:c r="O318" s="72" t="str"/>
      <x:c r="P318" s="72" t="str">
        <x:v>Available</x:v>
      </x:c>
      <x:c r="Q318" s="72" t="n">
        <x:v>0</x:v>
      </x:c>
      <x:c r="R318" s="55" t="str">
        <x:f>IF($D318="","",ROUND(MAX(0,MIN(100,0.35*$J318+0.2*$K318+0.15*$L318+0.15*$M318+0.1*$N318+0.05*$O318-IF(OR($P318="Out",$P318="Suspended"),$Q318,IF($P318="Doubtful",$Q318*0.5,IF($P318="Limited",$Q318*0.25,0))))),2))</x:f>
      </x:c>
      <x:c r="S318" s="55" t="n">
        <x:f>IF($D318="",0,ROUND(IF(OR($P318="Out",$P318="Suspended"),$Q318*$H318,IF($P318="Doubtful",$Q318*$H318*0.5,IF($P318="Limited",$Q318*$H318*0.25,0))),2))</x:f>
        <x:v>0</x:v>
      </x:c>
      <x:c r="T318" s="55" t="str"/>
      <x:c r="U318" s="51" t="str"/>
    </x:row>
    <x:row r="319">
      <x:c r="A319" s="51" t="str">
        <x:v>Australia</x:v>
      </x:c>
      <x:c r="B319" s="51" t="str">
        <x:v>D</x:v>
      </x:c>
      <x:c r="C319" s="51" t="n">
        <x:v>3</x:v>
      </x:c>
      <x:c r="D319" s="71" t="str"/>
      <x:c r="E319" s="51" t="str">
        <x:v>GK</x:v>
      </x:c>
      <x:c r="F319" s="51" t="str">
        <x:v>GK</x:v>
      </x:c>
      <x:c r="G319" s="51" t="str">
        <x:v>Starter</x:v>
      </x:c>
      <x:c r="H319" s="55" t="n">
        <x:v>1</x:v>
      </x:c>
      <x:c r="I319" s="51" t="str"/>
      <x:c r="J319" s="72" t="str"/>
      <x:c r="K319" s="72" t="str"/>
      <x:c r="L319" s="72" t="str"/>
      <x:c r="M319" s="72" t="str"/>
      <x:c r="N319" s="72" t="str"/>
      <x:c r="O319" s="72" t="str"/>
      <x:c r="P319" s="72" t="str">
        <x:v>Available</x:v>
      </x:c>
      <x:c r="Q319" s="72" t="n">
        <x:v>0</x:v>
      </x:c>
      <x:c r="R319" s="55" t="str">
        <x:f>IF($D319="","",ROUND(MAX(0,MIN(100,0.35*$J319+0.2*$K319+0.15*$L319+0.15*$M319+0.1*$N319+0.05*$O319-IF(OR($P319="Out",$P319="Suspended"),$Q319,IF($P319="Doubtful",$Q319*0.5,IF($P319="Limited",$Q319*0.25,0))))),2))</x:f>
      </x:c>
      <x:c r="S319" s="55" t="n">
        <x:f>IF($D319="",0,ROUND(IF(OR($P319="Out",$P319="Suspended"),$Q319*$H319,IF($P319="Doubtful",$Q319*$H319*0.5,IF($P319="Limited",$Q319*$H319*0.25,0))),2))</x:f>
        <x:v>0</x:v>
      </x:c>
      <x:c r="T319" s="55" t="str"/>
      <x:c r="U319" s="51" t="str"/>
    </x:row>
    <x:row r="320">
      <x:c r="A320" s="51" t="str">
        <x:v>Australia</x:v>
      </x:c>
      <x:c r="B320" s="51" t="str">
        <x:v>D</x:v>
      </x:c>
      <x:c r="C320" s="51" t="n">
        <x:v>4</x:v>
      </x:c>
      <x:c r="D320" s="71" t="str"/>
      <x:c r="E320" s="51" t="str">
        <x:v>CB</x:v>
      </x:c>
      <x:c r="F320" s="51" t="str">
        <x:v>Defence</x:v>
      </x:c>
      <x:c r="G320" s="51" t="str">
        <x:v>Starter</x:v>
      </x:c>
      <x:c r="H320" s="55" t="n">
        <x:v>1</x:v>
      </x:c>
      <x:c r="I320" s="51" t="str"/>
      <x:c r="J320" s="72" t="str"/>
      <x:c r="K320" s="72" t="str"/>
      <x:c r="L320" s="72" t="str"/>
      <x:c r="M320" s="72" t="str"/>
      <x:c r="N320" s="72" t="str"/>
      <x:c r="O320" s="72" t="str"/>
      <x:c r="P320" s="72" t="str">
        <x:v>Available</x:v>
      </x:c>
      <x:c r="Q320" s="72" t="n">
        <x:v>0</x:v>
      </x:c>
      <x:c r="R320" s="55" t="str">
        <x:f>IF($D320="","",ROUND(MAX(0,MIN(100,0.35*$J320+0.2*$K320+0.15*$L320+0.15*$M320+0.1*$N320+0.05*$O320-IF(OR($P320="Out",$P320="Suspended"),$Q320,IF($P320="Doubtful",$Q320*0.5,IF($P320="Limited",$Q320*0.25,0))))),2))</x:f>
      </x:c>
      <x:c r="S320" s="55" t="n">
        <x:f>IF($D320="",0,ROUND(IF(OR($P320="Out",$P320="Suspended"),$Q320*$H320,IF($P320="Doubtful",$Q320*$H320*0.5,IF($P320="Limited",$Q320*$H320*0.25,0))),2))</x:f>
        <x:v>0</x:v>
      </x:c>
      <x:c r="T320" s="55" t="str"/>
      <x:c r="U320" s="51" t="str"/>
    </x:row>
    <x:row r="321">
      <x:c r="A321" s="51" t="str">
        <x:v>Australia</x:v>
      </x:c>
      <x:c r="B321" s="51" t="str">
        <x:v>D</x:v>
      </x:c>
      <x:c r="C321" s="51" t="n">
        <x:v>5</x:v>
      </x:c>
      <x:c r="D321" s="71" t="str"/>
      <x:c r="E321" s="51" t="str">
        <x:v>CB</x:v>
      </x:c>
      <x:c r="F321" s="51" t="str">
        <x:v>Defence</x:v>
      </x:c>
      <x:c r="G321" s="51" t="str">
        <x:v>Starter</x:v>
      </x:c>
      <x:c r="H321" s="55" t="n">
        <x:v>1</x:v>
      </x:c>
      <x:c r="I321" s="51" t="str"/>
      <x:c r="J321" s="72" t="str"/>
      <x:c r="K321" s="72" t="str"/>
      <x:c r="L321" s="72" t="str"/>
      <x:c r="M321" s="72" t="str"/>
      <x:c r="N321" s="72" t="str"/>
      <x:c r="O321" s="72" t="str"/>
      <x:c r="P321" s="72" t="str">
        <x:v>Available</x:v>
      </x:c>
      <x:c r="Q321" s="72" t="n">
        <x:v>0</x:v>
      </x:c>
      <x:c r="R321" s="55" t="str">
        <x:f>IF($D321="","",ROUND(MAX(0,MIN(100,0.35*$J321+0.2*$K321+0.15*$L321+0.15*$M321+0.1*$N321+0.05*$O321-IF(OR($P321="Out",$P321="Suspended"),$Q321,IF($P321="Doubtful",$Q321*0.5,IF($P321="Limited",$Q321*0.25,0))))),2))</x:f>
      </x:c>
      <x:c r="S321" s="55" t="n">
        <x:f>IF($D321="",0,ROUND(IF(OR($P321="Out",$P321="Suspended"),$Q321*$H321,IF($P321="Doubtful",$Q321*$H321*0.5,IF($P321="Limited",$Q321*$H321*0.25,0))),2))</x:f>
        <x:v>0</x:v>
      </x:c>
      <x:c r="T321" s="55" t="str"/>
      <x:c r="U321" s="51" t="str"/>
    </x:row>
    <x:row r="322">
      <x:c r="A322" s="51" t="str">
        <x:v>Australia</x:v>
      </x:c>
      <x:c r="B322" s="51" t="str">
        <x:v>D</x:v>
      </x:c>
      <x:c r="C322" s="51" t="n">
        <x:v>6</x:v>
      </x:c>
      <x:c r="D322" s="71" t="str"/>
      <x:c r="E322" s="51" t="str">
        <x:v>CB</x:v>
      </x:c>
      <x:c r="F322" s="51" t="str">
        <x:v>Defence</x:v>
      </x:c>
      <x:c r="G322" s="51" t="str">
        <x:v>Starter</x:v>
      </x:c>
      <x:c r="H322" s="55" t="n">
        <x:v>1</x:v>
      </x:c>
      <x:c r="I322" s="51" t="str"/>
      <x:c r="J322" s="72" t="str"/>
      <x:c r="K322" s="72" t="str"/>
      <x:c r="L322" s="72" t="str"/>
      <x:c r="M322" s="72" t="str"/>
      <x:c r="N322" s="72" t="str"/>
      <x:c r="O322" s="72" t="str"/>
      <x:c r="P322" s="72" t="str">
        <x:v>Available</x:v>
      </x:c>
      <x:c r="Q322" s="72" t="n">
        <x:v>0</x:v>
      </x:c>
      <x:c r="R322" s="55" t="str">
        <x:f>IF($D322="","",ROUND(MAX(0,MIN(100,0.35*$J322+0.2*$K322+0.15*$L322+0.15*$M322+0.1*$N322+0.05*$O322-IF(OR($P322="Out",$P322="Suspended"),$Q322,IF($P322="Doubtful",$Q322*0.5,IF($P322="Limited",$Q322*0.25,0))))),2))</x:f>
      </x:c>
      <x:c r="S322" s="55" t="n">
        <x:f>IF($D322="",0,ROUND(IF(OR($P322="Out",$P322="Suspended"),$Q322*$H322,IF($P322="Doubtful",$Q322*$H322*0.5,IF($P322="Limited",$Q322*$H322*0.25,0))),2))</x:f>
        <x:v>0</x:v>
      </x:c>
      <x:c r="T322" s="55" t="str"/>
      <x:c r="U322" s="51" t="str"/>
    </x:row>
    <x:row r="323">
      <x:c r="A323" s="51" t="str">
        <x:v>Australia</x:v>
      </x:c>
      <x:c r="B323" s="51" t="str">
        <x:v>D</x:v>
      </x:c>
      <x:c r="C323" s="51" t="n">
        <x:v>7</x:v>
      </x:c>
      <x:c r="D323" s="71" t="str"/>
      <x:c r="E323" s="51" t="str">
        <x:v>FB</x:v>
      </x:c>
      <x:c r="F323" s="51" t="str">
        <x:v>Defence</x:v>
      </x:c>
      <x:c r="G323" s="51" t="str">
        <x:v>Starter</x:v>
      </x:c>
      <x:c r="H323" s="55" t="n">
        <x:v>1</x:v>
      </x:c>
      <x:c r="I323" s="51" t="str"/>
      <x:c r="J323" s="72" t="str"/>
      <x:c r="K323" s="72" t="str"/>
      <x:c r="L323" s="72" t="str"/>
      <x:c r="M323" s="72" t="str"/>
      <x:c r="N323" s="72" t="str"/>
      <x:c r="O323" s="72" t="str"/>
      <x:c r="P323" s="72" t="str">
        <x:v>Available</x:v>
      </x:c>
      <x:c r="Q323" s="72" t="n">
        <x:v>0</x:v>
      </x:c>
      <x:c r="R323" s="55" t="str">
        <x:f>IF($D323="","",ROUND(MAX(0,MIN(100,0.35*$J323+0.2*$K323+0.15*$L323+0.15*$M323+0.1*$N323+0.05*$O323-IF(OR($P323="Out",$P323="Suspended"),$Q323,IF($P323="Doubtful",$Q323*0.5,IF($P323="Limited",$Q323*0.25,0))))),2))</x:f>
      </x:c>
      <x:c r="S323" s="55" t="n">
        <x:f>IF($D323="",0,ROUND(IF(OR($P323="Out",$P323="Suspended"),$Q323*$H323,IF($P323="Doubtful",$Q323*$H323*0.5,IF($P323="Limited",$Q323*$H323*0.25,0))),2))</x:f>
        <x:v>0</x:v>
      </x:c>
      <x:c r="T323" s="55" t="str"/>
      <x:c r="U323" s="51" t="str"/>
    </x:row>
    <x:row r="324">
      <x:c r="A324" s="51" t="str">
        <x:v>Australia</x:v>
      </x:c>
      <x:c r="B324" s="51" t="str">
        <x:v>D</x:v>
      </x:c>
      <x:c r="C324" s="51" t="n">
        <x:v>8</x:v>
      </x:c>
      <x:c r="D324" s="71" t="str"/>
      <x:c r="E324" s="51" t="str">
        <x:v>FB</x:v>
      </x:c>
      <x:c r="F324" s="51" t="str">
        <x:v>Defence</x:v>
      </x:c>
      <x:c r="G324" s="51" t="str">
        <x:v>Starter</x:v>
      </x:c>
      <x:c r="H324" s="55" t="n">
        <x:v>1</x:v>
      </x:c>
      <x:c r="I324" s="51" t="str"/>
      <x:c r="J324" s="72" t="str"/>
      <x:c r="K324" s="72" t="str"/>
      <x:c r="L324" s="72" t="str"/>
      <x:c r="M324" s="72" t="str"/>
      <x:c r="N324" s="72" t="str"/>
      <x:c r="O324" s="72" t="str"/>
      <x:c r="P324" s="72" t="str">
        <x:v>Available</x:v>
      </x:c>
      <x:c r="Q324" s="72" t="n">
        <x:v>0</x:v>
      </x:c>
      <x:c r="R324" s="55" t="str">
        <x:f>IF($D324="","",ROUND(MAX(0,MIN(100,0.35*$J324+0.2*$K324+0.15*$L324+0.15*$M324+0.1*$N324+0.05*$O324-IF(OR($P324="Out",$P324="Suspended"),$Q324,IF($P324="Doubtful",$Q324*0.5,IF($P324="Limited",$Q324*0.25,0))))),2))</x:f>
      </x:c>
      <x:c r="S324" s="55" t="n">
        <x:f>IF($D324="",0,ROUND(IF(OR($P324="Out",$P324="Suspended"),$Q324*$H324,IF($P324="Doubtful",$Q324*$H324*0.5,IF($P324="Limited",$Q324*$H324*0.25,0))),2))</x:f>
        <x:v>0</x:v>
      </x:c>
      <x:c r="T324" s="55" t="str"/>
      <x:c r="U324" s="51" t="str"/>
    </x:row>
    <x:row r="325">
      <x:c r="A325" s="51" t="str">
        <x:v>Australia</x:v>
      </x:c>
      <x:c r="B325" s="51" t="str">
        <x:v>D</x:v>
      </x:c>
      <x:c r="C325" s="51" t="n">
        <x:v>9</x:v>
      </x:c>
      <x:c r="D325" s="71" t="str"/>
      <x:c r="E325" s="51" t="str">
        <x:v>DM</x:v>
      </x:c>
      <x:c r="F325" s="51" t="str">
        <x:v>Midfield</x:v>
      </x:c>
      <x:c r="G325" s="51" t="str">
        <x:v>Starter</x:v>
      </x:c>
      <x:c r="H325" s="55" t="n">
        <x:v>1</x:v>
      </x:c>
      <x:c r="I325" s="51" t="str"/>
      <x:c r="J325" s="72" t="str"/>
      <x:c r="K325" s="72" t="str"/>
      <x:c r="L325" s="72" t="str"/>
      <x:c r="M325" s="72" t="str"/>
      <x:c r="N325" s="72" t="str"/>
      <x:c r="O325" s="72" t="str"/>
      <x:c r="P325" s="72" t="str">
        <x:v>Available</x:v>
      </x:c>
      <x:c r="Q325" s="72" t="n">
        <x:v>0</x:v>
      </x:c>
      <x:c r="R325" s="55" t="str">
        <x:f>IF($D325="","",ROUND(MAX(0,MIN(100,0.35*$J325+0.2*$K325+0.15*$L325+0.15*$M325+0.1*$N325+0.05*$O325-IF(OR($P325="Out",$P325="Suspended"),$Q325,IF($P325="Doubtful",$Q325*0.5,IF($P325="Limited",$Q325*0.25,0))))),2))</x:f>
      </x:c>
      <x:c r="S325" s="55" t="n">
        <x:f>IF($D325="",0,ROUND(IF(OR($P325="Out",$P325="Suspended"),$Q325*$H325,IF($P325="Doubtful",$Q325*$H325*0.5,IF($P325="Limited",$Q325*$H325*0.25,0))),2))</x:f>
        <x:v>0</x:v>
      </x:c>
      <x:c r="T325" s="55" t="str"/>
      <x:c r="U325" s="51" t="str"/>
    </x:row>
    <x:row r="326">
      <x:c r="A326" s="51" t="str">
        <x:v>Australia</x:v>
      </x:c>
      <x:c r="B326" s="51" t="str">
        <x:v>D</x:v>
      </x:c>
      <x:c r="C326" s="51" t="n">
        <x:v>10</x:v>
      </x:c>
      <x:c r="D326" s="71" t="str"/>
      <x:c r="E326" s="51" t="str">
        <x:v>DM</x:v>
      </x:c>
      <x:c r="F326" s="51" t="str">
        <x:v>Midfield</x:v>
      </x:c>
      <x:c r="G326" s="51" t="str">
        <x:v>Starter</x:v>
      </x:c>
      <x:c r="H326" s="55" t="n">
        <x:v>1</x:v>
      </x:c>
      <x:c r="I326" s="51" t="str"/>
      <x:c r="J326" s="72" t="str"/>
      <x:c r="K326" s="72" t="str"/>
      <x:c r="L326" s="72" t="str"/>
      <x:c r="M326" s="72" t="str"/>
      <x:c r="N326" s="72" t="str"/>
      <x:c r="O326" s="72" t="str"/>
      <x:c r="P326" s="72" t="str">
        <x:v>Available</x:v>
      </x:c>
      <x:c r="Q326" s="72" t="n">
        <x:v>0</x:v>
      </x:c>
      <x:c r="R326" s="55" t="str">
        <x:f>IF($D326="","",ROUND(MAX(0,MIN(100,0.35*$J326+0.2*$K326+0.15*$L326+0.15*$M326+0.1*$N326+0.05*$O326-IF(OR($P326="Out",$P326="Suspended"),$Q326,IF($P326="Doubtful",$Q326*0.5,IF($P326="Limited",$Q326*0.25,0))))),2))</x:f>
      </x:c>
      <x:c r="S326" s="55" t="n">
        <x:f>IF($D326="",0,ROUND(IF(OR($P326="Out",$P326="Suspended"),$Q326*$H326,IF($P326="Doubtful",$Q326*$H326*0.5,IF($P326="Limited",$Q326*$H326*0.25,0))),2))</x:f>
        <x:v>0</x:v>
      </x:c>
      <x:c r="T326" s="55" t="str"/>
      <x:c r="U326" s="51" t="str"/>
    </x:row>
    <x:row r="327">
      <x:c r="A327" s="51" t="str">
        <x:v>Australia</x:v>
      </x:c>
      <x:c r="B327" s="51" t="str">
        <x:v>D</x:v>
      </x:c>
      <x:c r="C327" s="51" t="n">
        <x:v>11</x:v>
      </x:c>
      <x:c r="D327" s="71" t="str"/>
      <x:c r="E327" s="51" t="str">
        <x:v>DM</x:v>
      </x:c>
      <x:c r="F327" s="51" t="str">
        <x:v>Midfield</x:v>
      </x:c>
      <x:c r="G327" s="51" t="str">
        <x:v>Starter</x:v>
      </x:c>
      <x:c r="H327" s="55" t="n">
        <x:v>1</x:v>
      </x:c>
      <x:c r="I327" s="51" t="str"/>
      <x:c r="J327" s="72" t="str"/>
      <x:c r="K327" s="72" t="str"/>
      <x:c r="L327" s="72" t="str"/>
      <x:c r="M327" s="72" t="str"/>
      <x:c r="N327" s="72" t="str"/>
      <x:c r="O327" s="72" t="str"/>
      <x:c r="P327" s="72" t="str">
        <x:v>Available</x:v>
      </x:c>
      <x:c r="Q327" s="72" t="n">
        <x:v>0</x:v>
      </x:c>
      <x:c r="R327" s="55" t="str">
        <x:f>IF($D327="","",ROUND(MAX(0,MIN(100,0.35*$J327+0.2*$K327+0.15*$L327+0.15*$M327+0.1*$N327+0.05*$O327-IF(OR($P327="Out",$P327="Suspended"),$Q327,IF($P327="Doubtful",$Q327*0.5,IF($P327="Limited",$Q327*0.25,0))))),2))</x:f>
      </x:c>
      <x:c r="S327" s="55" t="n">
        <x:f>IF($D327="",0,ROUND(IF(OR($P327="Out",$P327="Suspended"),$Q327*$H327,IF($P327="Doubtful",$Q327*$H327*0.5,IF($P327="Limited",$Q327*$H327*0.25,0))),2))</x:f>
        <x:v>0</x:v>
      </x:c>
      <x:c r="T327" s="55" t="str"/>
      <x:c r="U327" s="51" t="str"/>
    </x:row>
    <x:row r="328">
      <x:c r="A328" s="51" t="str">
        <x:v>Australia</x:v>
      </x:c>
      <x:c r="B328" s="51" t="str">
        <x:v>D</x:v>
      </x:c>
      <x:c r="C328" s="51" t="n">
        <x:v>12</x:v>
      </x:c>
      <x:c r="D328" s="71" t="str"/>
      <x:c r="E328" s="51" t="str">
        <x:v>CM</x:v>
      </x:c>
      <x:c r="F328" s="51" t="str">
        <x:v>Midfield</x:v>
      </x:c>
      <x:c r="G328" s="51" t="str">
        <x:v>Rotation</x:v>
      </x:c>
      <x:c r="H328" s="55" t="n">
        <x:v>0.35</x:v>
      </x:c>
      <x:c r="I328" s="51" t="str"/>
      <x:c r="J328" s="72" t="str"/>
      <x:c r="K328" s="72" t="str"/>
      <x:c r="L328" s="72" t="str"/>
      <x:c r="M328" s="72" t="str"/>
      <x:c r="N328" s="72" t="str"/>
      <x:c r="O328" s="72" t="str"/>
      <x:c r="P328" s="72" t="str">
        <x:v>Available</x:v>
      </x:c>
      <x:c r="Q328" s="72" t="n">
        <x:v>0</x:v>
      </x:c>
      <x:c r="R328" s="55" t="str">
        <x:f>IF($D328="","",ROUND(MAX(0,MIN(100,0.35*$J328+0.2*$K328+0.15*$L328+0.15*$M328+0.1*$N328+0.05*$O328-IF(OR($P328="Out",$P328="Suspended"),$Q328,IF($P328="Doubtful",$Q328*0.5,IF($P328="Limited",$Q328*0.25,0))))),2))</x:f>
      </x:c>
      <x:c r="S328" s="55" t="n">
        <x:f>IF($D328="",0,ROUND(IF(OR($P328="Out",$P328="Suspended"),$Q328*$H328,IF($P328="Doubtful",$Q328*$H328*0.5,IF($P328="Limited",$Q328*$H328*0.25,0))),2))</x:f>
        <x:v>0</x:v>
      </x:c>
      <x:c r="T328" s="55" t="str"/>
      <x:c r="U328" s="51" t="str"/>
    </x:row>
    <x:row r="329">
      <x:c r="A329" s="51" t="str">
        <x:v>Australia</x:v>
      </x:c>
      <x:c r="B329" s="51" t="str">
        <x:v>D</x:v>
      </x:c>
      <x:c r="C329" s="51" t="n">
        <x:v>13</x:v>
      </x:c>
      <x:c r="D329" s="71" t="str"/>
      <x:c r="E329" s="51" t="str">
        <x:v>CM</x:v>
      </x:c>
      <x:c r="F329" s="51" t="str">
        <x:v>Midfield</x:v>
      </x:c>
      <x:c r="G329" s="51" t="str">
        <x:v>Rotation</x:v>
      </x:c>
      <x:c r="H329" s="55" t="n">
        <x:v>0.35</x:v>
      </x:c>
      <x:c r="I329" s="51" t="str"/>
      <x:c r="J329" s="72" t="str"/>
      <x:c r="K329" s="72" t="str"/>
      <x:c r="L329" s="72" t="str"/>
      <x:c r="M329" s="72" t="str"/>
      <x:c r="N329" s="72" t="str"/>
      <x:c r="O329" s="72" t="str"/>
      <x:c r="P329" s="72" t="str">
        <x:v>Available</x:v>
      </x:c>
      <x:c r="Q329" s="72" t="n">
        <x:v>0</x:v>
      </x:c>
      <x:c r="R329" s="55" t="str">
        <x:f>IF($D329="","",ROUND(MAX(0,MIN(100,0.35*$J329+0.2*$K329+0.15*$L329+0.15*$M329+0.1*$N329+0.05*$O329-IF(OR($P329="Out",$P329="Suspended"),$Q329,IF($P329="Doubtful",$Q329*0.5,IF($P329="Limited",$Q329*0.25,0))))),2))</x:f>
      </x:c>
      <x:c r="S329" s="55" t="n">
        <x:f>IF($D329="",0,ROUND(IF(OR($P329="Out",$P329="Suspended"),$Q329*$H329,IF($P329="Doubtful",$Q329*$H329*0.5,IF($P329="Limited",$Q329*$H329*0.25,0))),2))</x:f>
        <x:v>0</x:v>
      </x:c>
      <x:c r="T329" s="55" t="str"/>
      <x:c r="U329" s="51" t="str"/>
    </x:row>
    <x:row r="330">
      <x:c r="A330" s="51" t="str">
        <x:v>Australia</x:v>
      </x:c>
      <x:c r="B330" s="51" t="str">
        <x:v>D</x:v>
      </x:c>
      <x:c r="C330" s="51" t="n">
        <x:v>14</x:v>
      </x:c>
      <x:c r="D330" s="71" t="str"/>
      <x:c r="E330" s="51" t="str">
        <x:v>CM</x:v>
      </x:c>
      <x:c r="F330" s="51" t="str">
        <x:v>Midfield</x:v>
      </x:c>
      <x:c r="G330" s="51" t="str">
        <x:v>Rotation</x:v>
      </x:c>
      <x:c r="H330" s="55" t="n">
        <x:v>0.35</x:v>
      </x:c>
      <x:c r="I330" s="51" t="str"/>
      <x:c r="J330" s="72" t="str"/>
      <x:c r="K330" s="72" t="str"/>
      <x:c r="L330" s="72" t="str"/>
      <x:c r="M330" s="72" t="str"/>
      <x:c r="N330" s="72" t="str"/>
      <x:c r="O330" s="72" t="str"/>
      <x:c r="P330" s="72" t="str">
        <x:v>Available</x:v>
      </x:c>
      <x:c r="Q330" s="72" t="n">
        <x:v>0</x:v>
      </x:c>
      <x:c r="R330" s="55" t="str">
        <x:f>IF($D330="","",ROUND(MAX(0,MIN(100,0.35*$J330+0.2*$K330+0.15*$L330+0.15*$M330+0.1*$N330+0.05*$O330-IF(OR($P330="Out",$P330="Suspended"),$Q330,IF($P330="Doubtful",$Q330*0.5,IF($P330="Limited",$Q330*0.25,0))))),2))</x:f>
      </x:c>
      <x:c r="S330" s="55" t="n">
        <x:f>IF($D330="",0,ROUND(IF(OR($P330="Out",$P330="Suspended"),$Q330*$H330,IF($P330="Doubtful",$Q330*$H330*0.5,IF($P330="Limited",$Q330*$H330*0.25,0))),2))</x:f>
        <x:v>0</x:v>
      </x:c>
      <x:c r="T330" s="55" t="str"/>
      <x:c r="U330" s="51" t="str"/>
    </x:row>
    <x:row r="331">
      <x:c r="A331" s="51" t="str">
        <x:v>Australia</x:v>
      </x:c>
      <x:c r="B331" s="51" t="str">
        <x:v>D</x:v>
      </x:c>
      <x:c r="C331" s="51" t="n">
        <x:v>15</x:v>
      </x:c>
      <x:c r="D331" s="71" t="str"/>
      <x:c r="E331" s="51" t="str">
        <x:v>CM</x:v>
      </x:c>
      <x:c r="F331" s="51" t="str">
        <x:v>Midfield</x:v>
      </x:c>
      <x:c r="G331" s="51" t="str">
        <x:v>Rotation</x:v>
      </x:c>
      <x:c r="H331" s="55" t="n">
        <x:v>0.35</x:v>
      </x:c>
      <x:c r="I331" s="51" t="str"/>
      <x:c r="J331" s="72" t="str"/>
      <x:c r="K331" s="72" t="str"/>
      <x:c r="L331" s="72" t="str"/>
      <x:c r="M331" s="72" t="str"/>
      <x:c r="N331" s="72" t="str"/>
      <x:c r="O331" s="72" t="str"/>
      <x:c r="P331" s="72" t="str">
        <x:v>Available</x:v>
      </x:c>
      <x:c r="Q331" s="72" t="n">
        <x:v>0</x:v>
      </x:c>
      <x:c r="R331" s="55" t="str">
        <x:f>IF($D331="","",ROUND(MAX(0,MIN(100,0.35*$J331+0.2*$K331+0.15*$L331+0.15*$M331+0.1*$N331+0.05*$O331-IF(OR($P331="Out",$P331="Suspended"),$Q331,IF($P331="Doubtful",$Q331*0.5,IF($P331="Limited",$Q331*0.25,0))))),2))</x:f>
      </x:c>
      <x:c r="S331" s="55" t="n">
        <x:f>IF($D331="",0,ROUND(IF(OR($P331="Out",$P331="Suspended"),$Q331*$H331,IF($P331="Doubtful",$Q331*$H331*0.5,IF($P331="Limited",$Q331*$H331*0.25,0))),2))</x:f>
        <x:v>0</x:v>
      </x:c>
      <x:c r="T331" s="55" t="str"/>
      <x:c r="U331" s="51" t="str"/>
    </x:row>
    <x:row r="332">
      <x:c r="A332" s="51" t="str">
        <x:v>Australia</x:v>
      </x:c>
      <x:c r="B332" s="51" t="str">
        <x:v>D</x:v>
      </x:c>
      <x:c r="C332" s="51" t="n">
        <x:v>16</x:v>
      </x:c>
      <x:c r="D332" s="71" t="str"/>
      <x:c r="E332" s="51" t="str">
        <x:v>AM</x:v>
      </x:c>
      <x:c r="F332" s="51" t="str">
        <x:v>Attack</x:v>
      </x:c>
      <x:c r="G332" s="51" t="str">
        <x:v>Rotation</x:v>
      </x:c>
      <x:c r="H332" s="55" t="n">
        <x:v>0.35</x:v>
      </x:c>
      <x:c r="I332" s="51" t="str"/>
      <x:c r="J332" s="72" t="str"/>
      <x:c r="K332" s="72" t="str"/>
      <x:c r="L332" s="72" t="str"/>
      <x:c r="M332" s="72" t="str"/>
      <x:c r="N332" s="72" t="str"/>
      <x:c r="O332" s="72" t="str"/>
      <x:c r="P332" s="72" t="str">
        <x:v>Available</x:v>
      </x:c>
      <x:c r="Q332" s="72" t="n">
        <x:v>0</x:v>
      </x:c>
      <x:c r="R332" s="55" t="str">
        <x:f>IF($D332="","",ROUND(MAX(0,MIN(100,0.35*$J332+0.2*$K332+0.15*$L332+0.15*$M332+0.1*$N332+0.05*$O332-IF(OR($P332="Out",$P332="Suspended"),$Q332,IF($P332="Doubtful",$Q332*0.5,IF($P332="Limited",$Q332*0.25,0))))),2))</x:f>
      </x:c>
      <x:c r="S332" s="55" t="n">
        <x:f>IF($D332="",0,ROUND(IF(OR($P332="Out",$P332="Suspended"),$Q332*$H332,IF($P332="Doubtful",$Q332*$H332*0.5,IF($P332="Limited",$Q332*$H332*0.25,0))),2))</x:f>
        <x:v>0</x:v>
      </x:c>
      <x:c r="T332" s="55" t="str"/>
      <x:c r="U332" s="51" t="str"/>
    </x:row>
    <x:row r="333">
      <x:c r="A333" s="51" t="str">
        <x:v>Australia</x:v>
      </x:c>
      <x:c r="B333" s="51" t="str">
        <x:v>D</x:v>
      </x:c>
      <x:c r="C333" s="51" t="n">
        <x:v>17</x:v>
      </x:c>
      <x:c r="D333" s="71" t="str"/>
      <x:c r="E333" s="51" t="str">
        <x:v>AM</x:v>
      </x:c>
      <x:c r="F333" s="51" t="str">
        <x:v>Attack</x:v>
      </x:c>
      <x:c r="G333" s="51" t="str">
        <x:v>Rotation</x:v>
      </x:c>
      <x:c r="H333" s="55" t="n">
        <x:v>0.35</x:v>
      </x:c>
      <x:c r="I333" s="51" t="str"/>
      <x:c r="J333" s="72" t="str"/>
      <x:c r="K333" s="72" t="str"/>
      <x:c r="L333" s="72" t="str"/>
      <x:c r="M333" s="72" t="str"/>
      <x:c r="N333" s="72" t="str"/>
      <x:c r="O333" s="72" t="str"/>
      <x:c r="P333" s="72" t="str">
        <x:v>Available</x:v>
      </x:c>
      <x:c r="Q333" s="72" t="n">
        <x:v>0</x:v>
      </x:c>
      <x:c r="R333" s="55" t="str">
        <x:f>IF($D333="","",ROUND(MAX(0,MIN(100,0.35*$J333+0.2*$K333+0.15*$L333+0.15*$M333+0.1*$N333+0.05*$O333-IF(OR($P333="Out",$P333="Suspended"),$Q333,IF($P333="Doubtful",$Q333*0.5,IF($P333="Limited",$Q333*0.25,0))))),2))</x:f>
      </x:c>
      <x:c r="S333" s="55" t="n">
        <x:f>IF($D333="",0,ROUND(IF(OR($P333="Out",$P333="Suspended"),$Q333*$H333,IF($P333="Doubtful",$Q333*$H333*0.5,IF($P333="Limited",$Q333*$H333*0.25,0))),2))</x:f>
        <x:v>0</x:v>
      </x:c>
      <x:c r="T333" s="55" t="str"/>
      <x:c r="U333" s="51" t="str"/>
    </x:row>
    <x:row r="334">
      <x:c r="A334" s="51" t="str">
        <x:v>Australia</x:v>
      </x:c>
      <x:c r="B334" s="51" t="str">
        <x:v>D</x:v>
      </x:c>
      <x:c r="C334" s="51" t="n">
        <x:v>18</x:v>
      </x:c>
      <x:c r="D334" s="71" t="str"/>
      <x:c r="E334" s="51" t="str">
        <x:v>AM</x:v>
      </x:c>
      <x:c r="F334" s="51" t="str">
        <x:v>Attack</x:v>
      </x:c>
      <x:c r="G334" s="51" t="str">
        <x:v>Rotation</x:v>
      </x:c>
      <x:c r="H334" s="55" t="n">
        <x:v>0.35</x:v>
      </x:c>
      <x:c r="I334" s="51" t="str"/>
      <x:c r="J334" s="72" t="str"/>
      <x:c r="K334" s="72" t="str"/>
      <x:c r="L334" s="72" t="str"/>
      <x:c r="M334" s="72" t="str"/>
      <x:c r="N334" s="72" t="str"/>
      <x:c r="O334" s="72" t="str"/>
      <x:c r="P334" s="72" t="str">
        <x:v>Available</x:v>
      </x:c>
      <x:c r="Q334" s="72" t="n">
        <x:v>0</x:v>
      </x:c>
      <x:c r="R334" s="55" t="str">
        <x:f>IF($D334="","",ROUND(MAX(0,MIN(100,0.35*$J334+0.2*$K334+0.15*$L334+0.15*$M334+0.1*$N334+0.05*$O334-IF(OR($P334="Out",$P334="Suspended"),$Q334,IF($P334="Doubtful",$Q334*0.5,IF($P334="Limited",$Q334*0.25,0))))),2))</x:f>
      </x:c>
      <x:c r="S334" s="55" t="n">
        <x:f>IF($D334="",0,ROUND(IF(OR($P334="Out",$P334="Suspended"),$Q334*$H334,IF($P334="Doubtful",$Q334*$H334*0.5,IF($P334="Limited",$Q334*$H334*0.25,0))),2))</x:f>
        <x:v>0</x:v>
      </x:c>
      <x:c r="T334" s="55" t="str"/>
      <x:c r="U334" s="51" t="str"/>
    </x:row>
    <x:row r="335">
      <x:c r="A335" s="51" t="str">
        <x:v>Australia</x:v>
      </x:c>
      <x:c r="B335" s="51" t="str">
        <x:v>D</x:v>
      </x:c>
      <x:c r="C335" s="51" t="n">
        <x:v>19</x:v>
      </x:c>
      <x:c r="D335" s="71" t="str"/>
      <x:c r="E335" s="51" t="str">
        <x:v>AM</x:v>
      </x:c>
      <x:c r="F335" s="51" t="str">
        <x:v>Attack</x:v>
      </x:c>
      <x:c r="G335" s="51" t="str">
        <x:v>Rotation</x:v>
      </x:c>
      <x:c r="H335" s="55" t="n">
        <x:v>0.35</x:v>
      </x:c>
      <x:c r="I335" s="51" t="str"/>
      <x:c r="J335" s="72" t="str"/>
      <x:c r="K335" s="72" t="str"/>
      <x:c r="L335" s="72" t="str"/>
      <x:c r="M335" s="72" t="str"/>
      <x:c r="N335" s="72" t="str"/>
      <x:c r="O335" s="72" t="str"/>
      <x:c r="P335" s="72" t="str">
        <x:v>Available</x:v>
      </x:c>
      <x:c r="Q335" s="72" t="n">
        <x:v>0</x:v>
      </x:c>
      <x:c r="R335" s="55" t="str">
        <x:f>IF($D335="","",ROUND(MAX(0,MIN(100,0.35*$J335+0.2*$K335+0.15*$L335+0.15*$M335+0.1*$N335+0.05*$O335-IF(OR($P335="Out",$P335="Suspended"),$Q335,IF($P335="Doubtful",$Q335*0.5,IF($P335="Limited",$Q335*0.25,0))))),2))</x:f>
      </x:c>
      <x:c r="S335" s="55" t="n">
        <x:f>IF($D335="",0,ROUND(IF(OR($P335="Out",$P335="Suspended"),$Q335*$H335,IF($P335="Doubtful",$Q335*$H335*0.5,IF($P335="Limited",$Q335*$H335*0.25,0))),2))</x:f>
        <x:v>0</x:v>
      </x:c>
      <x:c r="T335" s="55" t="str"/>
      <x:c r="U335" s="51" t="str"/>
    </x:row>
    <x:row r="336">
      <x:c r="A336" s="51" t="str">
        <x:v>Australia</x:v>
      </x:c>
      <x:c r="B336" s="51" t="str">
        <x:v>D</x:v>
      </x:c>
      <x:c r="C336" s="51" t="n">
        <x:v>20</x:v>
      </x:c>
      <x:c r="D336" s="71" t="str"/>
      <x:c r="E336" s="51" t="str">
        <x:v>Winger</x:v>
      </x:c>
      <x:c r="F336" s="51" t="str">
        <x:v>Attack</x:v>
      </x:c>
      <x:c r="G336" s="51" t="str">
        <x:v>Rotation</x:v>
      </x:c>
      <x:c r="H336" s="55" t="n">
        <x:v>0.35</x:v>
      </x:c>
      <x:c r="I336" s="51" t="str"/>
      <x:c r="J336" s="72" t="str"/>
      <x:c r="K336" s="72" t="str"/>
      <x:c r="L336" s="72" t="str"/>
      <x:c r="M336" s="72" t="str"/>
      <x:c r="N336" s="72" t="str"/>
      <x:c r="O336" s="72" t="str"/>
      <x:c r="P336" s="72" t="str">
        <x:v>Available</x:v>
      </x:c>
      <x:c r="Q336" s="72" t="n">
        <x:v>0</x:v>
      </x:c>
      <x:c r="R336" s="55" t="str">
        <x:f>IF($D336="","",ROUND(MAX(0,MIN(100,0.35*$J336+0.2*$K336+0.15*$L336+0.15*$M336+0.1*$N336+0.05*$O336-IF(OR($P336="Out",$P336="Suspended"),$Q336,IF($P336="Doubtful",$Q336*0.5,IF($P336="Limited",$Q336*0.25,0))))),2))</x:f>
      </x:c>
      <x:c r="S336" s="55" t="n">
        <x:f>IF($D336="",0,ROUND(IF(OR($P336="Out",$P336="Suspended"),$Q336*$H336,IF($P336="Doubtful",$Q336*$H336*0.5,IF($P336="Limited",$Q336*$H336*0.25,0))),2))</x:f>
        <x:v>0</x:v>
      </x:c>
      <x:c r="T336" s="55" t="str"/>
      <x:c r="U336" s="51" t="str"/>
    </x:row>
    <x:row r="337">
      <x:c r="A337" s="51" t="str">
        <x:v>Australia</x:v>
      </x:c>
      <x:c r="B337" s="51" t="str">
        <x:v>D</x:v>
      </x:c>
      <x:c r="C337" s="51" t="n">
        <x:v>21</x:v>
      </x:c>
      <x:c r="D337" s="71" t="str"/>
      <x:c r="E337" s="51" t="str">
        <x:v>Winger</x:v>
      </x:c>
      <x:c r="F337" s="51" t="str">
        <x:v>Attack</x:v>
      </x:c>
      <x:c r="G337" s="51" t="str">
        <x:v>Depth</x:v>
      </x:c>
      <x:c r="H337" s="55" t="n">
        <x:v>0.1</x:v>
      </x:c>
      <x:c r="I337" s="51" t="str"/>
      <x:c r="J337" s="72" t="str"/>
      <x:c r="K337" s="72" t="str"/>
      <x:c r="L337" s="72" t="str"/>
      <x:c r="M337" s="72" t="str"/>
      <x:c r="N337" s="72" t="str"/>
      <x:c r="O337" s="72" t="str"/>
      <x:c r="P337" s="72" t="str">
        <x:v>Available</x:v>
      </x:c>
      <x:c r="Q337" s="72" t="n">
        <x:v>0</x:v>
      </x:c>
      <x:c r="R337" s="55" t="str">
        <x:f>IF($D337="","",ROUND(MAX(0,MIN(100,0.35*$J337+0.2*$K337+0.15*$L337+0.15*$M337+0.1*$N337+0.05*$O337-IF(OR($P337="Out",$P337="Suspended"),$Q337,IF($P337="Doubtful",$Q337*0.5,IF($P337="Limited",$Q337*0.25,0))))),2))</x:f>
      </x:c>
      <x:c r="S337" s="55" t="n">
        <x:f>IF($D337="",0,ROUND(IF(OR($P337="Out",$P337="Suspended"),$Q337*$H337,IF($P337="Doubtful",$Q337*$H337*0.5,IF($P337="Limited",$Q337*$H337*0.25,0))),2))</x:f>
        <x:v>0</x:v>
      </x:c>
      <x:c r="T337" s="55" t="str"/>
      <x:c r="U337" s="51" t="str"/>
    </x:row>
    <x:row r="338">
      <x:c r="A338" s="51" t="str">
        <x:v>Australia</x:v>
      </x:c>
      <x:c r="B338" s="51" t="str">
        <x:v>D</x:v>
      </x:c>
      <x:c r="C338" s="51" t="n">
        <x:v>22</x:v>
      </x:c>
      <x:c r="D338" s="71" t="str"/>
      <x:c r="E338" s="51" t="str">
        <x:v>Winger</x:v>
      </x:c>
      <x:c r="F338" s="51" t="str">
        <x:v>Attack</x:v>
      </x:c>
      <x:c r="G338" s="51" t="str">
        <x:v>Depth</x:v>
      </x:c>
      <x:c r="H338" s="55" t="n">
        <x:v>0.1</x:v>
      </x:c>
      <x:c r="I338" s="51" t="str"/>
      <x:c r="J338" s="72" t="str"/>
      <x:c r="K338" s="72" t="str"/>
      <x:c r="L338" s="72" t="str"/>
      <x:c r="M338" s="72" t="str"/>
      <x:c r="N338" s="72" t="str"/>
      <x:c r="O338" s="72" t="str"/>
      <x:c r="P338" s="72" t="str">
        <x:v>Available</x:v>
      </x:c>
      <x:c r="Q338" s="72" t="n">
        <x:v>0</x:v>
      </x:c>
      <x:c r="R338" s="55" t="str">
        <x:f>IF($D338="","",ROUND(MAX(0,MIN(100,0.35*$J338+0.2*$K338+0.15*$L338+0.15*$M338+0.1*$N338+0.05*$O338-IF(OR($P338="Out",$P338="Suspended"),$Q338,IF($P338="Doubtful",$Q338*0.5,IF($P338="Limited",$Q338*0.25,0))))),2))</x:f>
      </x:c>
      <x:c r="S338" s="55" t="n">
        <x:f>IF($D338="",0,ROUND(IF(OR($P338="Out",$P338="Suspended"),$Q338*$H338,IF($P338="Doubtful",$Q338*$H338*0.5,IF($P338="Limited",$Q338*$H338*0.25,0))),2))</x:f>
        <x:v>0</x:v>
      </x:c>
      <x:c r="T338" s="55" t="str"/>
      <x:c r="U338" s="51" t="str"/>
    </x:row>
    <x:row r="339">
      <x:c r="A339" s="51" t="str">
        <x:v>Australia</x:v>
      </x:c>
      <x:c r="B339" s="51" t="str">
        <x:v>D</x:v>
      </x:c>
      <x:c r="C339" s="51" t="n">
        <x:v>23</x:v>
      </x:c>
      <x:c r="D339" s="71" t="str"/>
      <x:c r="E339" s="51" t="str">
        <x:v>Winger</x:v>
      </x:c>
      <x:c r="F339" s="51" t="str">
        <x:v>Attack</x:v>
      </x:c>
      <x:c r="G339" s="51" t="str">
        <x:v>Depth</x:v>
      </x:c>
      <x:c r="H339" s="55" t="n">
        <x:v>0.1</x:v>
      </x:c>
      <x:c r="I339" s="51" t="str"/>
      <x:c r="J339" s="72" t="str"/>
      <x:c r="K339" s="72" t="str"/>
      <x:c r="L339" s="72" t="str"/>
      <x:c r="M339" s="72" t="str"/>
      <x:c r="N339" s="72" t="str"/>
      <x:c r="O339" s="72" t="str"/>
      <x:c r="P339" s="72" t="str">
        <x:v>Available</x:v>
      </x:c>
      <x:c r="Q339" s="72" t="n">
        <x:v>0</x:v>
      </x:c>
      <x:c r="R339" s="55" t="str">
        <x:f>IF($D339="","",ROUND(MAX(0,MIN(100,0.35*$J339+0.2*$K339+0.15*$L339+0.15*$M339+0.1*$N339+0.05*$O339-IF(OR($P339="Out",$P339="Suspended"),$Q339,IF($P339="Doubtful",$Q339*0.5,IF($P339="Limited",$Q339*0.25,0))))),2))</x:f>
      </x:c>
      <x:c r="S339" s="55" t="n">
        <x:f>IF($D339="",0,ROUND(IF(OR($P339="Out",$P339="Suspended"),$Q339*$H339,IF($P339="Doubtful",$Q339*$H339*0.5,IF($P339="Limited",$Q339*$H339*0.25,0))),2))</x:f>
        <x:v>0</x:v>
      </x:c>
      <x:c r="T339" s="55" t="str"/>
      <x:c r="U339" s="51" t="str"/>
    </x:row>
    <x:row r="340">
      <x:c r="A340" s="51" t="str">
        <x:v>Australia</x:v>
      </x:c>
      <x:c r="B340" s="51" t="str">
        <x:v>D</x:v>
      </x:c>
      <x:c r="C340" s="51" t="n">
        <x:v>24</x:v>
      </x:c>
      <x:c r="D340" s="71" t="str"/>
      <x:c r="E340" s="51" t="str">
        <x:v>ST</x:v>
      </x:c>
      <x:c r="F340" s="51" t="str">
        <x:v>Attack</x:v>
      </x:c>
      <x:c r="G340" s="51" t="str">
        <x:v>Depth</x:v>
      </x:c>
      <x:c r="H340" s="55" t="n">
        <x:v>0.1</x:v>
      </x:c>
      <x:c r="I340" s="51" t="str"/>
      <x:c r="J340" s="72" t="str"/>
      <x:c r="K340" s="72" t="str"/>
      <x:c r="L340" s="72" t="str"/>
      <x:c r="M340" s="72" t="str"/>
      <x:c r="N340" s="72" t="str"/>
      <x:c r="O340" s="72" t="str"/>
      <x:c r="P340" s="72" t="str">
        <x:v>Available</x:v>
      </x:c>
      <x:c r="Q340" s="72" t="n">
        <x:v>0</x:v>
      </x:c>
      <x:c r="R340" s="55" t="str">
        <x:f>IF($D340="","",ROUND(MAX(0,MIN(100,0.35*$J340+0.2*$K340+0.15*$L340+0.15*$M340+0.1*$N340+0.05*$O340-IF(OR($P340="Out",$P340="Suspended"),$Q340,IF($P340="Doubtful",$Q340*0.5,IF($P340="Limited",$Q340*0.25,0))))),2))</x:f>
      </x:c>
      <x:c r="S340" s="55" t="n">
        <x:f>IF($D340="",0,ROUND(IF(OR($P340="Out",$P340="Suspended"),$Q340*$H340,IF($P340="Doubtful",$Q340*$H340*0.5,IF($P340="Limited",$Q340*$H340*0.25,0))),2))</x:f>
        <x:v>0</x:v>
      </x:c>
      <x:c r="T340" s="55" t="str"/>
      <x:c r="U340" s="51" t="str"/>
    </x:row>
    <x:row r="341">
      <x:c r="A341" s="51" t="str">
        <x:v>Australia</x:v>
      </x:c>
      <x:c r="B341" s="51" t="str">
        <x:v>D</x:v>
      </x:c>
      <x:c r="C341" s="51" t="n">
        <x:v>25</x:v>
      </x:c>
      <x:c r="D341" s="71" t="str"/>
      <x:c r="E341" s="51" t="str">
        <x:v>ST</x:v>
      </x:c>
      <x:c r="F341" s="51" t="str">
        <x:v>Attack</x:v>
      </x:c>
      <x:c r="G341" s="51" t="str">
        <x:v>Depth</x:v>
      </x:c>
      <x:c r="H341" s="55" t="n">
        <x:v>0.1</x:v>
      </x:c>
      <x:c r="I341" s="51" t="str"/>
      <x:c r="J341" s="72" t="str"/>
      <x:c r="K341" s="72" t="str"/>
      <x:c r="L341" s="72" t="str"/>
      <x:c r="M341" s="72" t="str"/>
      <x:c r="N341" s="72" t="str"/>
      <x:c r="O341" s="72" t="str"/>
      <x:c r="P341" s="72" t="str">
        <x:v>Available</x:v>
      </x:c>
      <x:c r="Q341" s="72" t="n">
        <x:v>0</x:v>
      </x:c>
      <x:c r="R341" s="55" t="str">
        <x:f>IF($D341="","",ROUND(MAX(0,MIN(100,0.35*$J341+0.2*$K341+0.15*$L341+0.15*$M341+0.1*$N341+0.05*$O341-IF(OR($P341="Out",$P341="Suspended"),$Q341,IF($P341="Doubtful",$Q341*0.5,IF($P341="Limited",$Q341*0.25,0))))),2))</x:f>
      </x:c>
      <x:c r="S341" s="55" t="n">
        <x:f>IF($D341="",0,ROUND(IF(OR($P341="Out",$P341="Suspended"),$Q341*$H341,IF($P341="Doubtful",$Q341*$H341*0.5,IF($P341="Limited",$Q341*$H341*0.25,0))),2))</x:f>
        <x:v>0</x:v>
      </x:c>
      <x:c r="T341" s="55" t="str"/>
      <x:c r="U341" s="51" t="str"/>
    </x:row>
    <x:row r="342">
      <x:c r="A342" s="51" t="str">
        <x:v>Australia</x:v>
      </x:c>
      <x:c r="B342" s="51" t="str">
        <x:v>D</x:v>
      </x:c>
      <x:c r="C342" s="51" t="n">
        <x:v>26</x:v>
      </x:c>
      <x:c r="D342" s="71" t="str"/>
      <x:c r="E342" s="51" t="str">
        <x:v>ST</x:v>
      </x:c>
      <x:c r="F342" s="51" t="str">
        <x:v>Attack</x:v>
      </x:c>
      <x:c r="G342" s="51" t="str">
        <x:v>Depth</x:v>
      </x:c>
      <x:c r="H342" s="55" t="n">
        <x:v>0.1</x:v>
      </x:c>
      <x:c r="I342" s="51" t="str"/>
      <x:c r="J342" s="72" t="str"/>
      <x:c r="K342" s="72" t="str"/>
      <x:c r="L342" s="72" t="str"/>
      <x:c r="M342" s="72" t="str"/>
      <x:c r="N342" s="72" t="str"/>
      <x:c r="O342" s="72" t="str"/>
      <x:c r="P342" s="72" t="str">
        <x:v>Available</x:v>
      </x:c>
      <x:c r="Q342" s="72" t="n">
        <x:v>0</x:v>
      </x:c>
      <x:c r="R342" s="55" t="str">
        <x:f>IF($D342="","",ROUND(MAX(0,MIN(100,0.35*$J342+0.2*$K342+0.15*$L342+0.15*$M342+0.1*$N342+0.05*$O342-IF(OR($P342="Out",$P342="Suspended"),$Q342,IF($P342="Doubtful",$Q342*0.5,IF($P342="Limited",$Q342*0.25,0))))),2))</x:f>
      </x:c>
      <x:c r="S342" s="55" t="n">
        <x:f>IF($D342="",0,ROUND(IF(OR($P342="Out",$P342="Suspended"),$Q342*$H342,IF($P342="Doubtful",$Q342*$H342*0.5,IF($P342="Limited",$Q342*$H342*0.25,0))),2))</x:f>
        <x:v>0</x:v>
      </x:c>
      <x:c r="T342" s="55" t="str"/>
      <x:c r="U342" s="51" t="str"/>
    </x:row>
    <x:row r="343">
      <x:c r="A343" s="51" t="str">
        <x:v>Paraguay</x:v>
      </x:c>
      <x:c r="B343" s="51" t="str">
        <x:v>D</x:v>
      </x:c>
      <x:c r="C343" s="51" t="n">
        <x:v>1</x:v>
      </x:c>
      <x:c r="D343" s="71" t="str"/>
      <x:c r="E343" s="51" t="str">
        <x:v>GK</x:v>
      </x:c>
      <x:c r="F343" s="51" t="str">
        <x:v>GK</x:v>
      </x:c>
      <x:c r="G343" s="51" t="str">
        <x:v>Starter</x:v>
      </x:c>
      <x:c r="H343" s="55" t="n">
        <x:v>1</x:v>
      </x:c>
      <x:c r="I343" s="51" t="str"/>
      <x:c r="J343" s="72" t="str"/>
      <x:c r="K343" s="72" t="str"/>
      <x:c r="L343" s="72" t="str"/>
      <x:c r="M343" s="72" t="str"/>
      <x:c r="N343" s="72" t="str"/>
      <x:c r="O343" s="72" t="str"/>
      <x:c r="P343" s="72" t="str">
        <x:v>Available</x:v>
      </x:c>
      <x:c r="Q343" s="72" t="n">
        <x:v>0</x:v>
      </x:c>
      <x:c r="R343" s="55" t="str">
        <x:f>IF($D343="","",ROUND(MAX(0,MIN(100,0.35*$J343+0.2*$K343+0.15*$L343+0.15*$M343+0.1*$N343+0.05*$O343-IF(OR($P343="Out",$P343="Suspended"),$Q343,IF($P343="Doubtful",$Q343*0.5,IF($P343="Limited",$Q343*0.25,0))))),2))</x:f>
      </x:c>
      <x:c r="S343" s="55" t="n">
        <x:f>IF($D343="",0,ROUND(IF(OR($P343="Out",$P343="Suspended"),$Q343*$H343,IF($P343="Doubtful",$Q343*$H343*0.5,IF($P343="Limited",$Q343*$H343*0.25,0))),2))</x:f>
        <x:v>0</x:v>
      </x:c>
      <x:c r="T343" s="55" t="str"/>
      <x:c r="U343" s="51" t="str"/>
    </x:row>
    <x:row r="344">
      <x:c r="A344" s="51" t="str">
        <x:v>Paraguay</x:v>
      </x:c>
      <x:c r="B344" s="51" t="str">
        <x:v>D</x:v>
      </x:c>
      <x:c r="C344" s="51" t="n">
        <x:v>2</x:v>
      </x:c>
      <x:c r="D344" s="71" t="str"/>
      <x:c r="E344" s="51" t="str">
        <x:v>GK</x:v>
      </x:c>
      <x:c r="F344" s="51" t="str">
        <x:v>GK</x:v>
      </x:c>
      <x:c r="G344" s="51" t="str">
        <x:v>Starter</x:v>
      </x:c>
      <x:c r="H344" s="55" t="n">
        <x:v>1</x:v>
      </x:c>
      <x:c r="I344" s="51" t="str"/>
      <x:c r="J344" s="72" t="str"/>
      <x:c r="K344" s="72" t="str"/>
      <x:c r="L344" s="72" t="str"/>
      <x:c r="M344" s="72" t="str"/>
      <x:c r="N344" s="72" t="str"/>
      <x:c r="O344" s="72" t="str"/>
      <x:c r="P344" s="72" t="str">
        <x:v>Available</x:v>
      </x:c>
      <x:c r="Q344" s="72" t="n">
        <x:v>0</x:v>
      </x:c>
      <x:c r="R344" s="55" t="str">
        <x:f>IF($D344="","",ROUND(MAX(0,MIN(100,0.35*$J344+0.2*$K344+0.15*$L344+0.15*$M344+0.1*$N344+0.05*$O344-IF(OR($P344="Out",$P344="Suspended"),$Q344,IF($P344="Doubtful",$Q344*0.5,IF($P344="Limited",$Q344*0.25,0))))),2))</x:f>
      </x:c>
      <x:c r="S344" s="55" t="n">
        <x:f>IF($D344="",0,ROUND(IF(OR($P344="Out",$P344="Suspended"),$Q344*$H344,IF($P344="Doubtful",$Q344*$H344*0.5,IF($P344="Limited",$Q344*$H344*0.25,0))),2))</x:f>
        <x:v>0</x:v>
      </x:c>
      <x:c r="T344" s="55" t="str"/>
      <x:c r="U344" s="51" t="str"/>
    </x:row>
    <x:row r="345">
      <x:c r="A345" s="51" t="str">
        <x:v>Paraguay</x:v>
      </x:c>
      <x:c r="B345" s="51" t="str">
        <x:v>D</x:v>
      </x:c>
      <x:c r="C345" s="51" t="n">
        <x:v>3</x:v>
      </x:c>
      <x:c r="D345" s="71" t="str"/>
      <x:c r="E345" s="51" t="str">
        <x:v>GK</x:v>
      </x:c>
      <x:c r="F345" s="51" t="str">
        <x:v>GK</x:v>
      </x:c>
      <x:c r="G345" s="51" t="str">
        <x:v>Starter</x:v>
      </x:c>
      <x:c r="H345" s="55" t="n">
        <x:v>1</x:v>
      </x:c>
      <x:c r="I345" s="51" t="str"/>
      <x:c r="J345" s="72" t="str"/>
      <x:c r="K345" s="72" t="str"/>
      <x:c r="L345" s="72" t="str"/>
      <x:c r="M345" s="72" t="str"/>
      <x:c r="N345" s="72" t="str"/>
      <x:c r="O345" s="72" t="str"/>
      <x:c r="P345" s="72" t="str">
        <x:v>Available</x:v>
      </x:c>
      <x:c r="Q345" s="72" t="n">
        <x:v>0</x:v>
      </x:c>
      <x:c r="R345" s="55" t="str">
        <x:f>IF($D345="","",ROUND(MAX(0,MIN(100,0.35*$J345+0.2*$K345+0.15*$L345+0.15*$M345+0.1*$N345+0.05*$O345-IF(OR($P345="Out",$P345="Suspended"),$Q345,IF($P345="Doubtful",$Q345*0.5,IF($P345="Limited",$Q345*0.25,0))))),2))</x:f>
      </x:c>
      <x:c r="S345" s="55" t="n">
        <x:f>IF($D345="",0,ROUND(IF(OR($P345="Out",$P345="Suspended"),$Q345*$H345,IF($P345="Doubtful",$Q345*$H345*0.5,IF($P345="Limited",$Q345*$H345*0.25,0))),2))</x:f>
        <x:v>0</x:v>
      </x:c>
      <x:c r="T345" s="55" t="str"/>
      <x:c r="U345" s="51" t="str"/>
    </x:row>
    <x:row r="346">
      <x:c r="A346" s="51" t="str">
        <x:v>Paraguay</x:v>
      </x:c>
      <x:c r="B346" s="51" t="str">
        <x:v>D</x:v>
      </x:c>
      <x:c r="C346" s="51" t="n">
        <x:v>4</x:v>
      </x:c>
      <x:c r="D346" s="71" t="str"/>
      <x:c r="E346" s="51" t="str">
        <x:v>CB</x:v>
      </x:c>
      <x:c r="F346" s="51" t="str">
        <x:v>Defence</x:v>
      </x:c>
      <x:c r="G346" s="51" t="str">
        <x:v>Starter</x:v>
      </x:c>
      <x:c r="H346" s="55" t="n">
        <x:v>1</x:v>
      </x:c>
      <x:c r="I346" s="51" t="str"/>
      <x:c r="J346" s="72" t="str"/>
      <x:c r="K346" s="72" t="str"/>
      <x:c r="L346" s="72" t="str"/>
      <x:c r="M346" s="72" t="str"/>
      <x:c r="N346" s="72" t="str"/>
      <x:c r="O346" s="72" t="str"/>
      <x:c r="P346" s="72" t="str">
        <x:v>Available</x:v>
      </x:c>
      <x:c r="Q346" s="72" t="n">
        <x:v>0</x:v>
      </x:c>
      <x:c r="R346" s="55" t="str">
        <x:f>IF($D346="","",ROUND(MAX(0,MIN(100,0.35*$J346+0.2*$K346+0.15*$L346+0.15*$M346+0.1*$N346+0.05*$O346-IF(OR($P346="Out",$P346="Suspended"),$Q346,IF($P346="Doubtful",$Q346*0.5,IF($P346="Limited",$Q346*0.25,0))))),2))</x:f>
      </x:c>
      <x:c r="S346" s="55" t="n">
        <x:f>IF($D346="",0,ROUND(IF(OR($P346="Out",$P346="Suspended"),$Q346*$H346,IF($P346="Doubtful",$Q346*$H346*0.5,IF($P346="Limited",$Q346*$H346*0.25,0))),2))</x:f>
        <x:v>0</x:v>
      </x:c>
      <x:c r="T346" s="55" t="str"/>
      <x:c r="U346" s="51" t="str"/>
    </x:row>
    <x:row r="347">
      <x:c r="A347" s="51" t="str">
        <x:v>Paraguay</x:v>
      </x:c>
      <x:c r="B347" s="51" t="str">
        <x:v>D</x:v>
      </x:c>
      <x:c r="C347" s="51" t="n">
        <x:v>5</x:v>
      </x:c>
      <x:c r="D347" s="71" t="str"/>
      <x:c r="E347" s="51" t="str">
        <x:v>CB</x:v>
      </x:c>
      <x:c r="F347" s="51" t="str">
        <x:v>Defence</x:v>
      </x:c>
      <x:c r="G347" s="51" t="str">
        <x:v>Starter</x:v>
      </x:c>
      <x:c r="H347" s="55" t="n">
        <x:v>1</x:v>
      </x:c>
      <x:c r="I347" s="51" t="str"/>
      <x:c r="J347" s="72" t="str"/>
      <x:c r="K347" s="72" t="str"/>
      <x:c r="L347" s="72" t="str"/>
      <x:c r="M347" s="72" t="str"/>
      <x:c r="N347" s="72" t="str"/>
      <x:c r="O347" s="72" t="str"/>
      <x:c r="P347" s="72" t="str">
        <x:v>Available</x:v>
      </x:c>
      <x:c r="Q347" s="72" t="n">
        <x:v>0</x:v>
      </x:c>
      <x:c r="R347" s="55" t="str">
        <x:f>IF($D347="","",ROUND(MAX(0,MIN(100,0.35*$J347+0.2*$K347+0.15*$L347+0.15*$M347+0.1*$N347+0.05*$O347-IF(OR($P347="Out",$P347="Suspended"),$Q347,IF($P347="Doubtful",$Q347*0.5,IF($P347="Limited",$Q347*0.25,0))))),2))</x:f>
      </x:c>
      <x:c r="S347" s="55" t="n">
        <x:f>IF($D347="",0,ROUND(IF(OR($P347="Out",$P347="Suspended"),$Q347*$H347,IF($P347="Doubtful",$Q347*$H347*0.5,IF($P347="Limited",$Q347*$H347*0.25,0))),2))</x:f>
        <x:v>0</x:v>
      </x:c>
      <x:c r="T347" s="55" t="str"/>
      <x:c r="U347" s="51" t="str"/>
    </x:row>
    <x:row r="348">
      <x:c r="A348" s="51" t="str">
        <x:v>Paraguay</x:v>
      </x:c>
      <x:c r="B348" s="51" t="str">
        <x:v>D</x:v>
      </x:c>
      <x:c r="C348" s="51" t="n">
        <x:v>6</x:v>
      </x:c>
      <x:c r="D348" s="71" t="str"/>
      <x:c r="E348" s="51" t="str">
        <x:v>CB</x:v>
      </x:c>
      <x:c r="F348" s="51" t="str">
        <x:v>Defence</x:v>
      </x:c>
      <x:c r="G348" s="51" t="str">
        <x:v>Starter</x:v>
      </x:c>
      <x:c r="H348" s="55" t="n">
        <x:v>1</x:v>
      </x:c>
      <x:c r="I348" s="51" t="str"/>
      <x:c r="J348" s="72" t="str"/>
      <x:c r="K348" s="72" t="str"/>
      <x:c r="L348" s="72" t="str"/>
      <x:c r="M348" s="72" t="str"/>
      <x:c r="N348" s="72" t="str"/>
      <x:c r="O348" s="72" t="str"/>
      <x:c r="P348" s="72" t="str">
        <x:v>Available</x:v>
      </x:c>
      <x:c r="Q348" s="72" t="n">
        <x:v>0</x:v>
      </x:c>
      <x:c r="R348" s="55" t="str">
        <x:f>IF($D348="","",ROUND(MAX(0,MIN(100,0.35*$J348+0.2*$K348+0.15*$L348+0.15*$M348+0.1*$N348+0.05*$O348-IF(OR($P348="Out",$P348="Suspended"),$Q348,IF($P348="Doubtful",$Q348*0.5,IF($P348="Limited",$Q348*0.25,0))))),2))</x:f>
      </x:c>
      <x:c r="S348" s="55" t="n">
        <x:f>IF($D348="",0,ROUND(IF(OR($P348="Out",$P348="Suspended"),$Q348*$H348,IF($P348="Doubtful",$Q348*$H348*0.5,IF($P348="Limited",$Q348*$H348*0.25,0))),2))</x:f>
        <x:v>0</x:v>
      </x:c>
      <x:c r="T348" s="55" t="str"/>
      <x:c r="U348" s="51" t="str"/>
    </x:row>
    <x:row r="349">
      <x:c r="A349" s="51" t="str">
        <x:v>Paraguay</x:v>
      </x:c>
      <x:c r="B349" s="51" t="str">
        <x:v>D</x:v>
      </x:c>
      <x:c r="C349" s="51" t="n">
        <x:v>7</x:v>
      </x:c>
      <x:c r="D349" s="71" t="str"/>
      <x:c r="E349" s="51" t="str">
        <x:v>FB</x:v>
      </x:c>
      <x:c r="F349" s="51" t="str">
        <x:v>Defence</x:v>
      </x:c>
      <x:c r="G349" s="51" t="str">
        <x:v>Starter</x:v>
      </x:c>
      <x:c r="H349" s="55" t="n">
        <x:v>1</x:v>
      </x:c>
      <x:c r="I349" s="51" t="str"/>
      <x:c r="J349" s="72" t="str"/>
      <x:c r="K349" s="72" t="str"/>
      <x:c r="L349" s="72" t="str"/>
      <x:c r="M349" s="72" t="str"/>
      <x:c r="N349" s="72" t="str"/>
      <x:c r="O349" s="72" t="str"/>
      <x:c r="P349" s="72" t="str">
        <x:v>Available</x:v>
      </x:c>
      <x:c r="Q349" s="72" t="n">
        <x:v>0</x:v>
      </x:c>
      <x:c r="R349" s="55" t="str">
        <x:f>IF($D349="","",ROUND(MAX(0,MIN(100,0.35*$J349+0.2*$K349+0.15*$L349+0.15*$M349+0.1*$N349+0.05*$O349-IF(OR($P349="Out",$P349="Suspended"),$Q349,IF($P349="Doubtful",$Q349*0.5,IF($P349="Limited",$Q349*0.25,0))))),2))</x:f>
      </x:c>
      <x:c r="S349" s="55" t="n">
        <x:f>IF($D349="",0,ROUND(IF(OR($P349="Out",$P349="Suspended"),$Q349*$H349,IF($P349="Doubtful",$Q349*$H349*0.5,IF($P349="Limited",$Q349*$H349*0.25,0))),2))</x:f>
        <x:v>0</x:v>
      </x:c>
      <x:c r="T349" s="55" t="str"/>
      <x:c r="U349" s="51" t="str"/>
    </x:row>
    <x:row r="350">
      <x:c r="A350" s="51" t="str">
        <x:v>Paraguay</x:v>
      </x:c>
      <x:c r="B350" s="51" t="str">
        <x:v>D</x:v>
      </x:c>
      <x:c r="C350" s="51" t="n">
        <x:v>8</x:v>
      </x:c>
      <x:c r="D350" s="71" t="str"/>
      <x:c r="E350" s="51" t="str">
        <x:v>FB</x:v>
      </x:c>
      <x:c r="F350" s="51" t="str">
        <x:v>Defence</x:v>
      </x:c>
      <x:c r="G350" s="51" t="str">
        <x:v>Starter</x:v>
      </x:c>
      <x:c r="H350" s="55" t="n">
        <x:v>1</x:v>
      </x:c>
      <x:c r="I350" s="51" t="str"/>
      <x:c r="J350" s="72" t="str"/>
      <x:c r="K350" s="72" t="str"/>
      <x:c r="L350" s="72" t="str"/>
      <x:c r="M350" s="72" t="str"/>
      <x:c r="N350" s="72" t="str"/>
      <x:c r="O350" s="72" t="str"/>
      <x:c r="P350" s="72" t="str">
        <x:v>Available</x:v>
      </x:c>
      <x:c r="Q350" s="72" t="n">
        <x:v>0</x:v>
      </x:c>
      <x:c r="R350" s="55" t="str">
        <x:f>IF($D350="","",ROUND(MAX(0,MIN(100,0.35*$J350+0.2*$K350+0.15*$L350+0.15*$M350+0.1*$N350+0.05*$O350-IF(OR($P350="Out",$P350="Suspended"),$Q350,IF($P350="Doubtful",$Q350*0.5,IF($P350="Limited",$Q350*0.25,0))))),2))</x:f>
      </x:c>
      <x:c r="S350" s="55" t="n">
        <x:f>IF($D350="",0,ROUND(IF(OR($P350="Out",$P350="Suspended"),$Q350*$H350,IF($P350="Doubtful",$Q350*$H350*0.5,IF($P350="Limited",$Q350*$H350*0.25,0))),2))</x:f>
        <x:v>0</x:v>
      </x:c>
      <x:c r="T350" s="55" t="str"/>
      <x:c r="U350" s="51" t="str"/>
    </x:row>
    <x:row r="351">
      <x:c r="A351" s="51" t="str">
        <x:v>Paraguay</x:v>
      </x:c>
      <x:c r="B351" s="51" t="str">
        <x:v>D</x:v>
      </x:c>
      <x:c r="C351" s="51" t="n">
        <x:v>9</x:v>
      </x:c>
      <x:c r="D351" s="71" t="str"/>
      <x:c r="E351" s="51" t="str">
        <x:v>DM</x:v>
      </x:c>
      <x:c r="F351" s="51" t="str">
        <x:v>Midfield</x:v>
      </x:c>
      <x:c r="G351" s="51" t="str">
        <x:v>Starter</x:v>
      </x:c>
      <x:c r="H351" s="55" t="n">
        <x:v>1</x:v>
      </x:c>
      <x:c r="I351" s="51" t="str"/>
      <x:c r="J351" s="72" t="str"/>
      <x:c r="K351" s="72" t="str"/>
      <x:c r="L351" s="72" t="str"/>
      <x:c r="M351" s="72" t="str"/>
      <x:c r="N351" s="72" t="str"/>
      <x:c r="O351" s="72" t="str"/>
      <x:c r="P351" s="72" t="str">
        <x:v>Available</x:v>
      </x:c>
      <x:c r="Q351" s="72" t="n">
        <x:v>0</x:v>
      </x:c>
      <x:c r="R351" s="55" t="str">
        <x:f>IF($D351="","",ROUND(MAX(0,MIN(100,0.35*$J351+0.2*$K351+0.15*$L351+0.15*$M351+0.1*$N351+0.05*$O351-IF(OR($P351="Out",$P351="Suspended"),$Q351,IF($P351="Doubtful",$Q351*0.5,IF($P351="Limited",$Q351*0.25,0))))),2))</x:f>
      </x:c>
      <x:c r="S351" s="55" t="n">
        <x:f>IF($D351="",0,ROUND(IF(OR($P351="Out",$P351="Suspended"),$Q351*$H351,IF($P351="Doubtful",$Q351*$H351*0.5,IF($P351="Limited",$Q351*$H351*0.25,0))),2))</x:f>
        <x:v>0</x:v>
      </x:c>
      <x:c r="T351" s="55" t="str"/>
      <x:c r="U351" s="51" t="str"/>
    </x:row>
    <x:row r="352">
      <x:c r="A352" s="51" t="str">
        <x:v>Paraguay</x:v>
      </x:c>
      <x:c r="B352" s="51" t="str">
        <x:v>D</x:v>
      </x:c>
      <x:c r="C352" s="51" t="n">
        <x:v>10</x:v>
      </x:c>
      <x:c r="D352" s="71" t="str"/>
      <x:c r="E352" s="51" t="str">
        <x:v>DM</x:v>
      </x:c>
      <x:c r="F352" s="51" t="str">
        <x:v>Midfield</x:v>
      </x:c>
      <x:c r="G352" s="51" t="str">
        <x:v>Starter</x:v>
      </x:c>
      <x:c r="H352" s="55" t="n">
        <x:v>1</x:v>
      </x:c>
      <x:c r="I352" s="51" t="str"/>
      <x:c r="J352" s="72" t="str"/>
      <x:c r="K352" s="72" t="str"/>
      <x:c r="L352" s="72" t="str"/>
      <x:c r="M352" s="72" t="str"/>
      <x:c r="N352" s="72" t="str"/>
      <x:c r="O352" s="72" t="str"/>
      <x:c r="P352" s="72" t="str">
        <x:v>Available</x:v>
      </x:c>
      <x:c r="Q352" s="72" t="n">
        <x:v>0</x:v>
      </x:c>
      <x:c r="R352" s="55" t="str">
        <x:f>IF($D352="","",ROUND(MAX(0,MIN(100,0.35*$J352+0.2*$K352+0.15*$L352+0.15*$M352+0.1*$N352+0.05*$O352-IF(OR($P352="Out",$P352="Suspended"),$Q352,IF($P352="Doubtful",$Q352*0.5,IF($P352="Limited",$Q352*0.25,0))))),2))</x:f>
      </x:c>
      <x:c r="S352" s="55" t="n">
        <x:f>IF($D352="",0,ROUND(IF(OR($P352="Out",$P352="Suspended"),$Q352*$H352,IF($P352="Doubtful",$Q352*$H352*0.5,IF($P352="Limited",$Q352*$H352*0.25,0))),2))</x:f>
        <x:v>0</x:v>
      </x:c>
      <x:c r="T352" s="55" t="str"/>
      <x:c r="U352" s="51" t="str"/>
    </x:row>
    <x:row r="353">
      <x:c r="A353" s="51" t="str">
        <x:v>Paraguay</x:v>
      </x:c>
      <x:c r="B353" s="51" t="str">
        <x:v>D</x:v>
      </x:c>
      <x:c r="C353" s="51" t="n">
        <x:v>11</x:v>
      </x:c>
      <x:c r="D353" s="71" t="str"/>
      <x:c r="E353" s="51" t="str">
        <x:v>DM</x:v>
      </x:c>
      <x:c r="F353" s="51" t="str">
        <x:v>Midfield</x:v>
      </x:c>
      <x:c r="G353" s="51" t="str">
        <x:v>Starter</x:v>
      </x:c>
      <x:c r="H353" s="55" t="n">
        <x:v>1</x:v>
      </x:c>
      <x:c r="I353" s="51" t="str"/>
      <x:c r="J353" s="72" t="str"/>
      <x:c r="K353" s="72" t="str"/>
      <x:c r="L353" s="72" t="str"/>
      <x:c r="M353" s="72" t="str"/>
      <x:c r="N353" s="72" t="str"/>
      <x:c r="O353" s="72" t="str"/>
      <x:c r="P353" s="72" t="str">
        <x:v>Available</x:v>
      </x:c>
      <x:c r="Q353" s="72" t="n">
        <x:v>0</x:v>
      </x:c>
      <x:c r="R353" s="55" t="str">
        <x:f>IF($D353="","",ROUND(MAX(0,MIN(100,0.35*$J353+0.2*$K353+0.15*$L353+0.15*$M353+0.1*$N353+0.05*$O353-IF(OR($P353="Out",$P353="Suspended"),$Q353,IF($P353="Doubtful",$Q353*0.5,IF($P353="Limited",$Q353*0.25,0))))),2))</x:f>
      </x:c>
      <x:c r="S353" s="55" t="n">
        <x:f>IF($D353="",0,ROUND(IF(OR($P353="Out",$P353="Suspended"),$Q353*$H353,IF($P353="Doubtful",$Q353*$H353*0.5,IF($P353="Limited",$Q353*$H353*0.25,0))),2))</x:f>
        <x:v>0</x:v>
      </x:c>
      <x:c r="T353" s="55" t="str"/>
      <x:c r="U353" s="51" t="str"/>
    </x:row>
    <x:row r="354">
      <x:c r="A354" s="51" t="str">
        <x:v>Paraguay</x:v>
      </x:c>
      <x:c r="B354" s="51" t="str">
        <x:v>D</x:v>
      </x:c>
      <x:c r="C354" s="51" t="n">
        <x:v>12</x:v>
      </x:c>
      <x:c r="D354" s="71" t="str"/>
      <x:c r="E354" s="51" t="str">
        <x:v>CM</x:v>
      </x:c>
      <x:c r="F354" s="51" t="str">
        <x:v>Midfield</x:v>
      </x:c>
      <x:c r="G354" s="51" t="str">
        <x:v>Rotation</x:v>
      </x:c>
      <x:c r="H354" s="55" t="n">
        <x:v>0.35</x:v>
      </x:c>
      <x:c r="I354" s="51" t="str"/>
      <x:c r="J354" s="72" t="str"/>
      <x:c r="K354" s="72" t="str"/>
      <x:c r="L354" s="72" t="str"/>
      <x:c r="M354" s="72" t="str"/>
      <x:c r="N354" s="72" t="str"/>
      <x:c r="O354" s="72" t="str"/>
      <x:c r="P354" s="72" t="str">
        <x:v>Available</x:v>
      </x:c>
      <x:c r="Q354" s="72" t="n">
        <x:v>0</x:v>
      </x:c>
      <x:c r="R354" s="55" t="str">
        <x:f>IF($D354="","",ROUND(MAX(0,MIN(100,0.35*$J354+0.2*$K354+0.15*$L354+0.15*$M354+0.1*$N354+0.05*$O354-IF(OR($P354="Out",$P354="Suspended"),$Q354,IF($P354="Doubtful",$Q354*0.5,IF($P354="Limited",$Q354*0.25,0))))),2))</x:f>
      </x:c>
      <x:c r="S354" s="55" t="n">
        <x:f>IF($D354="",0,ROUND(IF(OR($P354="Out",$P354="Suspended"),$Q354*$H354,IF($P354="Doubtful",$Q354*$H354*0.5,IF($P354="Limited",$Q354*$H354*0.25,0))),2))</x:f>
        <x:v>0</x:v>
      </x:c>
      <x:c r="T354" s="55" t="str"/>
      <x:c r="U354" s="51" t="str"/>
    </x:row>
    <x:row r="355">
      <x:c r="A355" s="51" t="str">
        <x:v>Paraguay</x:v>
      </x:c>
      <x:c r="B355" s="51" t="str">
        <x:v>D</x:v>
      </x:c>
      <x:c r="C355" s="51" t="n">
        <x:v>13</x:v>
      </x:c>
      <x:c r="D355" s="71" t="str"/>
      <x:c r="E355" s="51" t="str">
        <x:v>CM</x:v>
      </x:c>
      <x:c r="F355" s="51" t="str">
        <x:v>Midfield</x:v>
      </x:c>
      <x:c r="G355" s="51" t="str">
        <x:v>Rotation</x:v>
      </x:c>
      <x:c r="H355" s="55" t="n">
        <x:v>0.35</x:v>
      </x:c>
      <x:c r="I355" s="51" t="str"/>
      <x:c r="J355" s="72" t="str"/>
      <x:c r="K355" s="72" t="str"/>
      <x:c r="L355" s="72" t="str"/>
      <x:c r="M355" s="72" t="str"/>
      <x:c r="N355" s="72" t="str"/>
      <x:c r="O355" s="72" t="str"/>
      <x:c r="P355" s="72" t="str">
        <x:v>Available</x:v>
      </x:c>
      <x:c r="Q355" s="72" t="n">
        <x:v>0</x:v>
      </x:c>
      <x:c r="R355" s="55" t="str">
        <x:f>IF($D355="","",ROUND(MAX(0,MIN(100,0.35*$J355+0.2*$K355+0.15*$L355+0.15*$M355+0.1*$N355+0.05*$O355-IF(OR($P355="Out",$P355="Suspended"),$Q355,IF($P355="Doubtful",$Q355*0.5,IF($P355="Limited",$Q355*0.25,0))))),2))</x:f>
      </x:c>
      <x:c r="S355" s="55" t="n">
        <x:f>IF($D355="",0,ROUND(IF(OR($P355="Out",$P355="Suspended"),$Q355*$H355,IF($P355="Doubtful",$Q355*$H355*0.5,IF($P355="Limited",$Q355*$H355*0.25,0))),2))</x:f>
        <x:v>0</x:v>
      </x:c>
      <x:c r="T355" s="55" t="str"/>
      <x:c r="U355" s="51" t="str"/>
    </x:row>
    <x:row r="356">
      <x:c r="A356" s="51" t="str">
        <x:v>Paraguay</x:v>
      </x:c>
      <x:c r="B356" s="51" t="str">
        <x:v>D</x:v>
      </x:c>
      <x:c r="C356" s="51" t="n">
        <x:v>14</x:v>
      </x:c>
      <x:c r="D356" s="71" t="str"/>
      <x:c r="E356" s="51" t="str">
        <x:v>CM</x:v>
      </x:c>
      <x:c r="F356" s="51" t="str">
        <x:v>Midfield</x:v>
      </x:c>
      <x:c r="G356" s="51" t="str">
        <x:v>Rotation</x:v>
      </x:c>
      <x:c r="H356" s="55" t="n">
        <x:v>0.35</x:v>
      </x:c>
      <x:c r="I356" s="51" t="str"/>
      <x:c r="J356" s="72" t="str"/>
      <x:c r="K356" s="72" t="str"/>
      <x:c r="L356" s="72" t="str"/>
      <x:c r="M356" s="72" t="str"/>
      <x:c r="N356" s="72" t="str"/>
      <x:c r="O356" s="72" t="str"/>
      <x:c r="P356" s="72" t="str">
        <x:v>Available</x:v>
      </x:c>
      <x:c r="Q356" s="72" t="n">
        <x:v>0</x:v>
      </x:c>
      <x:c r="R356" s="55" t="str">
        <x:f>IF($D356="","",ROUND(MAX(0,MIN(100,0.35*$J356+0.2*$K356+0.15*$L356+0.15*$M356+0.1*$N356+0.05*$O356-IF(OR($P356="Out",$P356="Suspended"),$Q356,IF($P356="Doubtful",$Q356*0.5,IF($P356="Limited",$Q356*0.25,0))))),2))</x:f>
      </x:c>
      <x:c r="S356" s="55" t="n">
        <x:f>IF($D356="",0,ROUND(IF(OR($P356="Out",$P356="Suspended"),$Q356*$H356,IF($P356="Doubtful",$Q356*$H356*0.5,IF($P356="Limited",$Q356*$H356*0.25,0))),2))</x:f>
        <x:v>0</x:v>
      </x:c>
      <x:c r="T356" s="55" t="str"/>
      <x:c r="U356" s="51" t="str"/>
    </x:row>
    <x:row r="357">
      <x:c r="A357" s="51" t="str">
        <x:v>Paraguay</x:v>
      </x:c>
      <x:c r="B357" s="51" t="str">
        <x:v>D</x:v>
      </x:c>
      <x:c r="C357" s="51" t="n">
        <x:v>15</x:v>
      </x:c>
      <x:c r="D357" s="71" t="str"/>
      <x:c r="E357" s="51" t="str">
        <x:v>CM</x:v>
      </x:c>
      <x:c r="F357" s="51" t="str">
        <x:v>Midfield</x:v>
      </x:c>
      <x:c r="G357" s="51" t="str">
        <x:v>Rotation</x:v>
      </x:c>
      <x:c r="H357" s="55" t="n">
        <x:v>0.35</x:v>
      </x:c>
      <x:c r="I357" s="51" t="str"/>
      <x:c r="J357" s="72" t="str"/>
      <x:c r="K357" s="72" t="str"/>
      <x:c r="L357" s="72" t="str"/>
      <x:c r="M357" s="72" t="str"/>
      <x:c r="N357" s="72" t="str"/>
      <x:c r="O357" s="72" t="str"/>
      <x:c r="P357" s="72" t="str">
        <x:v>Available</x:v>
      </x:c>
      <x:c r="Q357" s="72" t="n">
        <x:v>0</x:v>
      </x:c>
      <x:c r="R357" s="55" t="str">
        <x:f>IF($D357="","",ROUND(MAX(0,MIN(100,0.35*$J357+0.2*$K357+0.15*$L357+0.15*$M357+0.1*$N357+0.05*$O357-IF(OR($P357="Out",$P357="Suspended"),$Q357,IF($P357="Doubtful",$Q357*0.5,IF($P357="Limited",$Q357*0.25,0))))),2))</x:f>
      </x:c>
      <x:c r="S357" s="55" t="n">
        <x:f>IF($D357="",0,ROUND(IF(OR($P357="Out",$P357="Suspended"),$Q357*$H357,IF($P357="Doubtful",$Q357*$H357*0.5,IF($P357="Limited",$Q357*$H357*0.25,0))),2))</x:f>
        <x:v>0</x:v>
      </x:c>
      <x:c r="T357" s="55" t="str"/>
      <x:c r="U357" s="51" t="str"/>
    </x:row>
    <x:row r="358">
      <x:c r="A358" s="51" t="str">
        <x:v>Paraguay</x:v>
      </x:c>
      <x:c r="B358" s="51" t="str">
        <x:v>D</x:v>
      </x:c>
      <x:c r="C358" s="51" t="n">
        <x:v>16</x:v>
      </x:c>
      <x:c r="D358" s="71" t="str"/>
      <x:c r="E358" s="51" t="str">
        <x:v>AM</x:v>
      </x:c>
      <x:c r="F358" s="51" t="str">
        <x:v>Attack</x:v>
      </x:c>
      <x:c r="G358" s="51" t="str">
        <x:v>Rotation</x:v>
      </x:c>
      <x:c r="H358" s="55" t="n">
        <x:v>0.35</x:v>
      </x:c>
      <x:c r="I358" s="51" t="str"/>
      <x:c r="J358" s="72" t="str"/>
      <x:c r="K358" s="72" t="str"/>
      <x:c r="L358" s="72" t="str"/>
      <x:c r="M358" s="72" t="str"/>
      <x:c r="N358" s="72" t="str"/>
      <x:c r="O358" s="72" t="str"/>
      <x:c r="P358" s="72" t="str">
        <x:v>Available</x:v>
      </x:c>
      <x:c r="Q358" s="72" t="n">
        <x:v>0</x:v>
      </x:c>
      <x:c r="R358" s="55" t="str">
        <x:f>IF($D358="","",ROUND(MAX(0,MIN(100,0.35*$J358+0.2*$K358+0.15*$L358+0.15*$M358+0.1*$N358+0.05*$O358-IF(OR($P358="Out",$P358="Suspended"),$Q358,IF($P358="Doubtful",$Q358*0.5,IF($P358="Limited",$Q358*0.25,0))))),2))</x:f>
      </x:c>
      <x:c r="S358" s="55" t="n">
        <x:f>IF($D358="",0,ROUND(IF(OR($P358="Out",$P358="Suspended"),$Q358*$H358,IF($P358="Doubtful",$Q358*$H358*0.5,IF($P358="Limited",$Q358*$H358*0.25,0))),2))</x:f>
        <x:v>0</x:v>
      </x:c>
      <x:c r="T358" s="55" t="str"/>
      <x:c r="U358" s="51" t="str"/>
    </x:row>
    <x:row r="359">
      <x:c r="A359" s="51" t="str">
        <x:v>Paraguay</x:v>
      </x:c>
      <x:c r="B359" s="51" t="str">
        <x:v>D</x:v>
      </x:c>
      <x:c r="C359" s="51" t="n">
        <x:v>17</x:v>
      </x:c>
      <x:c r="D359" s="71" t="str"/>
      <x:c r="E359" s="51" t="str">
        <x:v>AM</x:v>
      </x:c>
      <x:c r="F359" s="51" t="str">
        <x:v>Attack</x:v>
      </x:c>
      <x:c r="G359" s="51" t="str">
        <x:v>Rotation</x:v>
      </x:c>
      <x:c r="H359" s="55" t="n">
        <x:v>0.35</x:v>
      </x:c>
      <x:c r="I359" s="51" t="str"/>
      <x:c r="J359" s="72" t="str"/>
      <x:c r="K359" s="72" t="str"/>
      <x:c r="L359" s="72" t="str"/>
      <x:c r="M359" s="72" t="str"/>
      <x:c r="N359" s="72" t="str"/>
      <x:c r="O359" s="72" t="str"/>
      <x:c r="P359" s="72" t="str">
        <x:v>Available</x:v>
      </x:c>
      <x:c r="Q359" s="72" t="n">
        <x:v>0</x:v>
      </x:c>
      <x:c r="R359" s="55" t="str">
        <x:f>IF($D359="","",ROUND(MAX(0,MIN(100,0.35*$J359+0.2*$K359+0.15*$L359+0.15*$M359+0.1*$N359+0.05*$O359-IF(OR($P359="Out",$P359="Suspended"),$Q359,IF($P359="Doubtful",$Q359*0.5,IF($P359="Limited",$Q359*0.25,0))))),2))</x:f>
      </x:c>
      <x:c r="S359" s="55" t="n">
        <x:f>IF($D359="",0,ROUND(IF(OR($P359="Out",$P359="Suspended"),$Q359*$H359,IF($P359="Doubtful",$Q359*$H359*0.5,IF($P359="Limited",$Q359*$H359*0.25,0))),2))</x:f>
        <x:v>0</x:v>
      </x:c>
      <x:c r="T359" s="55" t="str"/>
      <x:c r="U359" s="51" t="str"/>
    </x:row>
    <x:row r="360">
      <x:c r="A360" s="51" t="str">
        <x:v>Paraguay</x:v>
      </x:c>
      <x:c r="B360" s="51" t="str">
        <x:v>D</x:v>
      </x:c>
      <x:c r="C360" s="51" t="n">
        <x:v>18</x:v>
      </x:c>
      <x:c r="D360" s="71" t="str"/>
      <x:c r="E360" s="51" t="str">
        <x:v>AM</x:v>
      </x:c>
      <x:c r="F360" s="51" t="str">
        <x:v>Attack</x:v>
      </x:c>
      <x:c r="G360" s="51" t="str">
        <x:v>Rotation</x:v>
      </x:c>
      <x:c r="H360" s="55" t="n">
        <x:v>0.35</x:v>
      </x:c>
      <x:c r="I360" s="51" t="str"/>
      <x:c r="J360" s="72" t="str"/>
      <x:c r="K360" s="72" t="str"/>
      <x:c r="L360" s="72" t="str"/>
      <x:c r="M360" s="72" t="str"/>
      <x:c r="N360" s="72" t="str"/>
      <x:c r="O360" s="72" t="str"/>
      <x:c r="P360" s="72" t="str">
        <x:v>Available</x:v>
      </x:c>
      <x:c r="Q360" s="72" t="n">
        <x:v>0</x:v>
      </x:c>
      <x:c r="R360" s="55" t="str">
        <x:f>IF($D360="","",ROUND(MAX(0,MIN(100,0.35*$J360+0.2*$K360+0.15*$L360+0.15*$M360+0.1*$N360+0.05*$O360-IF(OR($P360="Out",$P360="Suspended"),$Q360,IF($P360="Doubtful",$Q360*0.5,IF($P360="Limited",$Q360*0.25,0))))),2))</x:f>
      </x:c>
      <x:c r="S360" s="55" t="n">
        <x:f>IF($D360="",0,ROUND(IF(OR($P360="Out",$P360="Suspended"),$Q360*$H360,IF($P360="Doubtful",$Q360*$H360*0.5,IF($P360="Limited",$Q360*$H360*0.25,0))),2))</x:f>
        <x:v>0</x:v>
      </x:c>
      <x:c r="T360" s="55" t="str"/>
      <x:c r="U360" s="51" t="str"/>
    </x:row>
    <x:row r="361">
      <x:c r="A361" s="51" t="str">
        <x:v>Paraguay</x:v>
      </x:c>
      <x:c r="B361" s="51" t="str">
        <x:v>D</x:v>
      </x:c>
      <x:c r="C361" s="51" t="n">
        <x:v>19</x:v>
      </x:c>
      <x:c r="D361" s="71" t="str"/>
      <x:c r="E361" s="51" t="str">
        <x:v>AM</x:v>
      </x:c>
      <x:c r="F361" s="51" t="str">
        <x:v>Attack</x:v>
      </x:c>
      <x:c r="G361" s="51" t="str">
        <x:v>Rotation</x:v>
      </x:c>
      <x:c r="H361" s="55" t="n">
        <x:v>0.35</x:v>
      </x:c>
      <x:c r="I361" s="51" t="str"/>
      <x:c r="J361" s="72" t="str"/>
      <x:c r="K361" s="72" t="str"/>
      <x:c r="L361" s="72" t="str"/>
      <x:c r="M361" s="72" t="str"/>
      <x:c r="N361" s="72" t="str"/>
      <x:c r="O361" s="72" t="str"/>
      <x:c r="P361" s="72" t="str">
        <x:v>Available</x:v>
      </x:c>
      <x:c r="Q361" s="72" t="n">
        <x:v>0</x:v>
      </x:c>
      <x:c r="R361" s="55" t="str">
        <x:f>IF($D361="","",ROUND(MAX(0,MIN(100,0.35*$J361+0.2*$K361+0.15*$L361+0.15*$M361+0.1*$N361+0.05*$O361-IF(OR($P361="Out",$P361="Suspended"),$Q361,IF($P361="Doubtful",$Q361*0.5,IF($P361="Limited",$Q361*0.25,0))))),2))</x:f>
      </x:c>
      <x:c r="S361" s="55" t="n">
        <x:f>IF($D361="",0,ROUND(IF(OR($P361="Out",$P361="Suspended"),$Q361*$H361,IF($P361="Doubtful",$Q361*$H361*0.5,IF($P361="Limited",$Q361*$H361*0.25,0))),2))</x:f>
        <x:v>0</x:v>
      </x:c>
      <x:c r="T361" s="55" t="str"/>
      <x:c r="U361" s="51" t="str"/>
    </x:row>
    <x:row r="362">
      <x:c r="A362" s="51" t="str">
        <x:v>Paraguay</x:v>
      </x:c>
      <x:c r="B362" s="51" t="str">
        <x:v>D</x:v>
      </x:c>
      <x:c r="C362" s="51" t="n">
        <x:v>20</x:v>
      </x:c>
      <x:c r="D362" s="71" t="str"/>
      <x:c r="E362" s="51" t="str">
        <x:v>Winger</x:v>
      </x:c>
      <x:c r="F362" s="51" t="str">
        <x:v>Attack</x:v>
      </x:c>
      <x:c r="G362" s="51" t="str">
        <x:v>Rotation</x:v>
      </x:c>
      <x:c r="H362" s="55" t="n">
        <x:v>0.35</x:v>
      </x:c>
      <x:c r="I362" s="51" t="str"/>
      <x:c r="J362" s="72" t="str"/>
      <x:c r="K362" s="72" t="str"/>
      <x:c r="L362" s="72" t="str"/>
      <x:c r="M362" s="72" t="str"/>
      <x:c r="N362" s="72" t="str"/>
      <x:c r="O362" s="72" t="str"/>
      <x:c r="P362" s="72" t="str">
        <x:v>Available</x:v>
      </x:c>
      <x:c r="Q362" s="72" t="n">
        <x:v>0</x:v>
      </x:c>
      <x:c r="R362" s="55" t="str">
        <x:f>IF($D362="","",ROUND(MAX(0,MIN(100,0.35*$J362+0.2*$K362+0.15*$L362+0.15*$M362+0.1*$N362+0.05*$O362-IF(OR($P362="Out",$P362="Suspended"),$Q362,IF($P362="Doubtful",$Q362*0.5,IF($P362="Limited",$Q362*0.25,0))))),2))</x:f>
      </x:c>
      <x:c r="S362" s="55" t="n">
        <x:f>IF($D362="",0,ROUND(IF(OR($P362="Out",$P362="Suspended"),$Q362*$H362,IF($P362="Doubtful",$Q362*$H362*0.5,IF($P362="Limited",$Q362*$H362*0.25,0))),2))</x:f>
        <x:v>0</x:v>
      </x:c>
      <x:c r="T362" s="55" t="str"/>
      <x:c r="U362" s="51" t="str"/>
    </x:row>
    <x:row r="363">
      <x:c r="A363" s="51" t="str">
        <x:v>Paraguay</x:v>
      </x:c>
      <x:c r="B363" s="51" t="str">
        <x:v>D</x:v>
      </x:c>
      <x:c r="C363" s="51" t="n">
        <x:v>21</x:v>
      </x:c>
      <x:c r="D363" s="71" t="str"/>
      <x:c r="E363" s="51" t="str">
        <x:v>Winger</x:v>
      </x:c>
      <x:c r="F363" s="51" t="str">
        <x:v>Attack</x:v>
      </x:c>
      <x:c r="G363" s="51" t="str">
        <x:v>Depth</x:v>
      </x:c>
      <x:c r="H363" s="55" t="n">
        <x:v>0.1</x:v>
      </x:c>
      <x:c r="I363" s="51" t="str"/>
      <x:c r="J363" s="72" t="str"/>
      <x:c r="K363" s="72" t="str"/>
      <x:c r="L363" s="72" t="str"/>
      <x:c r="M363" s="72" t="str"/>
      <x:c r="N363" s="72" t="str"/>
      <x:c r="O363" s="72" t="str"/>
      <x:c r="P363" s="72" t="str">
        <x:v>Available</x:v>
      </x:c>
      <x:c r="Q363" s="72" t="n">
        <x:v>0</x:v>
      </x:c>
      <x:c r="R363" s="55" t="str">
        <x:f>IF($D363="","",ROUND(MAX(0,MIN(100,0.35*$J363+0.2*$K363+0.15*$L363+0.15*$M363+0.1*$N363+0.05*$O363-IF(OR($P363="Out",$P363="Suspended"),$Q363,IF($P363="Doubtful",$Q363*0.5,IF($P363="Limited",$Q363*0.25,0))))),2))</x:f>
      </x:c>
      <x:c r="S363" s="55" t="n">
        <x:f>IF($D363="",0,ROUND(IF(OR($P363="Out",$P363="Suspended"),$Q363*$H363,IF($P363="Doubtful",$Q363*$H363*0.5,IF($P363="Limited",$Q363*$H363*0.25,0))),2))</x:f>
        <x:v>0</x:v>
      </x:c>
      <x:c r="T363" s="55" t="str"/>
      <x:c r="U363" s="51" t="str"/>
    </x:row>
    <x:row r="364">
      <x:c r="A364" s="51" t="str">
        <x:v>Paraguay</x:v>
      </x:c>
      <x:c r="B364" s="51" t="str">
        <x:v>D</x:v>
      </x:c>
      <x:c r="C364" s="51" t="n">
        <x:v>22</x:v>
      </x:c>
      <x:c r="D364" s="71" t="str"/>
      <x:c r="E364" s="51" t="str">
        <x:v>Winger</x:v>
      </x:c>
      <x:c r="F364" s="51" t="str">
        <x:v>Attack</x:v>
      </x:c>
      <x:c r="G364" s="51" t="str">
        <x:v>Depth</x:v>
      </x:c>
      <x:c r="H364" s="55" t="n">
        <x:v>0.1</x:v>
      </x:c>
      <x:c r="I364" s="51" t="str"/>
      <x:c r="J364" s="72" t="str"/>
      <x:c r="K364" s="72" t="str"/>
      <x:c r="L364" s="72" t="str"/>
      <x:c r="M364" s="72" t="str"/>
      <x:c r="N364" s="72" t="str"/>
      <x:c r="O364" s="72" t="str"/>
      <x:c r="P364" s="72" t="str">
        <x:v>Available</x:v>
      </x:c>
      <x:c r="Q364" s="72" t="n">
        <x:v>0</x:v>
      </x:c>
      <x:c r="R364" s="55" t="str">
        <x:f>IF($D364="","",ROUND(MAX(0,MIN(100,0.35*$J364+0.2*$K364+0.15*$L364+0.15*$M364+0.1*$N364+0.05*$O364-IF(OR($P364="Out",$P364="Suspended"),$Q364,IF($P364="Doubtful",$Q364*0.5,IF($P364="Limited",$Q364*0.25,0))))),2))</x:f>
      </x:c>
      <x:c r="S364" s="55" t="n">
        <x:f>IF($D364="",0,ROUND(IF(OR($P364="Out",$P364="Suspended"),$Q364*$H364,IF($P364="Doubtful",$Q364*$H364*0.5,IF($P364="Limited",$Q364*$H364*0.25,0))),2))</x:f>
        <x:v>0</x:v>
      </x:c>
      <x:c r="T364" s="55" t="str"/>
      <x:c r="U364" s="51" t="str"/>
    </x:row>
    <x:row r="365">
      <x:c r="A365" s="51" t="str">
        <x:v>Paraguay</x:v>
      </x:c>
      <x:c r="B365" s="51" t="str">
        <x:v>D</x:v>
      </x:c>
      <x:c r="C365" s="51" t="n">
        <x:v>23</x:v>
      </x:c>
      <x:c r="D365" s="71" t="str"/>
      <x:c r="E365" s="51" t="str">
        <x:v>Winger</x:v>
      </x:c>
      <x:c r="F365" s="51" t="str">
        <x:v>Attack</x:v>
      </x:c>
      <x:c r="G365" s="51" t="str">
        <x:v>Depth</x:v>
      </x:c>
      <x:c r="H365" s="55" t="n">
        <x:v>0.1</x:v>
      </x:c>
      <x:c r="I365" s="51" t="str"/>
      <x:c r="J365" s="72" t="str"/>
      <x:c r="K365" s="72" t="str"/>
      <x:c r="L365" s="72" t="str"/>
      <x:c r="M365" s="72" t="str"/>
      <x:c r="N365" s="72" t="str"/>
      <x:c r="O365" s="72" t="str"/>
      <x:c r="P365" s="72" t="str">
        <x:v>Available</x:v>
      </x:c>
      <x:c r="Q365" s="72" t="n">
        <x:v>0</x:v>
      </x:c>
      <x:c r="R365" s="55" t="str">
        <x:f>IF($D365="","",ROUND(MAX(0,MIN(100,0.35*$J365+0.2*$K365+0.15*$L365+0.15*$M365+0.1*$N365+0.05*$O365-IF(OR($P365="Out",$P365="Suspended"),$Q365,IF($P365="Doubtful",$Q365*0.5,IF($P365="Limited",$Q365*0.25,0))))),2))</x:f>
      </x:c>
      <x:c r="S365" s="55" t="n">
        <x:f>IF($D365="",0,ROUND(IF(OR($P365="Out",$P365="Suspended"),$Q365*$H365,IF($P365="Doubtful",$Q365*$H365*0.5,IF($P365="Limited",$Q365*$H365*0.25,0))),2))</x:f>
        <x:v>0</x:v>
      </x:c>
      <x:c r="T365" s="55" t="str"/>
      <x:c r="U365" s="51" t="str"/>
    </x:row>
    <x:row r="366">
      <x:c r="A366" s="51" t="str">
        <x:v>Paraguay</x:v>
      </x:c>
      <x:c r="B366" s="51" t="str">
        <x:v>D</x:v>
      </x:c>
      <x:c r="C366" s="51" t="n">
        <x:v>24</x:v>
      </x:c>
      <x:c r="D366" s="71" t="str"/>
      <x:c r="E366" s="51" t="str">
        <x:v>ST</x:v>
      </x:c>
      <x:c r="F366" s="51" t="str">
        <x:v>Attack</x:v>
      </x:c>
      <x:c r="G366" s="51" t="str">
        <x:v>Depth</x:v>
      </x:c>
      <x:c r="H366" s="55" t="n">
        <x:v>0.1</x:v>
      </x:c>
      <x:c r="I366" s="51" t="str"/>
      <x:c r="J366" s="72" t="str"/>
      <x:c r="K366" s="72" t="str"/>
      <x:c r="L366" s="72" t="str"/>
      <x:c r="M366" s="72" t="str"/>
      <x:c r="N366" s="72" t="str"/>
      <x:c r="O366" s="72" t="str"/>
      <x:c r="P366" s="72" t="str">
        <x:v>Available</x:v>
      </x:c>
      <x:c r="Q366" s="72" t="n">
        <x:v>0</x:v>
      </x:c>
      <x:c r="R366" s="55" t="str">
        <x:f>IF($D366="","",ROUND(MAX(0,MIN(100,0.35*$J366+0.2*$K366+0.15*$L366+0.15*$M366+0.1*$N366+0.05*$O366-IF(OR($P366="Out",$P366="Suspended"),$Q366,IF($P366="Doubtful",$Q366*0.5,IF($P366="Limited",$Q366*0.25,0))))),2))</x:f>
      </x:c>
      <x:c r="S366" s="55" t="n">
        <x:f>IF($D366="",0,ROUND(IF(OR($P366="Out",$P366="Suspended"),$Q366*$H366,IF($P366="Doubtful",$Q366*$H366*0.5,IF($P366="Limited",$Q366*$H366*0.25,0))),2))</x:f>
        <x:v>0</x:v>
      </x:c>
      <x:c r="T366" s="55" t="str"/>
      <x:c r="U366" s="51" t="str"/>
    </x:row>
    <x:row r="367">
      <x:c r="A367" s="51" t="str">
        <x:v>Paraguay</x:v>
      </x:c>
      <x:c r="B367" s="51" t="str">
        <x:v>D</x:v>
      </x:c>
      <x:c r="C367" s="51" t="n">
        <x:v>25</x:v>
      </x:c>
      <x:c r="D367" s="71" t="str"/>
      <x:c r="E367" s="51" t="str">
        <x:v>ST</x:v>
      </x:c>
      <x:c r="F367" s="51" t="str">
        <x:v>Attack</x:v>
      </x:c>
      <x:c r="G367" s="51" t="str">
        <x:v>Depth</x:v>
      </x:c>
      <x:c r="H367" s="55" t="n">
        <x:v>0.1</x:v>
      </x:c>
      <x:c r="I367" s="51" t="str"/>
      <x:c r="J367" s="72" t="str"/>
      <x:c r="K367" s="72" t="str"/>
      <x:c r="L367" s="72" t="str"/>
      <x:c r="M367" s="72" t="str"/>
      <x:c r="N367" s="72" t="str"/>
      <x:c r="O367" s="72" t="str"/>
      <x:c r="P367" s="72" t="str">
        <x:v>Available</x:v>
      </x:c>
      <x:c r="Q367" s="72" t="n">
        <x:v>0</x:v>
      </x:c>
      <x:c r="R367" s="55" t="str">
        <x:f>IF($D367="","",ROUND(MAX(0,MIN(100,0.35*$J367+0.2*$K367+0.15*$L367+0.15*$M367+0.1*$N367+0.05*$O367-IF(OR($P367="Out",$P367="Suspended"),$Q367,IF($P367="Doubtful",$Q367*0.5,IF($P367="Limited",$Q367*0.25,0))))),2))</x:f>
      </x:c>
      <x:c r="S367" s="55" t="n">
        <x:f>IF($D367="",0,ROUND(IF(OR($P367="Out",$P367="Suspended"),$Q367*$H367,IF($P367="Doubtful",$Q367*$H367*0.5,IF($P367="Limited",$Q367*$H367*0.25,0))),2))</x:f>
        <x:v>0</x:v>
      </x:c>
      <x:c r="T367" s="55" t="str"/>
      <x:c r="U367" s="51" t="str"/>
    </x:row>
    <x:row r="368">
      <x:c r="A368" s="51" t="str">
        <x:v>Paraguay</x:v>
      </x:c>
      <x:c r="B368" s="51" t="str">
        <x:v>D</x:v>
      </x:c>
      <x:c r="C368" s="51" t="n">
        <x:v>26</x:v>
      </x:c>
      <x:c r="D368" s="71" t="str"/>
      <x:c r="E368" s="51" t="str">
        <x:v>ST</x:v>
      </x:c>
      <x:c r="F368" s="51" t="str">
        <x:v>Attack</x:v>
      </x:c>
      <x:c r="G368" s="51" t="str">
        <x:v>Depth</x:v>
      </x:c>
      <x:c r="H368" s="55" t="n">
        <x:v>0.1</x:v>
      </x:c>
      <x:c r="I368" s="51" t="str"/>
      <x:c r="J368" s="72" t="str"/>
      <x:c r="K368" s="72" t="str"/>
      <x:c r="L368" s="72" t="str"/>
      <x:c r="M368" s="72" t="str"/>
      <x:c r="N368" s="72" t="str"/>
      <x:c r="O368" s="72" t="str"/>
      <x:c r="P368" s="72" t="str">
        <x:v>Available</x:v>
      </x:c>
      <x:c r="Q368" s="72" t="n">
        <x:v>0</x:v>
      </x:c>
      <x:c r="R368" s="55" t="str">
        <x:f>IF($D368="","",ROUND(MAX(0,MIN(100,0.35*$J368+0.2*$K368+0.15*$L368+0.15*$M368+0.1*$N368+0.05*$O368-IF(OR($P368="Out",$P368="Suspended"),$Q368,IF($P368="Doubtful",$Q368*0.5,IF($P368="Limited",$Q368*0.25,0))))),2))</x:f>
      </x:c>
      <x:c r="S368" s="55" t="n">
        <x:f>IF($D368="",0,ROUND(IF(OR($P368="Out",$P368="Suspended"),$Q368*$H368,IF($P368="Doubtful",$Q368*$H368*0.5,IF($P368="Limited",$Q368*$H368*0.25,0))),2))</x:f>
        <x:v>0</x:v>
      </x:c>
      <x:c r="T368" s="55" t="str"/>
      <x:c r="U368" s="51" t="str"/>
    </x:row>
    <x:row r="369">
      <x:c r="A369" s="51" t="str">
        <x:v>Turkey</x:v>
      </x:c>
      <x:c r="B369" s="51" t="str">
        <x:v>D</x:v>
      </x:c>
      <x:c r="C369" s="51" t="n">
        <x:v>1</x:v>
      </x:c>
      <x:c r="D369" s="71" t="str"/>
      <x:c r="E369" s="51" t="str">
        <x:v>GK</x:v>
      </x:c>
      <x:c r="F369" s="51" t="str">
        <x:v>GK</x:v>
      </x:c>
      <x:c r="G369" s="51" t="str">
        <x:v>Starter</x:v>
      </x:c>
      <x:c r="H369" s="55" t="n">
        <x:v>1</x:v>
      </x:c>
      <x:c r="I369" s="51" t="str"/>
      <x:c r="J369" s="72" t="str"/>
      <x:c r="K369" s="72" t="str"/>
      <x:c r="L369" s="72" t="str"/>
      <x:c r="M369" s="72" t="str"/>
      <x:c r="N369" s="72" t="str"/>
      <x:c r="O369" s="72" t="str"/>
      <x:c r="P369" s="72" t="str">
        <x:v>Available</x:v>
      </x:c>
      <x:c r="Q369" s="72" t="n">
        <x:v>0</x:v>
      </x:c>
      <x:c r="R369" s="55" t="str">
        <x:f>IF($D369="","",ROUND(MAX(0,MIN(100,0.35*$J369+0.2*$K369+0.15*$L369+0.15*$M369+0.1*$N369+0.05*$O369-IF(OR($P369="Out",$P369="Suspended"),$Q369,IF($P369="Doubtful",$Q369*0.5,IF($P369="Limited",$Q369*0.25,0))))),2))</x:f>
      </x:c>
      <x:c r="S369" s="55" t="n">
        <x:f>IF($D369="",0,ROUND(IF(OR($P369="Out",$P369="Suspended"),$Q369*$H369,IF($P369="Doubtful",$Q369*$H369*0.5,IF($P369="Limited",$Q369*$H369*0.25,0))),2))</x:f>
        <x:v>0</x:v>
      </x:c>
      <x:c r="T369" s="55" t="str"/>
      <x:c r="U369" s="51" t="str"/>
    </x:row>
    <x:row r="370">
      <x:c r="A370" s="51" t="str">
        <x:v>Turkey</x:v>
      </x:c>
      <x:c r="B370" s="51" t="str">
        <x:v>D</x:v>
      </x:c>
      <x:c r="C370" s="51" t="n">
        <x:v>2</x:v>
      </x:c>
      <x:c r="D370" s="71" t="str"/>
      <x:c r="E370" s="51" t="str">
        <x:v>GK</x:v>
      </x:c>
      <x:c r="F370" s="51" t="str">
        <x:v>GK</x:v>
      </x:c>
      <x:c r="G370" s="51" t="str">
        <x:v>Starter</x:v>
      </x:c>
      <x:c r="H370" s="55" t="n">
        <x:v>1</x:v>
      </x:c>
      <x:c r="I370" s="51" t="str"/>
      <x:c r="J370" s="72" t="str"/>
      <x:c r="K370" s="72" t="str"/>
      <x:c r="L370" s="72" t="str"/>
      <x:c r="M370" s="72" t="str"/>
      <x:c r="N370" s="72" t="str"/>
      <x:c r="O370" s="72" t="str"/>
      <x:c r="P370" s="72" t="str">
        <x:v>Available</x:v>
      </x:c>
      <x:c r="Q370" s="72" t="n">
        <x:v>0</x:v>
      </x:c>
      <x:c r="R370" s="55" t="str">
        <x:f>IF($D370="","",ROUND(MAX(0,MIN(100,0.35*$J370+0.2*$K370+0.15*$L370+0.15*$M370+0.1*$N370+0.05*$O370-IF(OR($P370="Out",$P370="Suspended"),$Q370,IF($P370="Doubtful",$Q370*0.5,IF($P370="Limited",$Q370*0.25,0))))),2))</x:f>
      </x:c>
      <x:c r="S370" s="55" t="n">
        <x:f>IF($D370="",0,ROUND(IF(OR($P370="Out",$P370="Suspended"),$Q370*$H370,IF($P370="Doubtful",$Q370*$H370*0.5,IF($P370="Limited",$Q370*$H370*0.25,0))),2))</x:f>
        <x:v>0</x:v>
      </x:c>
      <x:c r="T370" s="55" t="str"/>
      <x:c r="U370" s="51" t="str"/>
    </x:row>
    <x:row r="371">
      <x:c r="A371" s="51" t="str">
        <x:v>Turkey</x:v>
      </x:c>
      <x:c r="B371" s="51" t="str">
        <x:v>D</x:v>
      </x:c>
      <x:c r="C371" s="51" t="n">
        <x:v>3</x:v>
      </x:c>
      <x:c r="D371" s="71" t="str"/>
      <x:c r="E371" s="51" t="str">
        <x:v>GK</x:v>
      </x:c>
      <x:c r="F371" s="51" t="str">
        <x:v>GK</x:v>
      </x:c>
      <x:c r="G371" s="51" t="str">
        <x:v>Starter</x:v>
      </x:c>
      <x:c r="H371" s="55" t="n">
        <x:v>1</x:v>
      </x:c>
      <x:c r="I371" s="51" t="str"/>
      <x:c r="J371" s="72" t="str"/>
      <x:c r="K371" s="72" t="str"/>
      <x:c r="L371" s="72" t="str"/>
      <x:c r="M371" s="72" t="str"/>
      <x:c r="N371" s="72" t="str"/>
      <x:c r="O371" s="72" t="str"/>
      <x:c r="P371" s="72" t="str">
        <x:v>Available</x:v>
      </x:c>
      <x:c r="Q371" s="72" t="n">
        <x:v>0</x:v>
      </x:c>
      <x:c r="R371" s="55" t="str">
        <x:f>IF($D371="","",ROUND(MAX(0,MIN(100,0.35*$J371+0.2*$K371+0.15*$L371+0.15*$M371+0.1*$N371+0.05*$O371-IF(OR($P371="Out",$P371="Suspended"),$Q371,IF($P371="Doubtful",$Q371*0.5,IF($P371="Limited",$Q371*0.25,0))))),2))</x:f>
      </x:c>
      <x:c r="S371" s="55" t="n">
        <x:f>IF($D371="",0,ROUND(IF(OR($P371="Out",$P371="Suspended"),$Q371*$H371,IF($P371="Doubtful",$Q371*$H371*0.5,IF($P371="Limited",$Q371*$H371*0.25,0))),2))</x:f>
        <x:v>0</x:v>
      </x:c>
      <x:c r="T371" s="55" t="str"/>
      <x:c r="U371" s="51" t="str"/>
    </x:row>
    <x:row r="372">
      <x:c r="A372" s="51" t="str">
        <x:v>Turkey</x:v>
      </x:c>
      <x:c r="B372" s="51" t="str">
        <x:v>D</x:v>
      </x:c>
      <x:c r="C372" s="51" t="n">
        <x:v>4</x:v>
      </x:c>
      <x:c r="D372" s="71" t="str"/>
      <x:c r="E372" s="51" t="str">
        <x:v>CB</x:v>
      </x:c>
      <x:c r="F372" s="51" t="str">
        <x:v>Defence</x:v>
      </x:c>
      <x:c r="G372" s="51" t="str">
        <x:v>Starter</x:v>
      </x:c>
      <x:c r="H372" s="55" t="n">
        <x:v>1</x:v>
      </x:c>
      <x:c r="I372" s="51" t="str"/>
      <x:c r="J372" s="72" t="str"/>
      <x:c r="K372" s="72" t="str"/>
      <x:c r="L372" s="72" t="str"/>
      <x:c r="M372" s="72" t="str"/>
      <x:c r="N372" s="72" t="str"/>
      <x:c r="O372" s="72" t="str"/>
      <x:c r="P372" s="72" t="str">
        <x:v>Available</x:v>
      </x:c>
      <x:c r="Q372" s="72" t="n">
        <x:v>0</x:v>
      </x:c>
      <x:c r="R372" s="55" t="str">
        <x:f>IF($D372="","",ROUND(MAX(0,MIN(100,0.35*$J372+0.2*$K372+0.15*$L372+0.15*$M372+0.1*$N372+0.05*$O372-IF(OR($P372="Out",$P372="Suspended"),$Q372,IF($P372="Doubtful",$Q372*0.5,IF($P372="Limited",$Q372*0.25,0))))),2))</x:f>
      </x:c>
      <x:c r="S372" s="55" t="n">
        <x:f>IF($D372="",0,ROUND(IF(OR($P372="Out",$P372="Suspended"),$Q372*$H372,IF($P372="Doubtful",$Q372*$H372*0.5,IF($P372="Limited",$Q372*$H372*0.25,0))),2))</x:f>
        <x:v>0</x:v>
      </x:c>
      <x:c r="T372" s="55" t="str"/>
      <x:c r="U372" s="51" t="str"/>
    </x:row>
    <x:row r="373">
      <x:c r="A373" s="51" t="str">
        <x:v>Turkey</x:v>
      </x:c>
      <x:c r="B373" s="51" t="str">
        <x:v>D</x:v>
      </x:c>
      <x:c r="C373" s="51" t="n">
        <x:v>5</x:v>
      </x:c>
      <x:c r="D373" s="71" t="str"/>
      <x:c r="E373" s="51" t="str">
        <x:v>CB</x:v>
      </x:c>
      <x:c r="F373" s="51" t="str">
        <x:v>Defence</x:v>
      </x:c>
      <x:c r="G373" s="51" t="str">
        <x:v>Starter</x:v>
      </x:c>
      <x:c r="H373" s="55" t="n">
        <x:v>1</x:v>
      </x:c>
      <x:c r="I373" s="51" t="str"/>
      <x:c r="J373" s="72" t="str"/>
      <x:c r="K373" s="72" t="str"/>
      <x:c r="L373" s="72" t="str"/>
      <x:c r="M373" s="72" t="str"/>
      <x:c r="N373" s="72" t="str"/>
      <x:c r="O373" s="72" t="str"/>
      <x:c r="P373" s="72" t="str">
        <x:v>Available</x:v>
      </x:c>
      <x:c r="Q373" s="72" t="n">
        <x:v>0</x:v>
      </x:c>
      <x:c r="R373" s="55" t="str">
        <x:f>IF($D373="","",ROUND(MAX(0,MIN(100,0.35*$J373+0.2*$K373+0.15*$L373+0.15*$M373+0.1*$N373+0.05*$O373-IF(OR($P373="Out",$P373="Suspended"),$Q373,IF($P373="Doubtful",$Q373*0.5,IF($P373="Limited",$Q373*0.25,0))))),2))</x:f>
      </x:c>
      <x:c r="S373" s="55" t="n">
        <x:f>IF($D373="",0,ROUND(IF(OR($P373="Out",$P373="Suspended"),$Q373*$H373,IF($P373="Doubtful",$Q373*$H373*0.5,IF($P373="Limited",$Q373*$H373*0.25,0))),2))</x:f>
        <x:v>0</x:v>
      </x:c>
      <x:c r="T373" s="55" t="str"/>
      <x:c r="U373" s="51" t="str"/>
    </x:row>
    <x:row r="374">
      <x:c r="A374" s="51" t="str">
        <x:v>Turkey</x:v>
      </x:c>
      <x:c r="B374" s="51" t="str">
        <x:v>D</x:v>
      </x:c>
      <x:c r="C374" s="51" t="n">
        <x:v>6</x:v>
      </x:c>
      <x:c r="D374" s="71" t="str"/>
      <x:c r="E374" s="51" t="str">
        <x:v>CB</x:v>
      </x:c>
      <x:c r="F374" s="51" t="str">
        <x:v>Defence</x:v>
      </x:c>
      <x:c r="G374" s="51" t="str">
        <x:v>Starter</x:v>
      </x:c>
      <x:c r="H374" s="55" t="n">
        <x:v>1</x:v>
      </x:c>
      <x:c r="I374" s="51" t="str"/>
      <x:c r="J374" s="72" t="str"/>
      <x:c r="K374" s="72" t="str"/>
      <x:c r="L374" s="72" t="str"/>
      <x:c r="M374" s="72" t="str"/>
      <x:c r="N374" s="72" t="str"/>
      <x:c r="O374" s="72" t="str"/>
      <x:c r="P374" s="72" t="str">
        <x:v>Available</x:v>
      </x:c>
      <x:c r="Q374" s="72" t="n">
        <x:v>0</x:v>
      </x:c>
      <x:c r="R374" s="55" t="str">
        <x:f>IF($D374="","",ROUND(MAX(0,MIN(100,0.35*$J374+0.2*$K374+0.15*$L374+0.15*$M374+0.1*$N374+0.05*$O374-IF(OR($P374="Out",$P374="Suspended"),$Q374,IF($P374="Doubtful",$Q374*0.5,IF($P374="Limited",$Q374*0.25,0))))),2))</x:f>
      </x:c>
      <x:c r="S374" s="55" t="n">
        <x:f>IF($D374="",0,ROUND(IF(OR($P374="Out",$P374="Suspended"),$Q374*$H374,IF($P374="Doubtful",$Q374*$H374*0.5,IF($P374="Limited",$Q374*$H374*0.25,0))),2))</x:f>
        <x:v>0</x:v>
      </x:c>
      <x:c r="T374" s="55" t="str"/>
      <x:c r="U374" s="51" t="str"/>
    </x:row>
    <x:row r="375">
      <x:c r="A375" s="51" t="str">
        <x:v>Turkey</x:v>
      </x:c>
      <x:c r="B375" s="51" t="str">
        <x:v>D</x:v>
      </x:c>
      <x:c r="C375" s="51" t="n">
        <x:v>7</x:v>
      </x:c>
      <x:c r="D375" s="71" t="str"/>
      <x:c r="E375" s="51" t="str">
        <x:v>FB</x:v>
      </x:c>
      <x:c r="F375" s="51" t="str">
        <x:v>Defence</x:v>
      </x:c>
      <x:c r="G375" s="51" t="str">
        <x:v>Starter</x:v>
      </x:c>
      <x:c r="H375" s="55" t="n">
        <x:v>1</x:v>
      </x:c>
      <x:c r="I375" s="51" t="str"/>
      <x:c r="J375" s="72" t="str"/>
      <x:c r="K375" s="72" t="str"/>
      <x:c r="L375" s="72" t="str"/>
      <x:c r="M375" s="72" t="str"/>
      <x:c r="N375" s="72" t="str"/>
      <x:c r="O375" s="72" t="str"/>
      <x:c r="P375" s="72" t="str">
        <x:v>Available</x:v>
      </x:c>
      <x:c r="Q375" s="72" t="n">
        <x:v>0</x:v>
      </x:c>
      <x:c r="R375" s="55" t="str">
        <x:f>IF($D375="","",ROUND(MAX(0,MIN(100,0.35*$J375+0.2*$K375+0.15*$L375+0.15*$M375+0.1*$N375+0.05*$O375-IF(OR($P375="Out",$P375="Suspended"),$Q375,IF($P375="Doubtful",$Q375*0.5,IF($P375="Limited",$Q375*0.25,0))))),2))</x:f>
      </x:c>
      <x:c r="S375" s="55" t="n">
        <x:f>IF($D375="",0,ROUND(IF(OR($P375="Out",$P375="Suspended"),$Q375*$H375,IF($P375="Doubtful",$Q375*$H375*0.5,IF($P375="Limited",$Q375*$H375*0.25,0))),2))</x:f>
        <x:v>0</x:v>
      </x:c>
      <x:c r="T375" s="55" t="str"/>
      <x:c r="U375" s="51" t="str"/>
    </x:row>
    <x:row r="376">
      <x:c r="A376" s="51" t="str">
        <x:v>Turkey</x:v>
      </x:c>
      <x:c r="B376" s="51" t="str">
        <x:v>D</x:v>
      </x:c>
      <x:c r="C376" s="51" t="n">
        <x:v>8</x:v>
      </x:c>
      <x:c r="D376" s="71" t="str"/>
      <x:c r="E376" s="51" t="str">
        <x:v>FB</x:v>
      </x:c>
      <x:c r="F376" s="51" t="str">
        <x:v>Defence</x:v>
      </x:c>
      <x:c r="G376" s="51" t="str">
        <x:v>Starter</x:v>
      </x:c>
      <x:c r="H376" s="55" t="n">
        <x:v>1</x:v>
      </x:c>
      <x:c r="I376" s="51" t="str"/>
      <x:c r="J376" s="72" t="str"/>
      <x:c r="K376" s="72" t="str"/>
      <x:c r="L376" s="72" t="str"/>
      <x:c r="M376" s="72" t="str"/>
      <x:c r="N376" s="72" t="str"/>
      <x:c r="O376" s="72" t="str"/>
      <x:c r="P376" s="72" t="str">
        <x:v>Available</x:v>
      </x:c>
      <x:c r="Q376" s="72" t="n">
        <x:v>0</x:v>
      </x:c>
      <x:c r="R376" s="55" t="str">
        <x:f>IF($D376="","",ROUND(MAX(0,MIN(100,0.35*$J376+0.2*$K376+0.15*$L376+0.15*$M376+0.1*$N376+0.05*$O376-IF(OR($P376="Out",$P376="Suspended"),$Q376,IF($P376="Doubtful",$Q376*0.5,IF($P376="Limited",$Q376*0.25,0))))),2))</x:f>
      </x:c>
      <x:c r="S376" s="55" t="n">
        <x:f>IF($D376="",0,ROUND(IF(OR($P376="Out",$P376="Suspended"),$Q376*$H376,IF($P376="Doubtful",$Q376*$H376*0.5,IF($P376="Limited",$Q376*$H376*0.25,0))),2))</x:f>
        <x:v>0</x:v>
      </x:c>
      <x:c r="T376" s="55" t="str"/>
      <x:c r="U376" s="51" t="str"/>
    </x:row>
    <x:row r="377">
      <x:c r="A377" s="51" t="str">
        <x:v>Turkey</x:v>
      </x:c>
      <x:c r="B377" s="51" t="str">
        <x:v>D</x:v>
      </x:c>
      <x:c r="C377" s="51" t="n">
        <x:v>9</x:v>
      </x:c>
      <x:c r="D377" s="71" t="str"/>
      <x:c r="E377" s="51" t="str">
        <x:v>DM</x:v>
      </x:c>
      <x:c r="F377" s="51" t="str">
        <x:v>Midfield</x:v>
      </x:c>
      <x:c r="G377" s="51" t="str">
        <x:v>Starter</x:v>
      </x:c>
      <x:c r="H377" s="55" t="n">
        <x:v>1</x:v>
      </x:c>
      <x:c r="I377" s="51" t="str"/>
      <x:c r="J377" s="72" t="str"/>
      <x:c r="K377" s="72" t="str"/>
      <x:c r="L377" s="72" t="str"/>
      <x:c r="M377" s="72" t="str"/>
      <x:c r="N377" s="72" t="str"/>
      <x:c r="O377" s="72" t="str"/>
      <x:c r="P377" s="72" t="str">
        <x:v>Available</x:v>
      </x:c>
      <x:c r="Q377" s="72" t="n">
        <x:v>0</x:v>
      </x:c>
      <x:c r="R377" s="55" t="str">
        <x:f>IF($D377="","",ROUND(MAX(0,MIN(100,0.35*$J377+0.2*$K377+0.15*$L377+0.15*$M377+0.1*$N377+0.05*$O377-IF(OR($P377="Out",$P377="Suspended"),$Q377,IF($P377="Doubtful",$Q377*0.5,IF($P377="Limited",$Q377*0.25,0))))),2))</x:f>
      </x:c>
      <x:c r="S377" s="55" t="n">
        <x:f>IF($D377="",0,ROUND(IF(OR($P377="Out",$P377="Suspended"),$Q377*$H377,IF($P377="Doubtful",$Q377*$H377*0.5,IF($P377="Limited",$Q377*$H377*0.25,0))),2))</x:f>
        <x:v>0</x:v>
      </x:c>
      <x:c r="T377" s="55" t="str"/>
      <x:c r="U377" s="51" t="str"/>
    </x:row>
    <x:row r="378">
      <x:c r="A378" s="51" t="str">
        <x:v>Turkey</x:v>
      </x:c>
      <x:c r="B378" s="51" t="str">
        <x:v>D</x:v>
      </x:c>
      <x:c r="C378" s="51" t="n">
        <x:v>10</x:v>
      </x:c>
      <x:c r="D378" s="71" t="str"/>
      <x:c r="E378" s="51" t="str">
        <x:v>DM</x:v>
      </x:c>
      <x:c r="F378" s="51" t="str">
        <x:v>Midfield</x:v>
      </x:c>
      <x:c r="G378" s="51" t="str">
        <x:v>Starter</x:v>
      </x:c>
      <x:c r="H378" s="55" t="n">
        <x:v>1</x:v>
      </x:c>
      <x:c r="I378" s="51" t="str"/>
      <x:c r="J378" s="72" t="str"/>
      <x:c r="K378" s="72" t="str"/>
      <x:c r="L378" s="72" t="str"/>
      <x:c r="M378" s="72" t="str"/>
      <x:c r="N378" s="72" t="str"/>
      <x:c r="O378" s="72" t="str"/>
      <x:c r="P378" s="72" t="str">
        <x:v>Available</x:v>
      </x:c>
      <x:c r="Q378" s="72" t="n">
        <x:v>0</x:v>
      </x:c>
      <x:c r="R378" s="55" t="str">
        <x:f>IF($D378="","",ROUND(MAX(0,MIN(100,0.35*$J378+0.2*$K378+0.15*$L378+0.15*$M378+0.1*$N378+0.05*$O378-IF(OR($P378="Out",$P378="Suspended"),$Q378,IF($P378="Doubtful",$Q378*0.5,IF($P378="Limited",$Q378*0.25,0))))),2))</x:f>
      </x:c>
      <x:c r="S378" s="55" t="n">
        <x:f>IF($D378="",0,ROUND(IF(OR($P378="Out",$P378="Suspended"),$Q378*$H378,IF($P378="Doubtful",$Q378*$H378*0.5,IF($P378="Limited",$Q378*$H378*0.25,0))),2))</x:f>
        <x:v>0</x:v>
      </x:c>
      <x:c r="T378" s="55" t="str"/>
      <x:c r="U378" s="51" t="str"/>
    </x:row>
    <x:row r="379">
      <x:c r="A379" s="51" t="str">
        <x:v>Turkey</x:v>
      </x:c>
      <x:c r="B379" s="51" t="str">
        <x:v>D</x:v>
      </x:c>
      <x:c r="C379" s="51" t="n">
        <x:v>11</x:v>
      </x:c>
      <x:c r="D379" s="71" t="str"/>
      <x:c r="E379" s="51" t="str">
        <x:v>DM</x:v>
      </x:c>
      <x:c r="F379" s="51" t="str">
        <x:v>Midfield</x:v>
      </x:c>
      <x:c r="G379" s="51" t="str">
        <x:v>Starter</x:v>
      </x:c>
      <x:c r="H379" s="55" t="n">
        <x:v>1</x:v>
      </x:c>
      <x:c r="I379" s="51" t="str"/>
      <x:c r="J379" s="72" t="str"/>
      <x:c r="K379" s="72" t="str"/>
      <x:c r="L379" s="72" t="str"/>
      <x:c r="M379" s="72" t="str"/>
      <x:c r="N379" s="72" t="str"/>
      <x:c r="O379" s="72" t="str"/>
      <x:c r="P379" s="72" t="str">
        <x:v>Available</x:v>
      </x:c>
      <x:c r="Q379" s="72" t="n">
        <x:v>0</x:v>
      </x:c>
      <x:c r="R379" s="55" t="str">
        <x:f>IF($D379="","",ROUND(MAX(0,MIN(100,0.35*$J379+0.2*$K379+0.15*$L379+0.15*$M379+0.1*$N379+0.05*$O379-IF(OR($P379="Out",$P379="Suspended"),$Q379,IF($P379="Doubtful",$Q379*0.5,IF($P379="Limited",$Q379*0.25,0))))),2))</x:f>
      </x:c>
      <x:c r="S379" s="55" t="n">
        <x:f>IF($D379="",0,ROUND(IF(OR($P379="Out",$P379="Suspended"),$Q379*$H379,IF($P379="Doubtful",$Q379*$H379*0.5,IF($P379="Limited",$Q379*$H379*0.25,0))),2))</x:f>
        <x:v>0</x:v>
      </x:c>
      <x:c r="T379" s="55" t="str"/>
      <x:c r="U379" s="51" t="str"/>
    </x:row>
    <x:row r="380">
      <x:c r="A380" s="51" t="str">
        <x:v>Turkey</x:v>
      </x:c>
      <x:c r="B380" s="51" t="str">
        <x:v>D</x:v>
      </x:c>
      <x:c r="C380" s="51" t="n">
        <x:v>12</x:v>
      </x:c>
      <x:c r="D380" s="71" t="str"/>
      <x:c r="E380" s="51" t="str">
        <x:v>CM</x:v>
      </x:c>
      <x:c r="F380" s="51" t="str">
        <x:v>Midfield</x:v>
      </x:c>
      <x:c r="G380" s="51" t="str">
        <x:v>Rotation</x:v>
      </x:c>
      <x:c r="H380" s="55" t="n">
        <x:v>0.35</x:v>
      </x:c>
      <x:c r="I380" s="51" t="str"/>
      <x:c r="J380" s="72" t="str"/>
      <x:c r="K380" s="72" t="str"/>
      <x:c r="L380" s="72" t="str"/>
      <x:c r="M380" s="72" t="str"/>
      <x:c r="N380" s="72" t="str"/>
      <x:c r="O380" s="72" t="str"/>
      <x:c r="P380" s="72" t="str">
        <x:v>Available</x:v>
      </x:c>
      <x:c r="Q380" s="72" t="n">
        <x:v>0</x:v>
      </x:c>
      <x:c r="R380" s="55" t="str">
        <x:f>IF($D380="","",ROUND(MAX(0,MIN(100,0.35*$J380+0.2*$K380+0.15*$L380+0.15*$M380+0.1*$N380+0.05*$O380-IF(OR($P380="Out",$P380="Suspended"),$Q380,IF($P380="Doubtful",$Q380*0.5,IF($P380="Limited",$Q380*0.25,0))))),2))</x:f>
      </x:c>
      <x:c r="S380" s="55" t="n">
        <x:f>IF($D380="",0,ROUND(IF(OR($P380="Out",$P380="Suspended"),$Q380*$H380,IF($P380="Doubtful",$Q380*$H380*0.5,IF($P380="Limited",$Q380*$H380*0.25,0))),2))</x:f>
        <x:v>0</x:v>
      </x:c>
      <x:c r="T380" s="55" t="str"/>
      <x:c r="U380" s="51" t="str"/>
    </x:row>
    <x:row r="381">
      <x:c r="A381" s="51" t="str">
        <x:v>Turkey</x:v>
      </x:c>
      <x:c r="B381" s="51" t="str">
        <x:v>D</x:v>
      </x:c>
      <x:c r="C381" s="51" t="n">
        <x:v>13</x:v>
      </x:c>
      <x:c r="D381" s="71" t="str"/>
      <x:c r="E381" s="51" t="str">
        <x:v>CM</x:v>
      </x:c>
      <x:c r="F381" s="51" t="str">
        <x:v>Midfield</x:v>
      </x:c>
      <x:c r="G381" s="51" t="str">
        <x:v>Rotation</x:v>
      </x:c>
      <x:c r="H381" s="55" t="n">
        <x:v>0.35</x:v>
      </x:c>
      <x:c r="I381" s="51" t="str"/>
      <x:c r="J381" s="72" t="str"/>
      <x:c r="K381" s="72" t="str"/>
      <x:c r="L381" s="72" t="str"/>
      <x:c r="M381" s="72" t="str"/>
      <x:c r="N381" s="72" t="str"/>
      <x:c r="O381" s="72" t="str"/>
      <x:c r="P381" s="72" t="str">
        <x:v>Available</x:v>
      </x:c>
      <x:c r="Q381" s="72" t="n">
        <x:v>0</x:v>
      </x:c>
      <x:c r="R381" s="55" t="str">
        <x:f>IF($D381="","",ROUND(MAX(0,MIN(100,0.35*$J381+0.2*$K381+0.15*$L381+0.15*$M381+0.1*$N381+0.05*$O381-IF(OR($P381="Out",$P381="Suspended"),$Q381,IF($P381="Doubtful",$Q381*0.5,IF($P381="Limited",$Q381*0.25,0))))),2))</x:f>
      </x:c>
      <x:c r="S381" s="55" t="n">
        <x:f>IF($D381="",0,ROUND(IF(OR($P381="Out",$P381="Suspended"),$Q381*$H381,IF($P381="Doubtful",$Q381*$H381*0.5,IF($P381="Limited",$Q381*$H381*0.25,0))),2))</x:f>
        <x:v>0</x:v>
      </x:c>
      <x:c r="T381" s="55" t="str"/>
      <x:c r="U381" s="51" t="str"/>
    </x:row>
    <x:row r="382">
      <x:c r="A382" s="51" t="str">
        <x:v>Turkey</x:v>
      </x:c>
      <x:c r="B382" s="51" t="str">
        <x:v>D</x:v>
      </x:c>
      <x:c r="C382" s="51" t="n">
        <x:v>14</x:v>
      </x:c>
      <x:c r="D382" s="71" t="str"/>
      <x:c r="E382" s="51" t="str">
        <x:v>CM</x:v>
      </x:c>
      <x:c r="F382" s="51" t="str">
        <x:v>Midfield</x:v>
      </x:c>
      <x:c r="G382" s="51" t="str">
        <x:v>Rotation</x:v>
      </x:c>
      <x:c r="H382" s="55" t="n">
        <x:v>0.35</x:v>
      </x:c>
      <x:c r="I382" s="51" t="str"/>
      <x:c r="J382" s="72" t="str"/>
      <x:c r="K382" s="72" t="str"/>
      <x:c r="L382" s="72" t="str"/>
      <x:c r="M382" s="72" t="str"/>
      <x:c r="N382" s="72" t="str"/>
      <x:c r="O382" s="72" t="str"/>
      <x:c r="P382" s="72" t="str">
        <x:v>Available</x:v>
      </x:c>
      <x:c r="Q382" s="72" t="n">
        <x:v>0</x:v>
      </x:c>
      <x:c r="R382" s="55" t="str">
        <x:f>IF($D382="","",ROUND(MAX(0,MIN(100,0.35*$J382+0.2*$K382+0.15*$L382+0.15*$M382+0.1*$N382+0.05*$O382-IF(OR($P382="Out",$P382="Suspended"),$Q382,IF($P382="Doubtful",$Q382*0.5,IF($P382="Limited",$Q382*0.25,0))))),2))</x:f>
      </x:c>
      <x:c r="S382" s="55" t="n">
        <x:f>IF($D382="",0,ROUND(IF(OR($P382="Out",$P382="Suspended"),$Q382*$H382,IF($P382="Doubtful",$Q382*$H382*0.5,IF($P382="Limited",$Q382*$H382*0.25,0))),2))</x:f>
        <x:v>0</x:v>
      </x:c>
      <x:c r="T382" s="55" t="str"/>
      <x:c r="U382" s="51" t="str"/>
    </x:row>
    <x:row r="383">
      <x:c r="A383" s="51" t="str">
        <x:v>Turkey</x:v>
      </x:c>
      <x:c r="B383" s="51" t="str">
        <x:v>D</x:v>
      </x:c>
      <x:c r="C383" s="51" t="n">
        <x:v>15</x:v>
      </x:c>
      <x:c r="D383" s="71" t="str"/>
      <x:c r="E383" s="51" t="str">
        <x:v>CM</x:v>
      </x:c>
      <x:c r="F383" s="51" t="str">
        <x:v>Midfield</x:v>
      </x:c>
      <x:c r="G383" s="51" t="str">
        <x:v>Rotation</x:v>
      </x:c>
      <x:c r="H383" s="55" t="n">
        <x:v>0.35</x:v>
      </x:c>
      <x:c r="I383" s="51" t="str"/>
      <x:c r="J383" s="72" t="str"/>
      <x:c r="K383" s="72" t="str"/>
      <x:c r="L383" s="72" t="str"/>
      <x:c r="M383" s="72" t="str"/>
      <x:c r="N383" s="72" t="str"/>
      <x:c r="O383" s="72" t="str"/>
      <x:c r="P383" s="72" t="str">
        <x:v>Available</x:v>
      </x:c>
      <x:c r="Q383" s="72" t="n">
        <x:v>0</x:v>
      </x:c>
      <x:c r="R383" s="55" t="str">
        <x:f>IF($D383="","",ROUND(MAX(0,MIN(100,0.35*$J383+0.2*$K383+0.15*$L383+0.15*$M383+0.1*$N383+0.05*$O383-IF(OR($P383="Out",$P383="Suspended"),$Q383,IF($P383="Doubtful",$Q383*0.5,IF($P383="Limited",$Q383*0.25,0))))),2))</x:f>
      </x:c>
      <x:c r="S383" s="55" t="n">
        <x:f>IF($D383="",0,ROUND(IF(OR($P383="Out",$P383="Suspended"),$Q383*$H383,IF($P383="Doubtful",$Q383*$H383*0.5,IF($P383="Limited",$Q383*$H383*0.25,0))),2))</x:f>
        <x:v>0</x:v>
      </x:c>
      <x:c r="T383" s="55" t="str"/>
      <x:c r="U383" s="51" t="str"/>
    </x:row>
    <x:row r="384">
      <x:c r="A384" s="51" t="str">
        <x:v>Turkey</x:v>
      </x:c>
      <x:c r="B384" s="51" t="str">
        <x:v>D</x:v>
      </x:c>
      <x:c r="C384" s="51" t="n">
        <x:v>16</x:v>
      </x:c>
      <x:c r="D384" s="71" t="str"/>
      <x:c r="E384" s="51" t="str">
        <x:v>AM</x:v>
      </x:c>
      <x:c r="F384" s="51" t="str">
        <x:v>Attack</x:v>
      </x:c>
      <x:c r="G384" s="51" t="str">
        <x:v>Rotation</x:v>
      </x:c>
      <x:c r="H384" s="55" t="n">
        <x:v>0.35</x:v>
      </x:c>
      <x:c r="I384" s="51" t="str"/>
      <x:c r="J384" s="72" t="str"/>
      <x:c r="K384" s="72" t="str"/>
      <x:c r="L384" s="72" t="str"/>
      <x:c r="M384" s="72" t="str"/>
      <x:c r="N384" s="72" t="str"/>
      <x:c r="O384" s="72" t="str"/>
      <x:c r="P384" s="72" t="str">
        <x:v>Available</x:v>
      </x:c>
      <x:c r="Q384" s="72" t="n">
        <x:v>0</x:v>
      </x:c>
      <x:c r="R384" s="55" t="str">
        <x:f>IF($D384="","",ROUND(MAX(0,MIN(100,0.35*$J384+0.2*$K384+0.15*$L384+0.15*$M384+0.1*$N384+0.05*$O384-IF(OR($P384="Out",$P384="Suspended"),$Q384,IF($P384="Doubtful",$Q384*0.5,IF($P384="Limited",$Q384*0.25,0))))),2))</x:f>
      </x:c>
      <x:c r="S384" s="55" t="n">
        <x:f>IF($D384="",0,ROUND(IF(OR($P384="Out",$P384="Suspended"),$Q384*$H384,IF($P384="Doubtful",$Q384*$H384*0.5,IF($P384="Limited",$Q384*$H384*0.25,0))),2))</x:f>
        <x:v>0</x:v>
      </x:c>
      <x:c r="T384" s="55" t="str"/>
      <x:c r="U384" s="51" t="str"/>
    </x:row>
    <x:row r="385">
      <x:c r="A385" s="51" t="str">
        <x:v>Turkey</x:v>
      </x:c>
      <x:c r="B385" s="51" t="str">
        <x:v>D</x:v>
      </x:c>
      <x:c r="C385" s="51" t="n">
        <x:v>17</x:v>
      </x:c>
      <x:c r="D385" s="71" t="str"/>
      <x:c r="E385" s="51" t="str">
        <x:v>AM</x:v>
      </x:c>
      <x:c r="F385" s="51" t="str">
        <x:v>Attack</x:v>
      </x:c>
      <x:c r="G385" s="51" t="str">
        <x:v>Rotation</x:v>
      </x:c>
      <x:c r="H385" s="55" t="n">
        <x:v>0.35</x:v>
      </x:c>
      <x:c r="I385" s="51" t="str"/>
      <x:c r="J385" s="72" t="str"/>
      <x:c r="K385" s="72" t="str"/>
      <x:c r="L385" s="72" t="str"/>
      <x:c r="M385" s="72" t="str"/>
      <x:c r="N385" s="72" t="str"/>
      <x:c r="O385" s="72" t="str"/>
      <x:c r="P385" s="72" t="str">
        <x:v>Available</x:v>
      </x:c>
      <x:c r="Q385" s="72" t="n">
        <x:v>0</x:v>
      </x:c>
      <x:c r="R385" s="55" t="str">
        <x:f>IF($D385="","",ROUND(MAX(0,MIN(100,0.35*$J385+0.2*$K385+0.15*$L385+0.15*$M385+0.1*$N385+0.05*$O385-IF(OR($P385="Out",$P385="Suspended"),$Q385,IF($P385="Doubtful",$Q385*0.5,IF($P385="Limited",$Q385*0.25,0))))),2))</x:f>
      </x:c>
      <x:c r="S385" s="55" t="n">
        <x:f>IF($D385="",0,ROUND(IF(OR($P385="Out",$P385="Suspended"),$Q385*$H385,IF($P385="Doubtful",$Q385*$H385*0.5,IF($P385="Limited",$Q385*$H385*0.25,0))),2))</x:f>
        <x:v>0</x:v>
      </x:c>
      <x:c r="T385" s="55" t="str"/>
      <x:c r="U385" s="51" t="str"/>
    </x:row>
    <x:row r="386">
      <x:c r="A386" s="51" t="str">
        <x:v>Turkey</x:v>
      </x:c>
      <x:c r="B386" s="51" t="str">
        <x:v>D</x:v>
      </x:c>
      <x:c r="C386" s="51" t="n">
        <x:v>18</x:v>
      </x:c>
      <x:c r="D386" s="71" t="str"/>
      <x:c r="E386" s="51" t="str">
        <x:v>AM</x:v>
      </x:c>
      <x:c r="F386" s="51" t="str">
        <x:v>Attack</x:v>
      </x:c>
      <x:c r="G386" s="51" t="str">
        <x:v>Rotation</x:v>
      </x:c>
      <x:c r="H386" s="55" t="n">
        <x:v>0.35</x:v>
      </x:c>
      <x:c r="I386" s="51" t="str"/>
      <x:c r="J386" s="72" t="str"/>
      <x:c r="K386" s="72" t="str"/>
      <x:c r="L386" s="72" t="str"/>
      <x:c r="M386" s="72" t="str"/>
      <x:c r="N386" s="72" t="str"/>
      <x:c r="O386" s="72" t="str"/>
      <x:c r="P386" s="72" t="str">
        <x:v>Available</x:v>
      </x:c>
      <x:c r="Q386" s="72" t="n">
        <x:v>0</x:v>
      </x:c>
      <x:c r="R386" s="55" t="str">
        <x:f>IF($D386="","",ROUND(MAX(0,MIN(100,0.35*$J386+0.2*$K386+0.15*$L386+0.15*$M386+0.1*$N386+0.05*$O386-IF(OR($P386="Out",$P386="Suspended"),$Q386,IF($P386="Doubtful",$Q386*0.5,IF($P386="Limited",$Q386*0.25,0))))),2))</x:f>
      </x:c>
      <x:c r="S386" s="55" t="n">
        <x:f>IF($D386="",0,ROUND(IF(OR($P386="Out",$P386="Suspended"),$Q386*$H386,IF($P386="Doubtful",$Q386*$H386*0.5,IF($P386="Limited",$Q386*$H386*0.25,0))),2))</x:f>
        <x:v>0</x:v>
      </x:c>
      <x:c r="T386" s="55" t="str"/>
      <x:c r="U386" s="51" t="str"/>
    </x:row>
    <x:row r="387">
      <x:c r="A387" s="51" t="str">
        <x:v>Turkey</x:v>
      </x:c>
      <x:c r="B387" s="51" t="str">
        <x:v>D</x:v>
      </x:c>
      <x:c r="C387" s="51" t="n">
        <x:v>19</x:v>
      </x:c>
      <x:c r="D387" s="71" t="str"/>
      <x:c r="E387" s="51" t="str">
        <x:v>AM</x:v>
      </x:c>
      <x:c r="F387" s="51" t="str">
        <x:v>Attack</x:v>
      </x:c>
      <x:c r="G387" s="51" t="str">
        <x:v>Rotation</x:v>
      </x:c>
      <x:c r="H387" s="55" t="n">
        <x:v>0.35</x:v>
      </x:c>
      <x:c r="I387" s="51" t="str"/>
      <x:c r="J387" s="72" t="str"/>
      <x:c r="K387" s="72" t="str"/>
      <x:c r="L387" s="72" t="str"/>
      <x:c r="M387" s="72" t="str"/>
      <x:c r="N387" s="72" t="str"/>
      <x:c r="O387" s="72" t="str"/>
      <x:c r="P387" s="72" t="str">
        <x:v>Available</x:v>
      </x:c>
      <x:c r="Q387" s="72" t="n">
        <x:v>0</x:v>
      </x:c>
      <x:c r="R387" s="55" t="str">
        <x:f>IF($D387="","",ROUND(MAX(0,MIN(100,0.35*$J387+0.2*$K387+0.15*$L387+0.15*$M387+0.1*$N387+0.05*$O387-IF(OR($P387="Out",$P387="Suspended"),$Q387,IF($P387="Doubtful",$Q387*0.5,IF($P387="Limited",$Q387*0.25,0))))),2))</x:f>
      </x:c>
      <x:c r="S387" s="55" t="n">
        <x:f>IF($D387="",0,ROUND(IF(OR($P387="Out",$P387="Suspended"),$Q387*$H387,IF($P387="Doubtful",$Q387*$H387*0.5,IF($P387="Limited",$Q387*$H387*0.25,0))),2))</x:f>
        <x:v>0</x:v>
      </x:c>
      <x:c r="T387" s="55" t="str"/>
      <x:c r="U387" s="51" t="str"/>
    </x:row>
    <x:row r="388">
      <x:c r="A388" s="51" t="str">
        <x:v>Turkey</x:v>
      </x:c>
      <x:c r="B388" s="51" t="str">
        <x:v>D</x:v>
      </x:c>
      <x:c r="C388" s="51" t="n">
        <x:v>20</x:v>
      </x:c>
      <x:c r="D388" s="71" t="str"/>
      <x:c r="E388" s="51" t="str">
        <x:v>Winger</x:v>
      </x:c>
      <x:c r="F388" s="51" t="str">
        <x:v>Attack</x:v>
      </x:c>
      <x:c r="G388" s="51" t="str">
        <x:v>Rotation</x:v>
      </x:c>
      <x:c r="H388" s="55" t="n">
        <x:v>0.35</x:v>
      </x:c>
      <x:c r="I388" s="51" t="str"/>
      <x:c r="J388" s="72" t="str"/>
      <x:c r="K388" s="72" t="str"/>
      <x:c r="L388" s="72" t="str"/>
      <x:c r="M388" s="72" t="str"/>
      <x:c r="N388" s="72" t="str"/>
      <x:c r="O388" s="72" t="str"/>
      <x:c r="P388" s="72" t="str">
        <x:v>Available</x:v>
      </x:c>
      <x:c r="Q388" s="72" t="n">
        <x:v>0</x:v>
      </x:c>
      <x:c r="R388" s="55" t="str">
        <x:f>IF($D388="","",ROUND(MAX(0,MIN(100,0.35*$J388+0.2*$K388+0.15*$L388+0.15*$M388+0.1*$N388+0.05*$O388-IF(OR($P388="Out",$P388="Suspended"),$Q388,IF($P388="Doubtful",$Q388*0.5,IF($P388="Limited",$Q388*0.25,0))))),2))</x:f>
      </x:c>
      <x:c r="S388" s="55" t="n">
        <x:f>IF($D388="",0,ROUND(IF(OR($P388="Out",$P388="Suspended"),$Q388*$H388,IF($P388="Doubtful",$Q388*$H388*0.5,IF($P388="Limited",$Q388*$H388*0.25,0))),2))</x:f>
        <x:v>0</x:v>
      </x:c>
      <x:c r="T388" s="55" t="str"/>
      <x:c r="U388" s="51" t="str"/>
    </x:row>
    <x:row r="389">
      <x:c r="A389" s="51" t="str">
        <x:v>Turkey</x:v>
      </x:c>
      <x:c r="B389" s="51" t="str">
        <x:v>D</x:v>
      </x:c>
      <x:c r="C389" s="51" t="n">
        <x:v>21</x:v>
      </x:c>
      <x:c r="D389" s="71" t="str"/>
      <x:c r="E389" s="51" t="str">
        <x:v>Winger</x:v>
      </x:c>
      <x:c r="F389" s="51" t="str">
        <x:v>Attack</x:v>
      </x:c>
      <x:c r="G389" s="51" t="str">
        <x:v>Depth</x:v>
      </x:c>
      <x:c r="H389" s="55" t="n">
        <x:v>0.1</x:v>
      </x:c>
      <x:c r="I389" s="51" t="str"/>
      <x:c r="J389" s="72" t="str"/>
      <x:c r="K389" s="72" t="str"/>
      <x:c r="L389" s="72" t="str"/>
      <x:c r="M389" s="72" t="str"/>
      <x:c r="N389" s="72" t="str"/>
      <x:c r="O389" s="72" t="str"/>
      <x:c r="P389" s="72" t="str">
        <x:v>Available</x:v>
      </x:c>
      <x:c r="Q389" s="72" t="n">
        <x:v>0</x:v>
      </x:c>
      <x:c r="R389" s="55" t="str">
        <x:f>IF($D389="","",ROUND(MAX(0,MIN(100,0.35*$J389+0.2*$K389+0.15*$L389+0.15*$M389+0.1*$N389+0.05*$O389-IF(OR($P389="Out",$P389="Suspended"),$Q389,IF($P389="Doubtful",$Q389*0.5,IF($P389="Limited",$Q389*0.25,0))))),2))</x:f>
      </x:c>
      <x:c r="S389" s="55" t="n">
        <x:f>IF($D389="",0,ROUND(IF(OR($P389="Out",$P389="Suspended"),$Q389*$H389,IF($P389="Doubtful",$Q389*$H389*0.5,IF($P389="Limited",$Q389*$H389*0.25,0))),2))</x:f>
        <x:v>0</x:v>
      </x:c>
      <x:c r="T389" s="55" t="str"/>
      <x:c r="U389" s="51" t="str"/>
    </x:row>
    <x:row r="390">
      <x:c r="A390" s="51" t="str">
        <x:v>Turkey</x:v>
      </x:c>
      <x:c r="B390" s="51" t="str">
        <x:v>D</x:v>
      </x:c>
      <x:c r="C390" s="51" t="n">
        <x:v>22</x:v>
      </x:c>
      <x:c r="D390" s="71" t="str"/>
      <x:c r="E390" s="51" t="str">
        <x:v>Winger</x:v>
      </x:c>
      <x:c r="F390" s="51" t="str">
        <x:v>Attack</x:v>
      </x:c>
      <x:c r="G390" s="51" t="str">
        <x:v>Depth</x:v>
      </x:c>
      <x:c r="H390" s="55" t="n">
        <x:v>0.1</x:v>
      </x:c>
      <x:c r="I390" s="51" t="str"/>
      <x:c r="J390" s="72" t="str"/>
      <x:c r="K390" s="72" t="str"/>
      <x:c r="L390" s="72" t="str"/>
      <x:c r="M390" s="72" t="str"/>
      <x:c r="N390" s="72" t="str"/>
      <x:c r="O390" s="72" t="str"/>
      <x:c r="P390" s="72" t="str">
        <x:v>Available</x:v>
      </x:c>
      <x:c r="Q390" s="72" t="n">
        <x:v>0</x:v>
      </x:c>
      <x:c r="R390" s="55" t="str">
        <x:f>IF($D390="","",ROUND(MAX(0,MIN(100,0.35*$J390+0.2*$K390+0.15*$L390+0.15*$M390+0.1*$N390+0.05*$O390-IF(OR($P390="Out",$P390="Suspended"),$Q390,IF($P390="Doubtful",$Q390*0.5,IF($P390="Limited",$Q390*0.25,0))))),2))</x:f>
      </x:c>
      <x:c r="S390" s="55" t="n">
        <x:f>IF($D390="",0,ROUND(IF(OR($P390="Out",$P390="Suspended"),$Q390*$H390,IF($P390="Doubtful",$Q390*$H390*0.5,IF($P390="Limited",$Q390*$H390*0.25,0))),2))</x:f>
        <x:v>0</x:v>
      </x:c>
      <x:c r="T390" s="55" t="str"/>
      <x:c r="U390" s="51" t="str"/>
    </x:row>
    <x:row r="391">
      <x:c r="A391" s="51" t="str">
        <x:v>Turkey</x:v>
      </x:c>
      <x:c r="B391" s="51" t="str">
        <x:v>D</x:v>
      </x:c>
      <x:c r="C391" s="51" t="n">
        <x:v>23</x:v>
      </x:c>
      <x:c r="D391" s="71" t="str"/>
      <x:c r="E391" s="51" t="str">
        <x:v>Winger</x:v>
      </x:c>
      <x:c r="F391" s="51" t="str">
        <x:v>Attack</x:v>
      </x:c>
      <x:c r="G391" s="51" t="str">
        <x:v>Depth</x:v>
      </x:c>
      <x:c r="H391" s="55" t="n">
        <x:v>0.1</x:v>
      </x:c>
      <x:c r="I391" s="51" t="str"/>
      <x:c r="J391" s="72" t="str"/>
      <x:c r="K391" s="72" t="str"/>
      <x:c r="L391" s="72" t="str"/>
      <x:c r="M391" s="72" t="str"/>
      <x:c r="N391" s="72" t="str"/>
      <x:c r="O391" s="72" t="str"/>
      <x:c r="P391" s="72" t="str">
        <x:v>Available</x:v>
      </x:c>
      <x:c r="Q391" s="72" t="n">
        <x:v>0</x:v>
      </x:c>
      <x:c r="R391" s="55" t="str">
        <x:f>IF($D391="","",ROUND(MAX(0,MIN(100,0.35*$J391+0.2*$K391+0.15*$L391+0.15*$M391+0.1*$N391+0.05*$O391-IF(OR($P391="Out",$P391="Suspended"),$Q391,IF($P391="Doubtful",$Q391*0.5,IF($P391="Limited",$Q391*0.25,0))))),2))</x:f>
      </x:c>
      <x:c r="S391" s="55" t="n">
        <x:f>IF($D391="",0,ROUND(IF(OR($P391="Out",$P391="Suspended"),$Q391*$H391,IF($P391="Doubtful",$Q391*$H391*0.5,IF($P391="Limited",$Q391*$H391*0.25,0))),2))</x:f>
        <x:v>0</x:v>
      </x:c>
      <x:c r="T391" s="55" t="str"/>
      <x:c r="U391" s="51" t="str"/>
    </x:row>
    <x:row r="392">
      <x:c r="A392" s="51" t="str">
        <x:v>Turkey</x:v>
      </x:c>
      <x:c r="B392" s="51" t="str">
        <x:v>D</x:v>
      </x:c>
      <x:c r="C392" s="51" t="n">
        <x:v>24</x:v>
      </x:c>
      <x:c r="D392" s="71" t="str"/>
      <x:c r="E392" s="51" t="str">
        <x:v>ST</x:v>
      </x:c>
      <x:c r="F392" s="51" t="str">
        <x:v>Attack</x:v>
      </x:c>
      <x:c r="G392" s="51" t="str">
        <x:v>Depth</x:v>
      </x:c>
      <x:c r="H392" s="55" t="n">
        <x:v>0.1</x:v>
      </x:c>
      <x:c r="I392" s="51" t="str"/>
      <x:c r="J392" s="72" t="str"/>
      <x:c r="K392" s="72" t="str"/>
      <x:c r="L392" s="72" t="str"/>
      <x:c r="M392" s="72" t="str"/>
      <x:c r="N392" s="72" t="str"/>
      <x:c r="O392" s="72" t="str"/>
      <x:c r="P392" s="72" t="str">
        <x:v>Available</x:v>
      </x:c>
      <x:c r="Q392" s="72" t="n">
        <x:v>0</x:v>
      </x:c>
      <x:c r="R392" s="55" t="str">
        <x:f>IF($D392="","",ROUND(MAX(0,MIN(100,0.35*$J392+0.2*$K392+0.15*$L392+0.15*$M392+0.1*$N392+0.05*$O392-IF(OR($P392="Out",$P392="Suspended"),$Q392,IF($P392="Doubtful",$Q392*0.5,IF($P392="Limited",$Q392*0.25,0))))),2))</x:f>
      </x:c>
      <x:c r="S392" s="55" t="n">
        <x:f>IF($D392="",0,ROUND(IF(OR($P392="Out",$P392="Suspended"),$Q392*$H392,IF($P392="Doubtful",$Q392*$H392*0.5,IF($P392="Limited",$Q392*$H392*0.25,0))),2))</x:f>
        <x:v>0</x:v>
      </x:c>
      <x:c r="T392" s="55" t="str"/>
      <x:c r="U392" s="51" t="str"/>
    </x:row>
    <x:row r="393">
      <x:c r="A393" s="51" t="str">
        <x:v>Turkey</x:v>
      </x:c>
      <x:c r="B393" s="51" t="str">
        <x:v>D</x:v>
      </x:c>
      <x:c r="C393" s="51" t="n">
        <x:v>25</x:v>
      </x:c>
      <x:c r="D393" s="71" t="str"/>
      <x:c r="E393" s="51" t="str">
        <x:v>ST</x:v>
      </x:c>
      <x:c r="F393" s="51" t="str">
        <x:v>Attack</x:v>
      </x:c>
      <x:c r="G393" s="51" t="str">
        <x:v>Depth</x:v>
      </x:c>
      <x:c r="H393" s="55" t="n">
        <x:v>0.1</x:v>
      </x:c>
      <x:c r="I393" s="51" t="str"/>
      <x:c r="J393" s="72" t="str"/>
      <x:c r="K393" s="72" t="str"/>
      <x:c r="L393" s="72" t="str"/>
      <x:c r="M393" s="72" t="str"/>
      <x:c r="N393" s="72" t="str"/>
      <x:c r="O393" s="72" t="str"/>
      <x:c r="P393" s="72" t="str">
        <x:v>Available</x:v>
      </x:c>
      <x:c r="Q393" s="72" t="n">
        <x:v>0</x:v>
      </x:c>
      <x:c r="R393" s="55" t="str">
        <x:f>IF($D393="","",ROUND(MAX(0,MIN(100,0.35*$J393+0.2*$K393+0.15*$L393+0.15*$M393+0.1*$N393+0.05*$O393-IF(OR($P393="Out",$P393="Suspended"),$Q393,IF($P393="Doubtful",$Q393*0.5,IF($P393="Limited",$Q393*0.25,0))))),2))</x:f>
      </x:c>
      <x:c r="S393" s="55" t="n">
        <x:f>IF($D393="",0,ROUND(IF(OR($P393="Out",$P393="Suspended"),$Q393*$H393,IF($P393="Doubtful",$Q393*$H393*0.5,IF($P393="Limited",$Q393*$H393*0.25,0))),2))</x:f>
        <x:v>0</x:v>
      </x:c>
      <x:c r="T393" s="55" t="str"/>
      <x:c r="U393" s="51" t="str"/>
    </x:row>
    <x:row r="394">
      <x:c r="A394" s="51" t="str">
        <x:v>Turkey</x:v>
      </x:c>
      <x:c r="B394" s="51" t="str">
        <x:v>D</x:v>
      </x:c>
      <x:c r="C394" s="51" t="n">
        <x:v>26</x:v>
      </x:c>
      <x:c r="D394" s="71" t="str"/>
      <x:c r="E394" s="51" t="str">
        <x:v>ST</x:v>
      </x:c>
      <x:c r="F394" s="51" t="str">
        <x:v>Attack</x:v>
      </x:c>
      <x:c r="G394" s="51" t="str">
        <x:v>Depth</x:v>
      </x:c>
      <x:c r="H394" s="55" t="n">
        <x:v>0.1</x:v>
      </x:c>
      <x:c r="I394" s="51" t="str"/>
      <x:c r="J394" s="72" t="str"/>
      <x:c r="K394" s="72" t="str"/>
      <x:c r="L394" s="72" t="str"/>
      <x:c r="M394" s="72" t="str"/>
      <x:c r="N394" s="72" t="str"/>
      <x:c r="O394" s="72" t="str"/>
      <x:c r="P394" s="72" t="str">
        <x:v>Available</x:v>
      </x:c>
      <x:c r="Q394" s="72" t="n">
        <x:v>0</x:v>
      </x:c>
      <x:c r="R394" s="55" t="str">
        <x:f>IF($D394="","",ROUND(MAX(0,MIN(100,0.35*$J394+0.2*$K394+0.15*$L394+0.15*$M394+0.1*$N394+0.05*$O394-IF(OR($P394="Out",$P394="Suspended"),$Q394,IF($P394="Doubtful",$Q394*0.5,IF($P394="Limited",$Q394*0.25,0))))),2))</x:f>
      </x:c>
      <x:c r="S394" s="55" t="n">
        <x:f>IF($D394="",0,ROUND(IF(OR($P394="Out",$P394="Suspended"),$Q394*$H394,IF($P394="Doubtful",$Q394*$H394*0.5,IF($P394="Limited",$Q394*$H394*0.25,0))),2))</x:f>
        <x:v>0</x:v>
      </x:c>
      <x:c r="T394" s="55" t="str"/>
      <x:c r="U394" s="51" t="str"/>
    </x:row>
    <x:row r="395">
      <x:c r="A395" s="51" t="str">
        <x:v>USA</x:v>
      </x:c>
      <x:c r="B395" s="51" t="str">
        <x:v>D</x:v>
      </x:c>
      <x:c r="C395" s="51" t="n">
        <x:v>1</x:v>
      </x:c>
      <x:c r="D395" s="71" t="str"/>
      <x:c r="E395" s="51" t="str">
        <x:v>GK</x:v>
      </x:c>
      <x:c r="F395" s="51" t="str">
        <x:v>GK</x:v>
      </x:c>
      <x:c r="G395" s="51" t="str">
        <x:v>Starter</x:v>
      </x:c>
      <x:c r="H395" s="55" t="n">
        <x:v>1</x:v>
      </x:c>
      <x:c r="I395" s="51" t="str"/>
      <x:c r="J395" s="72" t="str"/>
      <x:c r="K395" s="72" t="str"/>
      <x:c r="L395" s="72" t="str"/>
      <x:c r="M395" s="72" t="str"/>
      <x:c r="N395" s="72" t="str"/>
      <x:c r="O395" s="72" t="str"/>
      <x:c r="P395" s="72" t="str">
        <x:v>Available</x:v>
      </x:c>
      <x:c r="Q395" s="72" t="n">
        <x:v>0</x:v>
      </x:c>
      <x:c r="R395" s="55" t="str">
        <x:f>IF($D395="","",ROUND(MAX(0,MIN(100,0.35*$J395+0.2*$K395+0.15*$L395+0.15*$M395+0.1*$N395+0.05*$O395-IF(OR($P395="Out",$P395="Suspended"),$Q395,IF($P395="Doubtful",$Q395*0.5,IF($P395="Limited",$Q395*0.25,0))))),2))</x:f>
      </x:c>
      <x:c r="S395" s="55" t="n">
        <x:f>IF($D395="",0,ROUND(IF(OR($P395="Out",$P395="Suspended"),$Q395*$H395,IF($P395="Doubtful",$Q395*$H395*0.5,IF($P395="Limited",$Q395*$H395*0.25,0))),2))</x:f>
        <x:v>0</x:v>
      </x:c>
      <x:c r="T395" s="55" t="str"/>
      <x:c r="U395" s="51" t="str"/>
    </x:row>
    <x:row r="396">
      <x:c r="A396" s="51" t="str">
        <x:v>USA</x:v>
      </x:c>
      <x:c r="B396" s="51" t="str">
        <x:v>D</x:v>
      </x:c>
      <x:c r="C396" s="51" t="n">
        <x:v>2</x:v>
      </x:c>
      <x:c r="D396" s="71" t="str"/>
      <x:c r="E396" s="51" t="str">
        <x:v>GK</x:v>
      </x:c>
      <x:c r="F396" s="51" t="str">
        <x:v>GK</x:v>
      </x:c>
      <x:c r="G396" s="51" t="str">
        <x:v>Starter</x:v>
      </x:c>
      <x:c r="H396" s="55" t="n">
        <x:v>1</x:v>
      </x:c>
      <x:c r="I396" s="51" t="str"/>
      <x:c r="J396" s="72" t="str"/>
      <x:c r="K396" s="72" t="str"/>
      <x:c r="L396" s="72" t="str"/>
      <x:c r="M396" s="72" t="str"/>
      <x:c r="N396" s="72" t="str"/>
      <x:c r="O396" s="72" t="str"/>
      <x:c r="P396" s="72" t="str">
        <x:v>Available</x:v>
      </x:c>
      <x:c r="Q396" s="72" t="n">
        <x:v>0</x:v>
      </x:c>
      <x:c r="R396" s="55" t="str">
        <x:f>IF($D396="","",ROUND(MAX(0,MIN(100,0.35*$J396+0.2*$K396+0.15*$L396+0.15*$M396+0.1*$N396+0.05*$O396-IF(OR($P396="Out",$P396="Suspended"),$Q396,IF($P396="Doubtful",$Q396*0.5,IF($P396="Limited",$Q396*0.25,0))))),2))</x:f>
      </x:c>
      <x:c r="S396" s="55" t="n">
        <x:f>IF($D396="",0,ROUND(IF(OR($P396="Out",$P396="Suspended"),$Q396*$H396,IF($P396="Doubtful",$Q396*$H396*0.5,IF($P396="Limited",$Q396*$H396*0.25,0))),2))</x:f>
        <x:v>0</x:v>
      </x:c>
      <x:c r="T396" s="55" t="str"/>
      <x:c r="U396" s="51" t="str"/>
    </x:row>
    <x:row r="397">
      <x:c r="A397" s="51" t="str">
        <x:v>USA</x:v>
      </x:c>
      <x:c r="B397" s="51" t="str">
        <x:v>D</x:v>
      </x:c>
      <x:c r="C397" s="51" t="n">
        <x:v>3</x:v>
      </x:c>
      <x:c r="D397" s="71" t="str"/>
      <x:c r="E397" s="51" t="str">
        <x:v>GK</x:v>
      </x:c>
      <x:c r="F397" s="51" t="str">
        <x:v>GK</x:v>
      </x:c>
      <x:c r="G397" s="51" t="str">
        <x:v>Starter</x:v>
      </x:c>
      <x:c r="H397" s="55" t="n">
        <x:v>1</x:v>
      </x:c>
      <x:c r="I397" s="51" t="str"/>
      <x:c r="J397" s="72" t="str"/>
      <x:c r="K397" s="72" t="str"/>
      <x:c r="L397" s="72" t="str"/>
      <x:c r="M397" s="72" t="str"/>
      <x:c r="N397" s="72" t="str"/>
      <x:c r="O397" s="72" t="str"/>
      <x:c r="P397" s="72" t="str">
        <x:v>Available</x:v>
      </x:c>
      <x:c r="Q397" s="72" t="n">
        <x:v>0</x:v>
      </x:c>
      <x:c r="R397" s="55" t="str">
        <x:f>IF($D397="","",ROUND(MAX(0,MIN(100,0.35*$J397+0.2*$K397+0.15*$L397+0.15*$M397+0.1*$N397+0.05*$O397-IF(OR($P397="Out",$P397="Suspended"),$Q397,IF($P397="Doubtful",$Q397*0.5,IF($P397="Limited",$Q397*0.25,0))))),2))</x:f>
      </x:c>
      <x:c r="S397" s="55" t="n">
        <x:f>IF($D397="",0,ROUND(IF(OR($P397="Out",$P397="Suspended"),$Q397*$H397,IF($P397="Doubtful",$Q397*$H397*0.5,IF($P397="Limited",$Q397*$H397*0.25,0))),2))</x:f>
        <x:v>0</x:v>
      </x:c>
      <x:c r="T397" s="55" t="str"/>
      <x:c r="U397" s="51" t="str"/>
    </x:row>
    <x:row r="398">
      <x:c r="A398" s="51" t="str">
        <x:v>USA</x:v>
      </x:c>
      <x:c r="B398" s="51" t="str">
        <x:v>D</x:v>
      </x:c>
      <x:c r="C398" s="51" t="n">
        <x:v>4</x:v>
      </x:c>
      <x:c r="D398" s="71" t="str"/>
      <x:c r="E398" s="51" t="str">
        <x:v>CB</x:v>
      </x:c>
      <x:c r="F398" s="51" t="str">
        <x:v>Defence</x:v>
      </x:c>
      <x:c r="G398" s="51" t="str">
        <x:v>Starter</x:v>
      </x:c>
      <x:c r="H398" s="55" t="n">
        <x:v>1</x:v>
      </x:c>
      <x:c r="I398" s="51" t="str"/>
      <x:c r="J398" s="72" t="str"/>
      <x:c r="K398" s="72" t="str"/>
      <x:c r="L398" s="72" t="str"/>
      <x:c r="M398" s="72" t="str"/>
      <x:c r="N398" s="72" t="str"/>
      <x:c r="O398" s="72" t="str"/>
      <x:c r="P398" s="72" t="str">
        <x:v>Available</x:v>
      </x:c>
      <x:c r="Q398" s="72" t="n">
        <x:v>0</x:v>
      </x:c>
      <x:c r="R398" s="55" t="str">
        <x:f>IF($D398="","",ROUND(MAX(0,MIN(100,0.35*$J398+0.2*$K398+0.15*$L398+0.15*$M398+0.1*$N398+0.05*$O398-IF(OR($P398="Out",$P398="Suspended"),$Q398,IF($P398="Doubtful",$Q398*0.5,IF($P398="Limited",$Q398*0.25,0))))),2))</x:f>
      </x:c>
      <x:c r="S398" s="55" t="n">
        <x:f>IF($D398="",0,ROUND(IF(OR($P398="Out",$P398="Suspended"),$Q398*$H398,IF($P398="Doubtful",$Q398*$H398*0.5,IF($P398="Limited",$Q398*$H398*0.25,0))),2))</x:f>
        <x:v>0</x:v>
      </x:c>
      <x:c r="T398" s="55" t="str"/>
      <x:c r="U398" s="51" t="str"/>
    </x:row>
    <x:row r="399">
      <x:c r="A399" s="51" t="str">
        <x:v>USA</x:v>
      </x:c>
      <x:c r="B399" s="51" t="str">
        <x:v>D</x:v>
      </x:c>
      <x:c r="C399" s="51" t="n">
        <x:v>5</x:v>
      </x:c>
      <x:c r="D399" s="71" t="str"/>
      <x:c r="E399" s="51" t="str">
        <x:v>CB</x:v>
      </x:c>
      <x:c r="F399" s="51" t="str">
        <x:v>Defence</x:v>
      </x:c>
      <x:c r="G399" s="51" t="str">
        <x:v>Starter</x:v>
      </x:c>
      <x:c r="H399" s="55" t="n">
        <x:v>1</x:v>
      </x:c>
      <x:c r="I399" s="51" t="str"/>
      <x:c r="J399" s="72" t="str"/>
      <x:c r="K399" s="72" t="str"/>
      <x:c r="L399" s="72" t="str"/>
      <x:c r="M399" s="72" t="str"/>
      <x:c r="N399" s="72" t="str"/>
      <x:c r="O399" s="72" t="str"/>
      <x:c r="P399" s="72" t="str">
        <x:v>Available</x:v>
      </x:c>
      <x:c r="Q399" s="72" t="n">
        <x:v>0</x:v>
      </x:c>
      <x:c r="R399" s="55" t="str">
        <x:f>IF($D399="","",ROUND(MAX(0,MIN(100,0.35*$J399+0.2*$K399+0.15*$L399+0.15*$M399+0.1*$N399+0.05*$O399-IF(OR($P399="Out",$P399="Suspended"),$Q399,IF($P399="Doubtful",$Q399*0.5,IF($P399="Limited",$Q399*0.25,0))))),2))</x:f>
      </x:c>
      <x:c r="S399" s="55" t="n">
        <x:f>IF($D399="",0,ROUND(IF(OR($P399="Out",$P399="Suspended"),$Q399*$H399,IF($P399="Doubtful",$Q399*$H399*0.5,IF($P399="Limited",$Q399*$H399*0.25,0))),2))</x:f>
        <x:v>0</x:v>
      </x:c>
      <x:c r="T399" s="55" t="str"/>
      <x:c r="U399" s="51" t="str"/>
    </x:row>
    <x:row r="400">
      <x:c r="A400" s="51" t="str">
        <x:v>USA</x:v>
      </x:c>
      <x:c r="B400" s="51" t="str">
        <x:v>D</x:v>
      </x:c>
      <x:c r="C400" s="51" t="n">
        <x:v>6</x:v>
      </x:c>
      <x:c r="D400" s="71" t="str"/>
      <x:c r="E400" s="51" t="str">
        <x:v>CB</x:v>
      </x:c>
      <x:c r="F400" s="51" t="str">
        <x:v>Defence</x:v>
      </x:c>
      <x:c r="G400" s="51" t="str">
        <x:v>Starter</x:v>
      </x:c>
      <x:c r="H400" s="55" t="n">
        <x:v>1</x:v>
      </x:c>
      <x:c r="I400" s="51" t="str"/>
      <x:c r="J400" s="72" t="str"/>
      <x:c r="K400" s="72" t="str"/>
      <x:c r="L400" s="72" t="str"/>
      <x:c r="M400" s="72" t="str"/>
      <x:c r="N400" s="72" t="str"/>
      <x:c r="O400" s="72" t="str"/>
      <x:c r="P400" s="72" t="str">
        <x:v>Available</x:v>
      </x:c>
      <x:c r="Q400" s="72" t="n">
        <x:v>0</x:v>
      </x:c>
      <x:c r="R400" s="55" t="str">
        <x:f>IF($D400="","",ROUND(MAX(0,MIN(100,0.35*$J400+0.2*$K400+0.15*$L400+0.15*$M400+0.1*$N400+0.05*$O400-IF(OR($P400="Out",$P400="Suspended"),$Q400,IF($P400="Doubtful",$Q400*0.5,IF($P400="Limited",$Q400*0.25,0))))),2))</x:f>
      </x:c>
      <x:c r="S400" s="55" t="n">
        <x:f>IF($D400="",0,ROUND(IF(OR($P400="Out",$P400="Suspended"),$Q400*$H400,IF($P400="Doubtful",$Q400*$H400*0.5,IF($P400="Limited",$Q400*$H400*0.25,0))),2))</x:f>
        <x:v>0</x:v>
      </x:c>
      <x:c r="T400" s="55" t="str"/>
      <x:c r="U400" s="51" t="str"/>
    </x:row>
    <x:row r="401">
      <x:c r="A401" s="51" t="str">
        <x:v>USA</x:v>
      </x:c>
      <x:c r="B401" s="51" t="str">
        <x:v>D</x:v>
      </x:c>
      <x:c r="C401" s="51" t="n">
        <x:v>7</x:v>
      </x:c>
      <x:c r="D401" s="71" t="str"/>
      <x:c r="E401" s="51" t="str">
        <x:v>FB</x:v>
      </x:c>
      <x:c r="F401" s="51" t="str">
        <x:v>Defence</x:v>
      </x:c>
      <x:c r="G401" s="51" t="str">
        <x:v>Starter</x:v>
      </x:c>
      <x:c r="H401" s="55" t="n">
        <x:v>1</x:v>
      </x:c>
      <x:c r="I401" s="51" t="str"/>
      <x:c r="J401" s="72" t="str"/>
      <x:c r="K401" s="72" t="str"/>
      <x:c r="L401" s="72" t="str"/>
      <x:c r="M401" s="72" t="str"/>
      <x:c r="N401" s="72" t="str"/>
      <x:c r="O401" s="72" t="str"/>
      <x:c r="P401" s="72" t="str">
        <x:v>Available</x:v>
      </x:c>
      <x:c r="Q401" s="72" t="n">
        <x:v>0</x:v>
      </x:c>
      <x:c r="R401" s="55" t="str">
        <x:f>IF($D401="","",ROUND(MAX(0,MIN(100,0.35*$J401+0.2*$K401+0.15*$L401+0.15*$M401+0.1*$N401+0.05*$O401-IF(OR($P401="Out",$P401="Suspended"),$Q401,IF($P401="Doubtful",$Q401*0.5,IF($P401="Limited",$Q401*0.25,0))))),2))</x:f>
      </x:c>
      <x:c r="S401" s="55" t="n">
        <x:f>IF($D401="",0,ROUND(IF(OR($P401="Out",$P401="Suspended"),$Q401*$H401,IF($P401="Doubtful",$Q401*$H401*0.5,IF($P401="Limited",$Q401*$H401*0.25,0))),2))</x:f>
        <x:v>0</x:v>
      </x:c>
      <x:c r="T401" s="55" t="str"/>
      <x:c r="U401" s="51" t="str"/>
    </x:row>
    <x:row r="402">
      <x:c r="A402" s="51" t="str">
        <x:v>USA</x:v>
      </x:c>
      <x:c r="B402" s="51" t="str">
        <x:v>D</x:v>
      </x:c>
      <x:c r="C402" s="51" t="n">
        <x:v>8</x:v>
      </x:c>
      <x:c r="D402" s="71" t="str"/>
      <x:c r="E402" s="51" t="str">
        <x:v>FB</x:v>
      </x:c>
      <x:c r="F402" s="51" t="str">
        <x:v>Defence</x:v>
      </x:c>
      <x:c r="G402" s="51" t="str">
        <x:v>Starter</x:v>
      </x:c>
      <x:c r="H402" s="55" t="n">
        <x:v>1</x:v>
      </x:c>
      <x:c r="I402" s="51" t="str"/>
      <x:c r="J402" s="72" t="str"/>
      <x:c r="K402" s="72" t="str"/>
      <x:c r="L402" s="72" t="str"/>
      <x:c r="M402" s="72" t="str"/>
      <x:c r="N402" s="72" t="str"/>
      <x:c r="O402" s="72" t="str"/>
      <x:c r="P402" s="72" t="str">
        <x:v>Available</x:v>
      </x:c>
      <x:c r="Q402" s="72" t="n">
        <x:v>0</x:v>
      </x:c>
      <x:c r="R402" s="55" t="str">
        <x:f>IF($D402="","",ROUND(MAX(0,MIN(100,0.35*$J402+0.2*$K402+0.15*$L402+0.15*$M402+0.1*$N402+0.05*$O402-IF(OR($P402="Out",$P402="Suspended"),$Q402,IF($P402="Doubtful",$Q402*0.5,IF($P402="Limited",$Q402*0.25,0))))),2))</x:f>
      </x:c>
      <x:c r="S402" s="55" t="n">
        <x:f>IF($D402="",0,ROUND(IF(OR($P402="Out",$P402="Suspended"),$Q402*$H402,IF($P402="Doubtful",$Q402*$H402*0.5,IF($P402="Limited",$Q402*$H402*0.25,0))),2))</x:f>
        <x:v>0</x:v>
      </x:c>
      <x:c r="T402" s="55" t="str"/>
      <x:c r="U402" s="51" t="str"/>
    </x:row>
    <x:row r="403">
      <x:c r="A403" s="51" t="str">
        <x:v>USA</x:v>
      </x:c>
      <x:c r="B403" s="51" t="str">
        <x:v>D</x:v>
      </x:c>
      <x:c r="C403" s="51" t="n">
        <x:v>9</x:v>
      </x:c>
      <x:c r="D403" s="71" t="str"/>
      <x:c r="E403" s="51" t="str">
        <x:v>DM</x:v>
      </x:c>
      <x:c r="F403" s="51" t="str">
        <x:v>Midfield</x:v>
      </x:c>
      <x:c r="G403" s="51" t="str">
        <x:v>Starter</x:v>
      </x:c>
      <x:c r="H403" s="55" t="n">
        <x:v>1</x:v>
      </x:c>
      <x:c r="I403" s="51" t="str"/>
      <x:c r="J403" s="72" t="str"/>
      <x:c r="K403" s="72" t="str"/>
      <x:c r="L403" s="72" t="str"/>
      <x:c r="M403" s="72" t="str"/>
      <x:c r="N403" s="72" t="str"/>
      <x:c r="O403" s="72" t="str"/>
      <x:c r="P403" s="72" t="str">
        <x:v>Available</x:v>
      </x:c>
      <x:c r="Q403" s="72" t="n">
        <x:v>0</x:v>
      </x:c>
      <x:c r="R403" s="55" t="str">
        <x:f>IF($D403="","",ROUND(MAX(0,MIN(100,0.35*$J403+0.2*$K403+0.15*$L403+0.15*$M403+0.1*$N403+0.05*$O403-IF(OR($P403="Out",$P403="Suspended"),$Q403,IF($P403="Doubtful",$Q403*0.5,IF($P403="Limited",$Q403*0.25,0))))),2))</x:f>
      </x:c>
      <x:c r="S403" s="55" t="n">
        <x:f>IF($D403="",0,ROUND(IF(OR($P403="Out",$P403="Suspended"),$Q403*$H403,IF($P403="Doubtful",$Q403*$H403*0.5,IF($P403="Limited",$Q403*$H403*0.25,0))),2))</x:f>
        <x:v>0</x:v>
      </x:c>
      <x:c r="T403" s="55" t="str"/>
      <x:c r="U403" s="51" t="str"/>
    </x:row>
    <x:row r="404">
      <x:c r="A404" s="51" t="str">
        <x:v>USA</x:v>
      </x:c>
      <x:c r="B404" s="51" t="str">
        <x:v>D</x:v>
      </x:c>
      <x:c r="C404" s="51" t="n">
        <x:v>10</x:v>
      </x:c>
      <x:c r="D404" s="71" t="str"/>
      <x:c r="E404" s="51" t="str">
        <x:v>DM</x:v>
      </x:c>
      <x:c r="F404" s="51" t="str">
        <x:v>Midfield</x:v>
      </x:c>
      <x:c r="G404" s="51" t="str">
        <x:v>Starter</x:v>
      </x:c>
      <x:c r="H404" s="55" t="n">
        <x:v>1</x:v>
      </x:c>
      <x:c r="I404" s="51" t="str"/>
      <x:c r="J404" s="72" t="str"/>
      <x:c r="K404" s="72" t="str"/>
      <x:c r="L404" s="72" t="str"/>
      <x:c r="M404" s="72" t="str"/>
      <x:c r="N404" s="72" t="str"/>
      <x:c r="O404" s="72" t="str"/>
      <x:c r="P404" s="72" t="str">
        <x:v>Available</x:v>
      </x:c>
      <x:c r="Q404" s="72" t="n">
        <x:v>0</x:v>
      </x:c>
      <x:c r="R404" s="55" t="str">
        <x:f>IF($D404="","",ROUND(MAX(0,MIN(100,0.35*$J404+0.2*$K404+0.15*$L404+0.15*$M404+0.1*$N404+0.05*$O404-IF(OR($P404="Out",$P404="Suspended"),$Q404,IF($P404="Doubtful",$Q404*0.5,IF($P404="Limited",$Q404*0.25,0))))),2))</x:f>
      </x:c>
      <x:c r="S404" s="55" t="n">
        <x:f>IF($D404="",0,ROUND(IF(OR($P404="Out",$P404="Suspended"),$Q404*$H404,IF($P404="Doubtful",$Q404*$H404*0.5,IF($P404="Limited",$Q404*$H404*0.25,0))),2))</x:f>
        <x:v>0</x:v>
      </x:c>
      <x:c r="T404" s="55" t="str"/>
      <x:c r="U404" s="51" t="str"/>
    </x:row>
    <x:row r="405">
      <x:c r="A405" s="51" t="str">
        <x:v>USA</x:v>
      </x:c>
      <x:c r="B405" s="51" t="str">
        <x:v>D</x:v>
      </x:c>
      <x:c r="C405" s="51" t="n">
        <x:v>11</x:v>
      </x:c>
      <x:c r="D405" s="71" t="str"/>
      <x:c r="E405" s="51" t="str">
        <x:v>DM</x:v>
      </x:c>
      <x:c r="F405" s="51" t="str">
        <x:v>Midfield</x:v>
      </x:c>
      <x:c r="G405" s="51" t="str">
        <x:v>Starter</x:v>
      </x:c>
      <x:c r="H405" s="55" t="n">
        <x:v>1</x:v>
      </x:c>
      <x:c r="I405" s="51" t="str"/>
      <x:c r="J405" s="72" t="str"/>
      <x:c r="K405" s="72" t="str"/>
      <x:c r="L405" s="72" t="str"/>
      <x:c r="M405" s="72" t="str"/>
      <x:c r="N405" s="72" t="str"/>
      <x:c r="O405" s="72" t="str"/>
      <x:c r="P405" s="72" t="str">
        <x:v>Available</x:v>
      </x:c>
      <x:c r="Q405" s="72" t="n">
        <x:v>0</x:v>
      </x:c>
      <x:c r="R405" s="55" t="str">
        <x:f>IF($D405="","",ROUND(MAX(0,MIN(100,0.35*$J405+0.2*$K405+0.15*$L405+0.15*$M405+0.1*$N405+0.05*$O405-IF(OR($P405="Out",$P405="Suspended"),$Q405,IF($P405="Doubtful",$Q405*0.5,IF($P405="Limited",$Q405*0.25,0))))),2))</x:f>
      </x:c>
      <x:c r="S405" s="55" t="n">
        <x:f>IF($D405="",0,ROUND(IF(OR($P405="Out",$P405="Suspended"),$Q405*$H405,IF($P405="Doubtful",$Q405*$H405*0.5,IF($P405="Limited",$Q405*$H405*0.25,0))),2))</x:f>
        <x:v>0</x:v>
      </x:c>
      <x:c r="T405" s="55" t="str"/>
      <x:c r="U405" s="51" t="str"/>
    </x:row>
    <x:row r="406">
      <x:c r="A406" s="51" t="str">
        <x:v>USA</x:v>
      </x:c>
      <x:c r="B406" s="51" t="str">
        <x:v>D</x:v>
      </x:c>
      <x:c r="C406" s="51" t="n">
        <x:v>12</x:v>
      </x:c>
      <x:c r="D406" s="71" t="str"/>
      <x:c r="E406" s="51" t="str">
        <x:v>CM</x:v>
      </x:c>
      <x:c r="F406" s="51" t="str">
        <x:v>Midfield</x:v>
      </x:c>
      <x:c r="G406" s="51" t="str">
        <x:v>Rotation</x:v>
      </x:c>
      <x:c r="H406" s="55" t="n">
        <x:v>0.35</x:v>
      </x:c>
      <x:c r="I406" s="51" t="str"/>
      <x:c r="J406" s="72" t="str"/>
      <x:c r="K406" s="72" t="str"/>
      <x:c r="L406" s="72" t="str"/>
      <x:c r="M406" s="72" t="str"/>
      <x:c r="N406" s="72" t="str"/>
      <x:c r="O406" s="72" t="str"/>
      <x:c r="P406" s="72" t="str">
        <x:v>Available</x:v>
      </x:c>
      <x:c r="Q406" s="72" t="n">
        <x:v>0</x:v>
      </x:c>
      <x:c r="R406" s="55" t="str">
        <x:f>IF($D406="","",ROUND(MAX(0,MIN(100,0.35*$J406+0.2*$K406+0.15*$L406+0.15*$M406+0.1*$N406+0.05*$O406-IF(OR($P406="Out",$P406="Suspended"),$Q406,IF($P406="Doubtful",$Q406*0.5,IF($P406="Limited",$Q406*0.25,0))))),2))</x:f>
      </x:c>
      <x:c r="S406" s="55" t="n">
        <x:f>IF($D406="",0,ROUND(IF(OR($P406="Out",$P406="Suspended"),$Q406*$H406,IF($P406="Doubtful",$Q406*$H406*0.5,IF($P406="Limited",$Q406*$H406*0.25,0))),2))</x:f>
        <x:v>0</x:v>
      </x:c>
      <x:c r="T406" s="55" t="str"/>
      <x:c r="U406" s="51" t="str"/>
    </x:row>
    <x:row r="407">
      <x:c r="A407" s="51" t="str">
        <x:v>USA</x:v>
      </x:c>
      <x:c r="B407" s="51" t="str">
        <x:v>D</x:v>
      </x:c>
      <x:c r="C407" s="51" t="n">
        <x:v>13</x:v>
      </x:c>
      <x:c r="D407" s="71" t="str"/>
      <x:c r="E407" s="51" t="str">
        <x:v>CM</x:v>
      </x:c>
      <x:c r="F407" s="51" t="str">
        <x:v>Midfield</x:v>
      </x:c>
      <x:c r="G407" s="51" t="str">
        <x:v>Rotation</x:v>
      </x:c>
      <x:c r="H407" s="55" t="n">
        <x:v>0.35</x:v>
      </x:c>
      <x:c r="I407" s="51" t="str"/>
      <x:c r="J407" s="72" t="str"/>
      <x:c r="K407" s="72" t="str"/>
      <x:c r="L407" s="72" t="str"/>
      <x:c r="M407" s="72" t="str"/>
      <x:c r="N407" s="72" t="str"/>
      <x:c r="O407" s="72" t="str"/>
      <x:c r="P407" s="72" t="str">
        <x:v>Available</x:v>
      </x:c>
      <x:c r="Q407" s="72" t="n">
        <x:v>0</x:v>
      </x:c>
      <x:c r="R407" s="55" t="str">
        <x:f>IF($D407="","",ROUND(MAX(0,MIN(100,0.35*$J407+0.2*$K407+0.15*$L407+0.15*$M407+0.1*$N407+0.05*$O407-IF(OR($P407="Out",$P407="Suspended"),$Q407,IF($P407="Doubtful",$Q407*0.5,IF($P407="Limited",$Q407*0.25,0))))),2))</x:f>
      </x:c>
      <x:c r="S407" s="55" t="n">
        <x:f>IF($D407="",0,ROUND(IF(OR($P407="Out",$P407="Suspended"),$Q407*$H407,IF($P407="Doubtful",$Q407*$H407*0.5,IF($P407="Limited",$Q407*$H407*0.25,0))),2))</x:f>
        <x:v>0</x:v>
      </x:c>
      <x:c r="T407" s="55" t="str"/>
      <x:c r="U407" s="51" t="str"/>
    </x:row>
    <x:row r="408">
      <x:c r="A408" s="51" t="str">
        <x:v>USA</x:v>
      </x:c>
      <x:c r="B408" s="51" t="str">
        <x:v>D</x:v>
      </x:c>
      <x:c r="C408" s="51" t="n">
        <x:v>14</x:v>
      </x:c>
      <x:c r="D408" s="71" t="str"/>
      <x:c r="E408" s="51" t="str">
        <x:v>CM</x:v>
      </x:c>
      <x:c r="F408" s="51" t="str">
        <x:v>Midfield</x:v>
      </x:c>
      <x:c r="G408" s="51" t="str">
        <x:v>Rotation</x:v>
      </x:c>
      <x:c r="H408" s="55" t="n">
        <x:v>0.35</x:v>
      </x:c>
      <x:c r="I408" s="51" t="str"/>
      <x:c r="J408" s="72" t="str"/>
      <x:c r="K408" s="72" t="str"/>
      <x:c r="L408" s="72" t="str"/>
      <x:c r="M408" s="72" t="str"/>
      <x:c r="N408" s="72" t="str"/>
      <x:c r="O408" s="72" t="str"/>
      <x:c r="P408" s="72" t="str">
        <x:v>Available</x:v>
      </x:c>
      <x:c r="Q408" s="72" t="n">
        <x:v>0</x:v>
      </x:c>
      <x:c r="R408" s="55" t="str">
        <x:f>IF($D408="","",ROUND(MAX(0,MIN(100,0.35*$J408+0.2*$K408+0.15*$L408+0.15*$M408+0.1*$N408+0.05*$O408-IF(OR($P408="Out",$P408="Suspended"),$Q408,IF($P408="Doubtful",$Q408*0.5,IF($P408="Limited",$Q408*0.25,0))))),2))</x:f>
      </x:c>
      <x:c r="S408" s="55" t="n">
        <x:f>IF($D408="",0,ROUND(IF(OR($P408="Out",$P408="Suspended"),$Q408*$H408,IF($P408="Doubtful",$Q408*$H408*0.5,IF($P408="Limited",$Q408*$H408*0.25,0))),2))</x:f>
        <x:v>0</x:v>
      </x:c>
      <x:c r="T408" s="55" t="str"/>
      <x:c r="U408" s="51" t="str"/>
    </x:row>
    <x:row r="409">
      <x:c r="A409" s="51" t="str">
        <x:v>USA</x:v>
      </x:c>
      <x:c r="B409" s="51" t="str">
        <x:v>D</x:v>
      </x:c>
      <x:c r="C409" s="51" t="n">
        <x:v>15</x:v>
      </x:c>
      <x:c r="D409" s="71" t="str"/>
      <x:c r="E409" s="51" t="str">
        <x:v>CM</x:v>
      </x:c>
      <x:c r="F409" s="51" t="str">
        <x:v>Midfield</x:v>
      </x:c>
      <x:c r="G409" s="51" t="str">
        <x:v>Rotation</x:v>
      </x:c>
      <x:c r="H409" s="55" t="n">
        <x:v>0.35</x:v>
      </x:c>
      <x:c r="I409" s="51" t="str"/>
      <x:c r="J409" s="72" t="str"/>
      <x:c r="K409" s="72" t="str"/>
      <x:c r="L409" s="72" t="str"/>
      <x:c r="M409" s="72" t="str"/>
      <x:c r="N409" s="72" t="str"/>
      <x:c r="O409" s="72" t="str"/>
      <x:c r="P409" s="72" t="str">
        <x:v>Available</x:v>
      </x:c>
      <x:c r="Q409" s="72" t="n">
        <x:v>0</x:v>
      </x:c>
      <x:c r="R409" s="55" t="str">
        <x:f>IF($D409="","",ROUND(MAX(0,MIN(100,0.35*$J409+0.2*$K409+0.15*$L409+0.15*$M409+0.1*$N409+0.05*$O409-IF(OR($P409="Out",$P409="Suspended"),$Q409,IF($P409="Doubtful",$Q409*0.5,IF($P409="Limited",$Q409*0.25,0))))),2))</x:f>
      </x:c>
      <x:c r="S409" s="55" t="n">
        <x:f>IF($D409="",0,ROUND(IF(OR($P409="Out",$P409="Suspended"),$Q409*$H409,IF($P409="Doubtful",$Q409*$H409*0.5,IF($P409="Limited",$Q409*$H409*0.25,0))),2))</x:f>
        <x:v>0</x:v>
      </x:c>
      <x:c r="T409" s="55" t="str"/>
      <x:c r="U409" s="51" t="str"/>
    </x:row>
    <x:row r="410">
      <x:c r="A410" s="51" t="str">
        <x:v>USA</x:v>
      </x:c>
      <x:c r="B410" s="51" t="str">
        <x:v>D</x:v>
      </x:c>
      <x:c r="C410" s="51" t="n">
        <x:v>16</x:v>
      </x:c>
      <x:c r="D410" s="71" t="str"/>
      <x:c r="E410" s="51" t="str">
        <x:v>AM</x:v>
      </x:c>
      <x:c r="F410" s="51" t="str">
        <x:v>Attack</x:v>
      </x:c>
      <x:c r="G410" s="51" t="str">
        <x:v>Rotation</x:v>
      </x:c>
      <x:c r="H410" s="55" t="n">
        <x:v>0.35</x:v>
      </x:c>
      <x:c r="I410" s="51" t="str"/>
      <x:c r="J410" s="72" t="str"/>
      <x:c r="K410" s="72" t="str"/>
      <x:c r="L410" s="72" t="str"/>
      <x:c r="M410" s="72" t="str"/>
      <x:c r="N410" s="72" t="str"/>
      <x:c r="O410" s="72" t="str"/>
      <x:c r="P410" s="72" t="str">
        <x:v>Available</x:v>
      </x:c>
      <x:c r="Q410" s="72" t="n">
        <x:v>0</x:v>
      </x:c>
      <x:c r="R410" s="55" t="str">
        <x:f>IF($D410="","",ROUND(MAX(0,MIN(100,0.35*$J410+0.2*$K410+0.15*$L410+0.15*$M410+0.1*$N410+0.05*$O410-IF(OR($P410="Out",$P410="Suspended"),$Q410,IF($P410="Doubtful",$Q410*0.5,IF($P410="Limited",$Q410*0.25,0))))),2))</x:f>
      </x:c>
      <x:c r="S410" s="55" t="n">
        <x:f>IF($D410="",0,ROUND(IF(OR($P410="Out",$P410="Suspended"),$Q410*$H410,IF($P410="Doubtful",$Q410*$H410*0.5,IF($P410="Limited",$Q410*$H410*0.25,0))),2))</x:f>
        <x:v>0</x:v>
      </x:c>
      <x:c r="T410" s="55" t="str"/>
      <x:c r="U410" s="51" t="str"/>
    </x:row>
    <x:row r="411">
      <x:c r="A411" s="51" t="str">
        <x:v>USA</x:v>
      </x:c>
      <x:c r="B411" s="51" t="str">
        <x:v>D</x:v>
      </x:c>
      <x:c r="C411" s="51" t="n">
        <x:v>17</x:v>
      </x:c>
      <x:c r="D411" s="71" t="str"/>
      <x:c r="E411" s="51" t="str">
        <x:v>AM</x:v>
      </x:c>
      <x:c r="F411" s="51" t="str">
        <x:v>Attack</x:v>
      </x:c>
      <x:c r="G411" s="51" t="str">
        <x:v>Rotation</x:v>
      </x:c>
      <x:c r="H411" s="55" t="n">
        <x:v>0.35</x:v>
      </x:c>
      <x:c r="I411" s="51" t="str"/>
      <x:c r="J411" s="72" t="str"/>
      <x:c r="K411" s="72" t="str"/>
      <x:c r="L411" s="72" t="str"/>
      <x:c r="M411" s="72" t="str"/>
      <x:c r="N411" s="72" t="str"/>
      <x:c r="O411" s="72" t="str"/>
      <x:c r="P411" s="72" t="str">
        <x:v>Available</x:v>
      </x:c>
      <x:c r="Q411" s="72" t="n">
        <x:v>0</x:v>
      </x:c>
      <x:c r="R411" s="55" t="str">
        <x:f>IF($D411="","",ROUND(MAX(0,MIN(100,0.35*$J411+0.2*$K411+0.15*$L411+0.15*$M411+0.1*$N411+0.05*$O411-IF(OR($P411="Out",$P411="Suspended"),$Q411,IF($P411="Doubtful",$Q411*0.5,IF($P411="Limited",$Q411*0.25,0))))),2))</x:f>
      </x:c>
      <x:c r="S411" s="55" t="n">
        <x:f>IF($D411="",0,ROUND(IF(OR($P411="Out",$P411="Suspended"),$Q411*$H411,IF($P411="Doubtful",$Q411*$H411*0.5,IF($P411="Limited",$Q411*$H411*0.25,0))),2))</x:f>
        <x:v>0</x:v>
      </x:c>
      <x:c r="T411" s="55" t="str"/>
      <x:c r="U411" s="51" t="str"/>
    </x:row>
    <x:row r="412">
      <x:c r="A412" s="51" t="str">
        <x:v>USA</x:v>
      </x:c>
      <x:c r="B412" s="51" t="str">
        <x:v>D</x:v>
      </x:c>
      <x:c r="C412" s="51" t="n">
        <x:v>18</x:v>
      </x:c>
      <x:c r="D412" s="71" t="str"/>
      <x:c r="E412" s="51" t="str">
        <x:v>AM</x:v>
      </x:c>
      <x:c r="F412" s="51" t="str">
        <x:v>Attack</x:v>
      </x:c>
      <x:c r="G412" s="51" t="str">
        <x:v>Rotation</x:v>
      </x:c>
      <x:c r="H412" s="55" t="n">
        <x:v>0.35</x:v>
      </x:c>
      <x:c r="I412" s="51" t="str"/>
      <x:c r="J412" s="72" t="str"/>
      <x:c r="K412" s="72" t="str"/>
      <x:c r="L412" s="72" t="str"/>
      <x:c r="M412" s="72" t="str"/>
      <x:c r="N412" s="72" t="str"/>
      <x:c r="O412" s="72" t="str"/>
      <x:c r="P412" s="72" t="str">
        <x:v>Available</x:v>
      </x:c>
      <x:c r="Q412" s="72" t="n">
        <x:v>0</x:v>
      </x:c>
      <x:c r="R412" s="55" t="str">
        <x:f>IF($D412="","",ROUND(MAX(0,MIN(100,0.35*$J412+0.2*$K412+0.15*$L412+0.15*$M412+0.1*$N412+0.05*$O412-IF(OR($P412="Out",$P412="Suspended"),$Q412,IF($P412="Doubtful",$Q412*0.5,IF($P412="Limited",$Q412*0.25,0))))),2))</x:f>
      </x:c>
      <x:c r="S412" s="55" t="n">
        <x:f>IF($D412="",0,ROUND(IF(OR($P412="Out",$P412="Suspended"),$Q412*$H412,IF($P412="Doubtful",$Q412*$H412*0.5,IF($P412="Limited",$Q412*$H412*0.25,0))),2))</x:f>
        <x:v>0</x:v>
      </x:c>
      <x:c r="T412" s="55" t="str"/>
      <x:c r="U412" s="51" t="str"/>
    </x:row>
    <x:row r="413">
      <x:c r="A413" s="51" t="str">
        <x:v>USA</x:v>
      </x:c>
      <x:c r="B413" s="51" t="str">
        <x:v>D</x:v>
      </x:c>
      <x:c r="C413" s="51" t="n">
        <x:v>19</x:v>
      </x:c>
      <x:c r="D413" s="71" t="str"/>
      <x:c r="E413" s="51" t="str">
        <x:v>AM</x:v>
      </x:c>
      <x:c r="F413" s="51" t="str">
        <x:v>Attack</x:v>
      </x:c>
      <x:c r="G413" s="51" t="str">
        <x:v>Rotation</x:v>
      </x:c>
      <x:c r="H413" s="55" t="n">
        <x:v>0.35</x:v>
      </x:c>
      <x:c r="I413" s="51" t="str"/>
      <x:c r="J413" s="72" t="str"/>
      <x:c r="K413" s="72" t="str"/>
      <x:c r="L413" s="72" t="str"/>
      <x:c r="M413" s="72" t="str"/>
      <x:c r="N413" s="72" t="str"/>
      <x:c r="O413" s="72" t="str"/>
      <x:c r="P413" s="72" t="str">
        <x:v>Available</x:v>
      </x:c>
      <x:c r="Q413" s="72" t="n">
        <x:v>0</x:v>
      </x:c>
      <x:c r="R413" s="55" t="str">
        <x:f>IF($D413="","",ROUND(MAX(0,MIN(100,0.35*$J413+0.2*$K413+0.15*$L413+0.15*$M413+0.1*$N413+0.05*$O413-IF(OR($P413="Out",$P413="Suspended"),$Q413,IF($P413="Doubtful",$Q413*0.5,IF($P413="Limited",$Q413*0.25,0))))),2))</x:f>
      </x:c>
      <x:c r="S413" s="55" t="n">
        <x:f>IF($D413="",0,ROUND(IF(OR($P413="Out",$P413="Suspended"),$Q413*$H413,IF($P413="Doubtful",$Q413*$H413*0.5,IF($P413="Limited",$Q413*$H413*0.25,0))),2))</x:f>
        <x:v>0</x:v>
      </x:c>
      <x:c r="T413" s="55" t="str"/>
      <x:c r="U413" s="51" t="str"/>
    </x:row>
    <x:row r="414">
      <x:c r="A414" s="51" t="str">
        <x:v>USA</x:v>
      </x:c>
      <x:c r="B414" s="51" t="str">
        <x:v>D</x:v>
      </x:c>
      <x:c r="C414" s="51" t="n">
        <x:v>20</x:v>
      </x:c>
      <x:c r="D414" s="71" t="str"/>
      <x:c r="E414" s="51" t="str">
        <x:v>Winger</x:v>
      </x:c>
      <x:c r="F414" s="51" t="str">
        <x:v>Attack</x:v>
      </x:c>
      <x:c r="G414" s="51" t="str">
        <x:v>Rotation</x:v>
      </x:c>
      <x:c r="H414" s="55" t="n">
        <x:v>0.35</x:v>
      </x:c>
      <x:c r="I414" s="51" t="str"/>
      <x:c r="J414" s="72" t="str"/>
      <x:c r="K414" s="72" t="str"/>
      <x:c r="L414" s="72" t="str"/>
      <x:c r="M414" s="72" t="str"/>
      <x:c r="N414" s="72" t="str"/>
      <x:c r="O414" s="72" t="str"/>
      <x:c r="P414" s="72" t="str">
        <x:v>Available</x:v>
      </x:c>
      <x:c r="Q414" s="72" t="n">
        <x:v>0</x:v>
      </x:c>
      <x:c r="R414" s="55" t="str">
        <x:f>IF($D414="","",ROUND(MAX(0,MIN(100,0.35*$J414+0.2*$K414+0.15*$L414+0.15*$M414+0.1*$N414+0.05*$O414-IF(OR($P414="Out",$P414="Suspended"),$Q414,IF($P414="Doubtful",$Q414*0.5,IF($P414="Limited",$Q414*0.25,0))))),2))</x:f>
      </x:c>
      <x:c r="S414" s="55" t="n">
        <x:f>IF($D414="",0,ROUND(IF(OR($P414="Out",$P414="Suspended"),$Q414*$H414,IF($P414="Doubtful",$Q414*$H414*0.5,IF($P414="Limited",$Q414*$H414*0.25,0))),2))</x:f>
        <x:v>0</x:v>
      </x:c>
      <x:c r="T414" s="55" t="str"/>
      <x:c r="U414" s="51" t="str"/>
    </x:row>
    <x:row r="415">
      <x:c r="A415" s="51" t="str">
        <x:v>USA</x:v>
      </x:c>
      <x:c r="B415" s="51" t="str">
        <x:v>D</x:v>
      </x:c>
      <x:c r="C415" s="51" t="n">
        <x:v>21</x:v>
      </x:c>
      <x:c r="D415" s="71" t="str"/>
      <x:c r="E415" s="51" t="str">
        <x:v>Winger</x:v>
      </x:c>
      <x:c r="F415" s="51" t="str">
        <x:v>Attack</x:v>
      </x:c>
      <x:c r="G415" s="51" t="str">
        <x:v>Depth</x:v>
      </x:c>
      <x:c r="H415" s="55" t="n">
        <x:v>0.1</x:v>
      </x:c>
      <x:c r="I415" s="51" t="str"/>
      <x:c r="J415" s="72" t="str"/>
      <x:c r="K415" s="72" t="str"/>
      <x:c r="L415" s="72" t="str"/>
      <x:c r="M415" s="72" t="str"/>
      <x:c r="N415" s="72" t="str"/>
      <x:c r="O415" s="72" t="str"/>
      <x:c r="P415" s="72" t="str">
        <x:v>Available</x:v>
      </x:c>
      <x:c r="Q415" s="72" t="n">
        <x:v>0</x:v>
      </x:c>
      <x:c r="R415" s="55" t="str">
        <x:f>IF($D415="","",ROUND(MAX(0,MIN(100,0.35*$J415+0.2*$K415+0.15*$L415+0.15*$M415+0.1*$N415+0.05*$O415-IF(OR($P415="Out",$P415="Suspended"),$Q415,IF($P415="Doubtful",$Q415*0.5,IF($P415="Limited",$Q415*0.25,0))))),2))</x:f>
      </x:c>
      <x:c r="S415" s="55" t="n">
        <x:f>IF($D415="",0,ROUND(IF(OR($P415="Out",$P415="Suspended"),$Q415*$H415,IF($P415="Doubtful",$Q415*$H415*0.5,IF($P415="Limited",$Q415*$H415*0.25,0))),2))</x:f>
        <x:v>0</x:v>
      </x:c>
      <x:c r="T415" s="55" t="str"/>
      <x:c r="U415" s="51" t="str"/>
    </x:row>
    <x:row r="416">
      <x:c r="A416" s="51" t="str">
        <x:v>USA</x:v>
      </x:c>
      <x:c r="B416" s="51" t="str">
        <x:v>D</x:v>
      </x:c>
      <x:c r="C416" s="51" t="n">
        <x:v>22</x:v>
      </x:c>
      <x:c r="D416" s="71" t="str"/>
      <x:c r="E416" s="51" t="str">
        <x:v>Winger</x:v>
      </x:c>
      <x:c r="F416" s="51" t="str">
        <x:v>Attack</x:v>
      </x:c>
      <x:c r="G416" s="51" t="str">
        <x:v>Depth</x:v>
      </x:c>
      <x:c r="H416" s="55" t="n">
        <x:v>0.1</x:v>
      </x:c>
      <x:c r="I416" s="51" t="str"/>
      <x:c r="J416" s="72" t="str"/>
      <x:c r="K416" s="72" t="str"/>
      <x:c r="L416" s="72" t="str"/>
      <x:c r="M416" s="72" t="str"/>
      <x:c r="N416" s="72" t="str"/>
      <x:c r="O416" s="72" t="str"/>
      <x:c r="P416" s="72" t="str">
        <x:v>Available</x:v>
      </x:c>
      <x:c r="Q416" s="72" t="n">
        <x:v>0</x:v>
      </x:c>
      <x:c r="R416" s="55" t="str">
        <x:f>IF($D416="","",ROUND(MAX(0,MIN(100,0.35*$J416+0.2*$K416+0.15*$L416+0.15*$M416+0.1*$N416+0.05*$O416-IF(OR($P416="Out",$P416="Suspended"),$Q416,IF($P416="Doubtful",$Q416*0.5,IF($P416="Limited",$Q416*0.25,0))))),2))</x:f>
      </x:c>
      <x:c r="S416" s="55" t="n">
        <x:f>IF($D416="",0,ROUND(IF(OR($P416="Out",$P416="Suspended"),$Q416*$H416,IF($P416="Doubtful",$Q416*$H416*0.5,IF($P416="Limited",$Q416*$H416*0.25,0))),2))</x:f>
        <x:v>0</x:v>
      </x:c>
      <x:c r="T416" s="55" t="str"/>
      <x:c r="U416" s="51" t="str"/>
    </x:row>
    <x:row r="417">
      <x:c r="A417" s="51" t="str">
        <x:v>USA</x:v>
      </x:c>
      <x:c r="B417" s="51" t="str">
        <x:v>D</x:v>
      </x:c>
      <x:c r="C417" s="51" t="n">
        <x:v>23</x:v>
      </x:c>
      <x:c r="D417" s="71" t="str"/>
      <x:c r="E417" s="51" t="str">
        <x:v>Winger</x:v>
      </x:c>
      <x:c r="F417" s="51" t="str">
        <x:v>Attack</x:v>
      </x:c>
      <x:c r="G417" s="51" t="str">
        <x:v>Depth</x:v>
      </x:c>
      <x:c r="H417" s="55" t="n">
        <x:v>0.1</x:v>
      </x:c>
      <x:c r="I417" s="51" t="str"/>
      <x:c r="J417" s="72" t="str"/>
      <x:c r="K417" s="72" t="str"/>
      <x:c r="L417" s="72" t="str"/>
      <x:c r="M417" s="72" t="str"/>
      <x:c r="N417" s="72" t="str"/>
      <x:c r="O417" s="72" t="str"/>
      <x:c r="P417" s="72" t="str">
        <x:v>Available</x:v>
      </x:c>
      <x:c r="Q417" s="72" t="n">
        <x:v>0</x:v>
      </x:c>
      <x:c r="R417" s="55" t="str">
        <x:f>IF($D417="","",ROUND(MAX(0,MIN(100,0.35*$J417+0.2*$K417+0.15*$L417+0.15*$M417+0.1*$N417+0.05*$O417-IF(OR($P417="Out",$P417="Suspended"),$Q417,IF($P417="Doubtful",$Q417*0.5,IF($P417="Limited",$Q417*0.25,0))))),2))</x:f>
      </x:c>
      <x:c r="S417" s="55" t="n">
        <x:f>IF($D417="",0,ROUND(IF(OR($P417="Out",$P417="Suspended"),$Q417*$H417,IF($P417="Doubtful",$Q417*$H417*0.5,IF($P417="Limited",$Q417*$H417*0.25,0))),2))</x:f>
        <x:v>0</x:v>
      </x:c>
      <x:c r="T417" s="55" t="str"/>
      <x:c r="U417" s="51" t="str"/>
    </x:row>
    <x:row r="418">
      <x:c r="A418" s="51" t="str">
        <x:v>USA</x:v>
      </x:c>
      <x:c r="B418" s="51" t="str">
        <x:v>D</x:v>
      </x:c>
      <x:c r="C418" s="51" t="n">
        <x:v>24</x:v>
      </x:c>
      <x:c r="D418" s="71" t="str"/>
      <x:c r="E418" s="51" t="str">
        <x:v>ST</x:v>
      </x:c>
      <x:c r="F418" s="51" t="str">
        <x:v>Attack</x:v>
      </x:c>
      <x:c r="G418" s="51" t="str">
        <x:v>Depth</x:v>
      </x:c>
      <x:c r="H418" s="55" t="n">
        <x:v>0.1</x:v>
      </x:c>
      <x:c r="I418" s="51" t="str"/>
      <x:c r="J418" s="72" t="str"/>
      <x:c r="K418" s="72" t="str"/>
      <x:c r="L418" s="72" t="str"/>
      <x:c r="M418" s="72" t="str"/>
      <x:c r="N418" s="72" t="str"/>
      <x:c r="O418" s="72" t="str"/>
      <x:c r="P418" s="72" t="str">
        <x:v>Available</x:v>
      </x:c>
      <x:c r="Q418" s="72" t="n">
        <x:v>0</x:v>
      </x:c>
      <x:c r="R418" s="55" t="str">
        <x:f>IF($D418="","",ROUND(MAX(0,MIN(100,0.35*$J418+0.2*$K418+0.15*$L418+0.15*$M418+0.1*$N418+0.05*$O418-IF(OR($P418="Out",$P418="Suspended"),$Q418,IF($P418="Doubtful",$Q418*0.5,IF($P418="Limited",$Q418*0.25,0))))),2))</x:f>
      </x:c>
      <x:c r="S418" s="55" t="n">
        <x:f>IF($D418="",0,ROUND(IF(OR($P418="Out",$P418="Suspended"),$Q418*$H418,IF($P418="Doubtful",$Q418*$H418*0.5,IF($P418="Limited",$Q418*$H418*0.25,0))),2))</x:f>
        <x:v>0</x:v>
      </x:c>
      <x:c r="T418" s="55" t="str"/>
      <x:c r="U418" s="51" t="str"/>
    </x:row>
    <x:row r="419">
      <x:c r="A419" s="51" t="str">
        <x:v>USA</x:v>
      </x:c>
      <x:c r="B419" s="51" t="str">
        <x:v>D</x:v>
      </x:c>
      <x:c r="C419" s="51" t="n">
        <x:v>25</x:v>
      </x:c>
      <x:c r="D419" s="71" t="str"/>
      <x:c r="E419" s="51" t="str">
        <x:v>ST</x:v>
      </x:c>
      <x:c r="F419" s="51" t="str">
        <x:v>Attack</x:v>
      </x:c>
      <x:c r="G419" s="51" t="str">
        <x:v>Depth</x:v>
      </x:c>
      <x:c r="H419" s="55" t="n">
        <x:v>0.1</x:v>
      </x:c>
      <x:c r="I419" s="51" t="str"/>
      <x:c r="J419" s="72" t="str"/>
      <x:c r="K419" s="72" t="str"/>
      <x:c r="L419" s="72" t="str"/>
      <x:c r="M419" s="72" t="str"/>
      <x:c r="N419" s="72" t="str"/>
      <x:c r="O419" s="72" t="str"/>
      <x:c r="P419" s="72" t="str">
        <x:v>Available</x:v>
      </x:c>
      <x:c r="Q419" s="72" t="n">
        <x:v>0</x:v>
      </x:c>
      <x:c r="R419" s="55" t="str">
        <x:f>IF($D419="","",ROUND(MAX(0,MIN(100,0.35*$J419+0.2*$K419+0.15*$L419+0.15*$M419+0.1*$N419+0.05*$O419-IF(OR($P419="Out",$P419="Suspended"),$Q419,IF($P419="Doubtful",$Q419*0.5,IF($P419="Limited",$Q419*0.25,0))))),2))</x:f>
      </x:c>
      <x:c r="S419" s="55" t="n">
        <x:f>IF($D419="",0,ROUND(IF(OR($P419="Out",$P419="Suspended"),$Q419*$H419,IF($P419="Doubtful",$Q419*$H419*0.5,IF($P419="Limited",$Q419*$H419*0.25,0))),2))</x:f>
        <x:v>0</x:v>
      </x:c>
      <x:c r="T419" s="55" t="str"/>
      <x:c r="U419" s="51" t="str"/>
    </x:row>
    <x:row r="420">
      <x:c r="A420" s="51" t="str">
        <x:v>USA</x:v>
      </x:c>
      <x:c r="B420" s="51" t="str">
        <x:v>D</x:v>
      </x:c>
      <x:c r="C420" s="51" t="n">
        <x:v>26</x:v>
      </x:c>
      <x:c r="D420" s="71" t="str"/>
      <x:c r="E420" s="51" t="str">
        <x:v>ST</x:v>
      </x:c>
      <x:c r="F420" s="51" t="str">
        <x:v>Attack</x:v>
      </x:c>
      <x:c r="G420" s="51" t="str">
        <x:v>Depth</x:v>
      </x:c>
      <x:c r="H420" s="55" t="n">
        <x:v>0.1</x:v>
      </x:c>
      <x:c r="I420" s="51" t="str"/>
      <x:c r="J420" s="72" t="str"/>
      <x:c r="K420" s="72" t="str"/>
      <x:c r="L420" s="72" t="str"/>
      <x:c r="M420" s="72" t="str"/>
      <x:c r="N420" s="72" t="str"/>
      <x:c r="O420" s="72" t="str"/>
      <x:c r="P420" s="72" t="str">
        <x:v>Available</x:v>
      </x:c>
      <x:c r="Q420" s="72" t="n">
        <x:v>0</x:v>
      </x:c>
      <x:c r="R420" s="55" t="str">
        <x:f>IF($D420="","",ROUND(MAX(0,MIN(100,0.35*$J420+0.2*$K420+0.15*$L420+0.15*$M420+0.1*$N420+0.05*$O420-IF(OR($P420="Out",$P420="Suspended"),$Q420,IF($P420="Doubtful",$Q420*0.5,IF($P420="Limited",$Q420*0.25,0))))),2))</x:f>
      </x:c>
      <x:c r="S420" s="55" t="n">
        <x:f>IF($D420="",0,ROUND(IF(OR($P420="Out",$P420="Suspended"),$Q420*$H420,IF($P420="Doubtful",$Q420*$H420*0.5,IF($P420="Limited",$Q420*$H420*0.25,0))),2))</x:f>
        <x:v>0</x:v>
      </x:c>
      <x:c r="T420" s="55" t="str"/>
      <x:c r="U420" s="51" t="str"/>
    </x:row>
    <x:row r="421">
      <x:c r="A421" s="51" t="str">
        <x:v>Curaçao</x:v>
      </x:c>
      <x:c r="B421" s="51" t="str">
        <x:v>E</x:v>
      </x:c>
      <x:c r="C421" s="51" t="n">
        <x:v>1</x:v>
      </x:c>
      <x:c r="D421" s="71" t="str"/>
      <x:c r="E421" s="51" t="str">
        <x:v>GK</x:v>
      </x:c>
      <x:c r="F421" s="51" t="str">
        <x:v>GK</x:v>
      </x:c>
      <x:c r="G421" s="51" t="str">
        <x:v>Starter</x:v>
      </x:c>
      <x:c r="H421" s="55" t="n">
        <x:v>1</x:v>
      </x:c>
      <x:c r="I421" s="51" t="str"/>
      <x:c r="J421" s="72" t="str"/>
      <x:c r="K421" s="72" t="str"/>
      <x:c r="L421" s="72" t="str"/>
      <x:c r="M421" s="72" t="str"/>
      <x:c r="N421" s="72" t="str"/>
      <x:c r="O421" s="72" t="str"/>
      <x:c r="P421" s="72" t="str">
        <x:v>Available</x:v>
      </x:c>
      <x:c r="Q421" s="72" t="n">
        <x:v>0</x:v>
      </x:c>
      <x:c r="R421" s="55" t="str">
        <x:f>IF($D421="","",ROUND(MAX(0,MIN(100,0.35*$J421+0.2*$K421+0.15*$L421+0.15*$M421+0.1*$N421+0.05*$O421-IF(OR($P421="Out",$P421="Suspended"),$Q421,IF($P421="Doubtful",$Q421*0.5,IF($P421="Limited",$Q421*0.25,0))))),2))</x:f>
      </x:c>
      <x:c r="S421" s="55" t="n">
        <x:f>IF($D421="",0,ROUND(IF(OR($P421="Out",$P421="Suspended"),$Q421*$H421,IF($P421="Doubtful",$Q421*$H421*0.5,IF($P421="Limited",$Q421*$H421*0.25,0))),2))</x:f>
        <x:v>0</x:v>
      </x:c>
      <x:c r="T421" s="55" t="str"/>
      <x:c r="U421" s="51" t="str"/>
    </x:row>
    <x:row r="422">
      <x:c r="A422" s="51" t="str">
        <x:v>Curaçao</x:v>
      </x:c>
      <x:c r="B422" s="51" t="str">
        <x:v>E</x:v>
      </x:c>
      <x:c r="C422" s="51" t="n">
        <x:v>2</x:v>
      </x:c>
      <x:c r="D422" s="71" t="str"/>
      <x:c r="E422" s="51" t="str">
        <x:v>GK</x:v>
      </x:c>
      <x:c r="F422" s="51" t="str">
        <x:v>GK</x:v>
      </x:c>
      <x:c r="G422" s="51" t="str">
        <x:v>Starter</x:v>
      </x:c>
      <x:c r="H422" s="55" t="n">
        <x:v>1</x:v>
      </x:c>
      <x:c r="I422" s="51" t="str"/>
      <x:c r="J422" s="72" t="str"/>
      <x:c r="K422" s="72" t="str"/>
      <x:c r="L422" s="72" t="str"/>
      <x:c r="M422" s="72" t="str"/>
      <x:c r="N422" s="72" t="str"/>
      <x:c r="O422" s="72" t="str"/>
      <x:c r="P422" s="72" t="str">
        <x:v>Available</x:v>
      </x:c>
      <x:c r="Q422" s="72" t="n">
        <x:v>0</x:v>
      </x:c>
      <x:c r="R422" s="55" t="str">
        <x:f>IF($D422="","",ROUND(MAX(0,MIN(100,0.35*$J422+0.2*$K422+0.15*$L422+0.15*$M422+0.1*$N422+0.05*$O422-IF(OR($P422="Out",$P422="Suspended"),$Q422,IF($P422="Doubtful",$Q422*0.5,IF($P422="Limited",$Q422*0.25,0))))),2))</x:f>
      </x:c>
      <x:c r="S422" s="55" t="n">
        <x:f>IF($D422="",0,ROUND(IF(OR($P422="Out",$P422="Suspended"),$Q422*$H422,IF($P422="Doubtful",$Q422*$H422*0.5,IF($P422="Limited",$Q422*$H422*0.25,0))),2))</x:f>
        <x:v>0</x:v>
      </x:c>
      <x:c r="T422" s="55" t="str"/>
      <x:c r="U422" s="51" t="str"/>
    </x:row>
    <x:row r="423">
      <x:c r="A423" s="51" t="str">
        <x:v>Curaçao</x:v>
      </x:c>
      <x:c r="B423" s="51" t="str">
        <x:v>E</x:v>
      </x:c>
      <x:c r="C423" s="51" t="n">
        <x:v>3</x:v>
      </x:c>
      <x:c r="D423" s="71" t="str"/>
      <x:c r="E423" s="51" t="str">
        <x:v>GK</x:v>
      </x:c>
      <x:c r="F423" s="51" t="str">
        <x:v>GK</x:v>
      </x:c>
      <x:c r="G423" s="51" t="str">
        <x:v>Starter</x:v>
      </x:c>
      <x:c r="H423" s="55" t="n">
        <x:v>1</x:v>
      </x:c>
      <x:c r="I423" s="51" t="str"/>
      <x:c r="J423" s="72" t="str"/>
      <x:c r="K423" s="72" t="str"/>
      <x:c r="L423" s="72" t="str"/>
      <x:c r="M423" s="72" t="str"/>
      <x:c r="N423" s="72" t="str"/>
      <x:c r="O423" s="72" t="str"/>
      <x:c r="P423" s="72" t="str">
        <x:v>Available</x:v>
      </x:c>
      <x:c r="Q423" s="72" t="n">
        <x:v>0</x:v>
      </x:c>
      <x:c r="R423" s="55" t="str">
        <x:f>IF($D423="","",ROUND(MAX(0,MIN(100,0.35*$J423+0.2*$K423+0.15*$L423+0.15*$M423+0.1*$N423+0.05*$O423-IF(OR($P423="Out",$P423="Suspended"),$Q423,IF($P423="Doubtful",$Q423*0.5,IF($P423="Limited",$Q423*0.25,0))))),2))</x:f>
      </x:c>
      <x:c r="S423" s="55" t="n">
        <x:f>IF($D423="",0,ROUND(IF(OR($P423="Out",$P423="Suspended"),$Q423*$H423,IF($P423="Doubtful",$Q423*$H423*0.5,IF($P423="Limited",$Q423*$H423*0.25,0))),2))</x:f>
        <x:v>0</x:v>
      </x:c>
      <x:c r="T423" s="55" t="str"/>
      <x:c r="U423" s="51" t="str"/>
    </x:row>
    <x:row r="424">
      <x:c r="A424" s="51" t="str">
        <x:v>Curaçao</x:v>
      </x:c>
      <x:c r="B424" s="51" t="str">
        <x:v>E</x:v>
      </x:c>
      <x:c r="C424" s="51" t="n">
        <x:v>4</x:v>
      </x:c>
      <x:c r="D424" s="71" t="str"/>
      <x:c r="E424" s="51" t="str">
        <x:v>CB</x:v>
      </x:c>
      <x:c r="F424" s="51" t="str">
        <x:v>Defence</x:v>
      </x:c>
      <x:c r="G424" s="51" t="str">
        <x:v>Starter</x:v>
      </x:c>
      <x:c r="H424" s="55" t="n">
        <x:v>1</x:v>
      </x:c>
      <x:c r="I424" s="51" t="str"/>
      <x:c r="J424" s="72" t="str"/>
      <x:c r="K424" s="72" t="str"/>
      <x:c r="L424" s="72" t="str"/>
      <x:c r="M424" s="72" t="str"/>
      <x:c r="N424" s="72" t="str"/>
      <x:c r="O424" s="72" t="str"/>
      <x:c r="P424" s="72" t="str">
        <x:v>Available</x:v>
      </x:c>
      <x:c r="Q424" s="72" t="n">
        <x:v>0</x:v>
      </x:c>
      <x:c r="R424" s="55" t="str">
        <x:f>IF($D424="","",ROUND(MAX(0,MIN(100,0.35*$J424+0.2*$K424+0.15*$L424+0.15*$M424+0.1*$N424+0.05*$O424-IF(OR($P424="Out",$P424="Suspended"),$Q424,IF($P424="Doubtful",$Q424*0.5,IF($P424="Limited",$Q424*0.25,0))))),2))</x:f>
      </x:c>
      <x:c r="S424" s="55" t="n">
        <x:f>IF($D424="",0,ROUND(IF(OR($P424="Out",$P424="Suspended"),$Q424*$H424,IF($P424="Doubtful",$Q424*$H424*0.5,IF($P424="Limited",$Q424*$H424*0.25,0))),2))</x:f>
        <x:v>0</x:v>
      </x:c>
      <x:c r="T424" s="55" t="str"/>
      <x:c r="U424" s="51" t="str"/>
    </x:row>
    <x:row r="425">
      <x:c r="A425" s="51" t="str">
        <x:v>Curaçao</x:v>
      </x:c>
      <x:c r="B425" s="51" t="str">
        <x:v>E</x:v>
      </x:c>
      <x:c r="C425" s="51" t="n">
        <x:v>5</x:v>
      </x:c>
      <x:c r="D425" s="71" t="str"/>
      <x:c r="E425" s="51" t="str">
        <x:v>CB</x:v>
      </x:c>
      <x:c r="F425" s="51" t="str">
        <x:v>Defence</x:v>
      </x:c>
      <x:c r="G425" s="51" t="str">
        <x:v>Starter</x:v>
      </x:c>
      <x:c r="H425" s="55" t="n">
        <x:v>1</x:v>
      </x:c>
      <x:c r="I425" s="51" t="str"/>
      <x:c r="J425" s="72" t="str"/>
      <x:c r="K425" s="72" t="str"/>
      <x:c r="L425" s="72" t="str"/>
      <x:c r="M425" s="72" t="str"/>
      <x:c r="N425" s="72" t="str"/>
      <x:c r="O425" s="72" t="str"/>
      <x:c r="P425" s="72" t="str">
        <x:v>Available</x:v>
      </x:c>
      <x:c r="Q425" s="72" t="n">
        <x:v>0</x:v>
      </x:c>
      <x:c r="R425" s="55" t="str">
        <x:f>IF($D425="","",ROUND(MAX(0,MIN(100,0.35*$J425+0.2*$K425+0.15*$L425+0.15*$M425+0.1*$N425+0.05*$O425-IF(OR($P425="Out",$P425="Suspended"),$Q425,IF($P425="Doubtful",$Q425*0.5,IF($P425="Limited",$Q425*0.25,0))))),2))</x:f>
      </x:c>
      <x:c r="S425" s="55" t="n">
        <x:f>IF($D425="",0,ROUND(IF(OR($P425="Out",$P425="Suspended"),$Q425*$H425,IF($P425="Doubtful",$Q425*$H425*0.5,IF($P425="Limited",$Q425*$H425*0.25,0))),2))</x:f>
        <x:v>0</x:v>
      </x:c>
      <x:c r="T425" s="55" t="str"/>
      <x:c r="U425" s="51" t="str"/>
    </x:row>
    <x:row r="426">
      <x:c r="A426" s="51" t="str">
        <x:v>Curaçao</x:v>
      </x:c>
      <x:c r="B426" s="51" t="str">
        <x:v>E</x:v>
      </x:c>
      <x:c r="C426" s="51" t="n">
        <x:v>6</x:v>
      </x:c>
      <x:c r="D426" s="71" t="str"/>
      <x:c r="E426" s="51" t="str">
        <x:v>CB</x:v>
      </x:c>
      <x:c r="F426" s="51" t="str">
        <x:v>Defence</x:v>
      </x:c>
      <x:c r="G426" s="51" t="str">
        <x:v>Starter</x:v>
      </x:c>
      <x:c r="H426" s="55" t="n">
        <x:v>1</x:v>
      </x:c>
      <x:c r="I426" s="51" t="str"/>
      <x:c r="J426" s="72" t="str"/>
      <x:c r="K426" s="72" t="str"/>
      <x:c r="L426" s="72" t="str"/>
      <x:c r="M426" s="72" t="str"/>
      <x:c r="N426" s="72" t="str"/>
      <x:c r="O426" s="72" t="str"/>
      <x:c r="P426" s="72" t="str">
        <x:v>Available</x:v>
      </x:c>
      <x:c r="Q426" s="72" t="n">
        <x:v>0</x:v>
      </x:c>
      <x:c r="R426" s="55" t="str">
        <x:f>IF($D426="","",ROUND(MAX(0,MIN(100,0.35*$J426+0.2*$K426+0.15*$L426+0.15*$M426+0.1*$N426+0.05*$O426-IF(OR($P426="Out",$P426="Suspended"),$Q426,IF($P426="Doubtful",$Q426*0.5,IF($P426="Limited",$Q426*0.25,0))))),2))</x:f>
      </x:c>
      <x:c r="S426" s="55" t="n">
        <x:f>IF($D426="",0,ROUND(IF(OR($P426="Out",$P426="Suspended"),$Q426*$H426,IF($P426="Doubtful",$Q426*$H426*0.5,IF($P426="Limited",$Q426*$H426*0.25,0))),2))</x:f>
        <x:v>0</x:v>
      </x:c>
      <x:c r="T426" s="55" t="str"/>
      <x:c r="U426" s="51" t="str"/>
    </x:row>
    <x:row r="427">
      <x:c r="A427" s="51" t="str">
        <x:v>Curaçao</x:v>
      </x:c>
      <x:c r="B427" s="51" t="str">
        <x:v>E</x:v>
      </x:c>
      <x:c r="C427" s="51" t="n">
        <x:v>7</x:v>
      </x:c>
      <x:c r="D427" s="71" t="str"/>
      <x:c r="E427" s="51" t="str">
        <x:v>FB</x:v>
      </x:c>
      <x:c r="F427" s="51" t="str">
        <x:v>Defence</x:v>
      </x:c>
      <x:c r="G427" s="51" t="str">
        <x:v>Starter</x:v>
      </x:c>
      <x:c r="H427" s="55" t="n">
        <x:v>1</x:v>
      </x:c>
      <x:c r="I427" s="51" t="str"/>
      <x:c r="J427" s="72" t="str"/>
      <x:c r="K427" s="72" t="str"/>
      <x:c r="L427" s="72" t="str"/>
      <x:c r="M427" s="72" t="str"/>
      <x:c r="N427" s="72" t="str"/>
      <x:c r="O427" s="72" t="str"/>
      <x:c r="P427" s="72" t="str">
        <x:v>Available</x:v>
      </x:c>
      <x:c r="Q427" s="72" t="n">
        <x:v>0</x:v>
      </x:c>
      <x:c r="R427" s="55" t="str">
        <x:f>IF($D427="","",ROUND(MAX(0,MIN(100,0.35*$J427+0.2*$K427+0.15*$L427+0.15*$M427+0.1*$N427+0.05*$O427-IF(OR($P427="Out",$P427="Suspended"),$Q427,IF($P427="Doubtful",$Q427*0.5,IF($P427="Limited",$Q427*0.25,0))))),2))</x:f>
      </x:c>
      <x:c r="S427" s="55" t="n">
        <x:f>IF($D427="",0,ROUND(IF(OR($P427="Out",$P427="Suspended"),$Q427*$H427,IF($P427="Doubtful",$Q427*$H427*0.5,IF($P427="Limited",$Q427*$H427*0.25,0))),2))</x:f>
        <x:v>0</x:v>
      </x:c>
      <x:c r="T427" s="55" t="str"/>
      <x:c r="U427" s="51" t="str"/>
    </x:row>
    <x:row r="428">
      <x:c r="A428" s="51" t="str">
        <x:v>Curaçao</x:v>
      </x:c>
      <x:c r="B428" s="51" t="str">
        <x:v>E</x:v>
      </x:c>
      <x:c r="C428" s="51" t="n">
        <x:v>8</x:v>
      </x:c>
      <x:c r="D428" s="71" t="str"/>
      <x:c r="E428" s="51" t="str">
        <x:v>FB</x:v>
      </x:c>
      <x:c r="F428" s="51" t="str">
        <x:v>Defence</x:v>
      </x:c>
      <x:c r="G428" s="51" t="str">
        <x:v>Starter</x:v>
      </x:c>
      <x:c r="H428" s="55" t="n">
        <x:v>1</x:v>
      </x:c>
      <x:c r="I428" s="51" t="str"/>
      <x:c r="J428" s="72" t="str"/>
      <x:c r="K428" s="72" t="str"/>
      <x:c r="L428" s="72" t="str"/>
      <x:c r="M428" s="72" t="str"/>
      <x:c r="N428" s="72" t="str"/>
      <x:c r="O428" s="72" t="str"/>
      <x:c r="P428" s="72" t="str">
        <x:v>Available</x:v>
      </x:c>
      <x:c r="Q428" s="72" t="n">
        <x:v>0</x:v>
      </x:c>
      <x:c r="R428" s="55" t="str">
        <x:f>IF($D428="","",ROUND(MAX(0,MIN(100,0.35*$J428+0.2*$K428+0.15*$L428+0.15*$M428+0.1*$N428+0.05*$O428-IF(OR($P428="Out",$P428="Suspended"),$Q428,IF($P428="Doubtful",$Q428*0.5,IF($P428="Limited",$Q428*0.25,0))))),2))</x:f>
      </x:c>
      <x:c r="S428" s="55" t="n">
        <x:f>IF($D428="",0,ROUND(IF(OR($P428="Out",$P428="Suspended"),$Q428*$H428,IF($P428="Doubtful",$Q428*$H428*0.5,IF($P428="Limited",$Q428*$H428*0.25,0))),2))</x:f>
        <x:v>0</x:v>
      </x:c>
      <x:c r="T428" s="55" t="str"/>
      <x:c r="U428" s="51" t="str"/>
    </x:row>
    <x:row r="429">
      <x:c r="A429" s="51" t="str">
        <x:v>Curaçao</x:v>
      </x:c>
      <x:c r="B429" s="51" t="str">
        <x:v>E</x:v>
      </x:c>
      <x:c r="C429" s="51" t="n">
        <x:v>9</x:v>
      </x:c>
      <x:c r="D429" s="71" t="str"/>
      <x:c r="E429" s="51" t="str">
        <x:v>DM</x:v>
      </x:c>
      <x:c r="F429" s="51" t="str">
        <x:v>Midfield</x:v>
      </x:c>
      <x:c r="G429" s="51" t="str">
        <x:v>Starter</x:v>
      </x:c>
      <x:c r="H429" s="55" t="n">
        <x:v>1</x:v>
      </x:c>
      <x:c r="I429" s="51" t="str"/>
      <x:c r="J429" s="72" t="str"/>
      <x:c r="K429" s="72" t="str"/>
      <x:c r="L429" s="72" t="str"/>
      <x:c r="M429" s="72" t="str"/>
      <x:c r="N429" s="72" t="str"/>
      <x:c r="O429" s="72" t="str"/>
      <x:c r="P429" s="72" t="str">
        <x:v>Available</x:v>
      </x:c>
      <x:c r="Q429" s="72" t="n">
        <x:v>0</x:v>
      </x:c>
      <x:c r="R429" s="55" t="str">
        <x:f>IF($D429="","",ROUND(MAX(0,MIN(100,0.35*$J429+0.2*$K429+0.15*$L429+0.15*$M429+0.1*$N429+0.05*$O429-IF(OR($P429="Out",$P429="Suspended"),$Q429,IF($P429="Doubtful",$Q429*0.5,IF($P429="Limited",$Q429*0.25,0))))),2))</x:f>
      </x:c>
      <x:c r="S429" s="55" t="n">
        <x:f>IF($D429="",0,ROUND(IF(OR($P429="Out",$P429="Suspended"),$Q429*$H429,IF($P429="Doubtful",$Q429*$H429*0.5,IF($P429="Limited",$Q429*$H429*0.25,0))),2))</x:f>
        <x:v>0</x:v>
      </x:c>
      <x:c r="T429" s="55" t="str"/>
      <x:c r="U429" s="51" t="str"/>
    </x:row>
    <x:row r="430">
      <x:c r="A430" s="51" t="str">
        <x:v>Curaçao</x:v>
      </x:c>
      <x:c r="B430" s="51" t="str">
        <x:v>E</x:v>
      </x:c>
      <x:c r="C430" s="51" t="n">
        <x:v>10</x:v>
      </x:c>
      <x:c r="D430" s="71" t="str"/>
      <x:c r="E430" s="51" t="str">
        <x:v>DM</x:v>
      </x:c>
      <x:c r="F430" s="51" t="str">
        <x:v>Midfield</x:v>
      </x:c>
      <x:c r="G430" s="51" t="str">
        <x:v>Starter</x:v>
      </x:c>
      <x:c r="H430" s="55" t="n">
        <x:v>1</x:v>
      </x:c>
      <x:c r="I430" s="51" t="str"/>
      <x:c r="J430" s="72" t="str"/>
      <x:c r="K430" s="72" t="str"/>
      <x:c r="L430" s="72" t="str"/>
      <x:c r="M430" s="72" t="str"/>
      <x:c r="N430" s="72" t="str"/>
      <x:c r="O430" s="72" t="str"/>
      <x:c r="P430" s="72" t="str">
        <x:v>Available</x:v>
      </x:c>
      <x:c r="Q430" s="72" t="n">
        <x:v>0</x:v>
      </x:c>
      <x:c r="R430" s="55" t="str">
        <x:f>IF($D430="","",ROUND(MAX(0,MIN(100,0.35*$J430+0.2*$K430+0.15*$L430+0.15*$M430+0.1*$N430+0.05*$O430-IF(OR($P430="Out",$P430="Suspended"),$Q430,IF($P430="Doubtful",$Q430*0.5,IF($P430="Limited",$Q430*0.25,0))))),2))</x:f>
      </x:c>
      <x:c r="S430" s="55" t="n">
        <x:f>IF($D430="",0,ROUND(IF(OR($P430="Out",$P430="Suspended"),$Q430*$H430,IF($P430="Doubtful",$Q430*$H430*0.5,IF($P430="Limited",$Q430*$H430*0.25,0))),2))</x:f>
        <x:v>0</x:v>
      </x:c>
      <x:c r="T430" s="55" t="str"/>
      <x:c r="U430" s="51" t="str"/>
    </x:row>
    <x:row r="431">
      <x:c r="A431" s="51" t="str">
        <x:v>Curaçao</x:v>
      </x:c>
      <x:c r="B431" s="51" t="str">
        <x:v>E</x:v>
      </x:c>
      <x:c r="C431" s="51" t="n">
        <x:v>11</x:v>
      </x:c>
      <x:c r="D431" s="71" t="str"/>
      <x:c r="E431" s="51" t="str">
        <x:v>DM</x:v>
      </x:c>
      <x:c r="F431" s="51" t="str">
        <x:v>Midfield</x:v>
      </x:c>
      <x:c r="G431" s="51" t="str">
        <x:v>Starter</x:v>
      </x:c>
      <x:c r="H431" s="55" t="n">
        <x:v>1</x:v>
      </x:c>
      <x:c r="I431" s="51" t="str"/>
      <x:c r="J431" s="72" t="str"/>
      <x:c r="K431" s="72" t="str"/>
      <x:c r="L431" s="72" t="str"/>
      <x:c r="M431" s="72" t="str"/>
      <x:c r="N431" s="72" t="str"/>
      <x:c r="O431" s="72" t="str"/>
      <x:c r="P431" s="72" t="str">
        <x:v>Available</x:v>
      </x:c>
      <x:c r="Q431" s="72" t="n">
        <x:v>0</x:v>
      </x:c>
      <x:c r="R431" s="55" t="str">
        <x:f>IF($D431="","",ROUND(MAX(0,MIN(100,0.35*$J431+0.2*$K431+0.15*$L431+0.15*$M431+0.1*$N431+0.05*$O431-IF(OR($P431="Out",$P431="Suspended"),$Q431,IF($P431="Doubtful",$Q431*0.5,IF($P431="Limited",$Q431*0.25,0))))),2))</x:f>
      </x:c>
      <x:c r="S431" s="55" t="n">
        <x:f>IF($D431="",0,ROUND(IF(OR($P431="Out",$P431="Suspended"),$Q431*$H431,IF($P431="Doubtful",$Q431*$H431*0.5,IF($P431="Limited",$Q431*$H431*0.25,0))),2))</x:f>
        <x:v>0</x:v>
      </x:c>
      <x:c r="T431" s="55" t="str"/>
      <x:c r="U431" s="51" t="str"/>
    </x:row>
    <x:row r="432">
      <x:c r="A432" s="51" t="str">
        <x:v>Curaçao</x:v>
      </x:c>
      <x:c r="B432" s="51" t="str">
        <x:v>E</x:v>
      </x:c>
      <x:c r="C432" s="51" t="n">
        <x:v>12</x:v>
      </x:c>
      <x:c r="D432" s="71" t="str"/>
      <x:c r="E432" s="51" t="str">
        <x:v>CM</x:v>
      </x:c>
      <x:c r="F432" s="51" t="str">
        <x:v>Midfield</x:v>
      </x:c>
      <x:c r="G432" s="51" t="str">
        <x:v>Rotation</x:v>
      </x:c>
      <x:c r="H432" s="55" t="n">
        <x:v>0.35</x:v>
      </x:c>
      <x:c r="I432" s="51" t="str"/>
      <x:c r="J432" s="72" t="str"/>
      <x:c r="K432" s="72" t="str"/>
      <x:c r="L432" s="72" t="str"/>
      <x:c r="M432" s="72" t="str"/>
      <x:c r="N432" s="72" t="str"/>
      <x:c r="O432" s="72" t="str"/>
      <x:c r="P432" s="72" t="str">
        <x:v>Available</x:v>
      </x:c>
      <x:c r="Q432" s="72" t="n">
        <x:v>0</x:v>
      </x:c>
      <x:c r="R432" s="55" t="str">
        <x:f>IF($D432="","",ROUND(MAX(0,MIN(100,0.35*$J432+0.2*$K432+0.15*$L432+0.15*$M432+0.1*$N432+0.05*$O432-IF(OR($P432="Out",$P432="Suspended"),$Q432,IF($P432="Doubtful",$Q432*0.5,IF($P432="Limited",$Q432*0.25,0))))),2))</x:f>
      </x:c>
      <x:c r="S432" s="55" t="n">
        <x:f>IF($D432="",0,ROUND(IF(OR($P432="Out",$P432="Suspended"),$Q432*$H432,IF($P432="Doubtful",$Q432*$H432*0.5,IF($P432="Limited",$Q432*$H432*0.25,0))),2))</x:f>
        <x:v>0</x:v>
      </x:c>
      <x:c r="T432" s="55" t="str"/>
      <x:c r="U432" s="51" t="str"/>
    </x:row>
    <x:row r="433">
      <x:c r="A433" s="51" t="str">
        <x:v>Curaçao</x:v>
      </x:c>
      <x:c r="B433" s="51" t="str">
        <x:v>E</x:v>
      </x:c>
      <x:c r="C433" s="51" t="n">
        <x:v>13</x:v>
      </x:c>
      <x:c r="D433" s="71" t="str"/>
      <x:c r="E433" s="51" t="str">
        <x:v>CM</x:v>
      </x:c>
      <x:c r="F433" s="51" t="str">
        <x:v>Midfield</x:v>
      </x:c>
      <x:c r="G433" s="51" t="str">
        <x:v>Rotation</x:v>
      </x:c>
      <x:c r="H433" s="55" t="n">
        <x:v>0.35</x:v>
      </x:c>
      <x:c r="I433" s="51" t="str"/>
      <x:c r="J433" s="72" t="str"/>
      <x:c r="K433" s="72" t="str"/>
      <x:c r="L433" s="72" t="str"/>
      <x:c r="M433" s="72" t="str"/>
      <x:c r="N433" s="72" t="str"/>
      <x:c r="O433" s="72" t="str"/>
      <x:c r="P433" s="72" t="str">
        <x:v>Available</x:v>
      </x:c>
      <x:c r="Q433" s="72" t="n">
        <x:v>0</x:v>
      </x:c>
      <x:c r="R433" s="55" t="str">
        <x:f>IF($D433="","",ROUND(MAX(0,MIN(100,0.35*$J433+0.2*$K433+0.15*$L433+0.15*$M433+0.1*$N433+0.05*$O433-IF(OR($P433="Out",$P433="Suspended"),$Q433,IF($P433="Doubtful",$Q433*0.5,IF($P433="Limited",$Q433*0.25,0))))),2))</x:f>
      </x:c>
      <x:c r="S433" s="55" t="n">
        <x:f>IF($D433="",0,ROUND(IF(OR($P433="Out",$P433="Suspended"),$Q433*$H433,IF($P433="Doubtful",$Q433*$H433*0.5,IF($P433="Limited",$Q433*$H433*0.25,0))),2))</x:f>
        <x:v>0</x:v>
      </x:c>
      <x:c r="T433" s="55" t="str"/>
      <x:c r="U433" s="51" t="str"/>
    </x:row>
    <x:row r="434">
      <x:c r="A434" s="51" t="str">
        <x:v>Curaçao</x:v>
      </x:c>
      <x:c r="B434" s="51" t="str">
        <x:v>E</x:v>
      </x:c>
      <x:c r="C434" s="51" t="n">
        <x:v>14</x:v>
      </x:c>
      <x:c r="D434" s="71" t="str"/>
      <x:c r="E434" s="51" t="str">
        <x:v>CM</x:v>
      </x:c>
      <x:c r="F434" s="51" t="str">
        <x:v>Midfield</x:v>
      </x:c>
      <x:c r="G434" s="51" t="str">
        <x:v>Rotation</x:v>
      </x:c>
      <x:c r="H434" s="55" t="n">
        <x:v>0.35</x:v>
      </x:c>
      <x:c r="I434" s="51" t="str"/>
      <x:c r="J434" s="72" t="str"/>
      <x:c r="K434" s="72" t="str"/>
      <x:c r="L434" s="72" t="str"/>
      <x:c r="M434" s="72" t="str"/>
      <x:c r="N434" s="72" t="str"/>
      <x:c r="O434" s="72" t="str"/>
      <x:c r="P434" s="72" t="str">
        <x:v>Available</x:v>
      </x:c>
      <x:c r="Q434" s="72" t="n">
        <x:v>0</x:v>
      </x:c>
      <x:c r="R434" s="55" t="str">
        <x:f>IF($D434="","",ROUND(MAX(0,MIN(100,0.35*$J434+0.2*$K434+0.15*$L434+0.15*$M434+0.1*$N434+0.05*$O434-IF(OR($P434="Out",$P434="Suspended"),$Q434,IF($P434="Doubtful",$Q434*0.5,IF($P434="Limited",$Q434*0.25,0))))),2))</x:f>
      </x:c>
      <x:c r="S434" s="55" t="n">
        <x:f>IF($D434="",0,ROUND(IF(OR($P434="Out",$P434="Suspended"),$Q434*$H434,IF($P434="Doubtful",$Q434*$H434*0.5,IF($P434="Limited",$Q434*$H434*0.25,0))),2))</x:f>
        <x:v>0</x:v>
      </x:c>
      <x:c r="T434" s="55" t="str"/>
      <x:c r="U434" s="51" t="str"/>
    </x:row>
    <x:row r="435">
      <x:c r="A435" s="51" t="str">
        <x:v>Curaçao</x:v>
      </x:c>
      <x:c r="B435" s="51" t="str">
        <x:v>E</x:v>
      </x:c>
      <x:c r="C435" s="51" t="n">
        <x:v>15</x:v>
      </x:c>
      <x:c r="D435" s="71" t="str"/>
      <x:c r="E435" s="51" t="str">
        <x:v>CM</x:v>
      </x:c>
      <x:c r="F435" s="51" t="str">
        <x:v>Midfield</x:v>
      </x:c>
      <x:c r="G435" s="51" t="str">
        <x:v>Rotation</x:v>
      </x:c>
      <x:c r="H435" s="55" t="n">
        <x:v>0.35</x:v>
      </x:c>
      <x:c r="I435" s="51" t="str"/>
      <x:c r="J435" s="72" t="str"/>
      <x:c r="K435" s="72" t="str"/>
      <x:c r="L435" s="72" t="str"/>
      <x:c r="M435" s="72" t="str"/>
      <x:c r="N435" s="72" t="str"/>
      <x:c r="O435" s="72" t="str"/>
      <x:c r="P435" s="72" t="str">
        <x:v>Available</x:v>
      </x:c>
      <x:c r="Q435" s="72" t="n">
        <x:v>0</x:v>
      </x:c>
      <x:c r="R435" s="55" t="str">
        <x:f>IF($D435="","",ROUND(MAX(0,MIN(100,0.35*$J435+0.2*$K435+0.15*$L435+0.15*$M435+0.1*$N435+0.05*$O435-IF(OR($P435="Out",$P435="Suspended"),$Q435,IF($P435="Doubtful",$Q435*0.5,IF($P435="Limited",$Q435*0.25,0))))),2))</x:f>
      </x:c>
      <x:c r="S435" s="55" t="n">
        <x:f>IF($D435="",0,ROUND(IF(OR($P435="Out",$P435="Suspended"),$Q435*$H435,IF($P435="Doubtful",$Q435*$H435*0.5,IF($P435="Limited",$Q435*$H435*0.25,0))),2))</x:f>
        <x:v>0</x:v>
      </x:c>
      <x:c r="T435" s="55" t="str"/>
      <x:c r="U435" s="51" t="str"/>
    </x:row>
    <x:row r="436">
      <x:c r="A436" s="51" t="str">
        <x:v>Curaçao</x:v>
      </x:c>
      <x:c r="B436" s="51" t="str">
        <x:v>E</x:v>
      </x:c>
      <x:c r="C436" s="51" t="n">
        <x:v>16</x:v>
      </x:c>
      <x:c r="D436" s="71" t="str"/>
      <x:c r="E436" s="51" t="str">
        <x:v>AM</x:v>
      </x:c>
      <x:c r="F436" s="51" t="str">
        <x:v>Attack</x:v>
      </x:c>
      <x:c r="G436" s="51" t="str">
        <x:v>Rotation</x:v>
      </x:c>
      <x:c r="H436" s="55" t="n">
        <x:v>0.35</x:v>
      </x:c>
      <x:c r="I436" s="51" t="str"/>
      <x:c r="J436" s="72" t="str"/>
      <x:c r="K436" s="72" t="str"/>
      <x:c r="L436" s="72" t="str"/>
      <x:c r="M436" s="72" t="str"/>
      <x:c r="N436" s="72" t="str"/>
      <x:c r="O436" s="72" t="str"/>
      <x:c r="P436" s="72" t="str">
        <x:v>Available</x:v>
      </x:c>
      <x:c r="Q436" s="72" t="n">
        <x:v>0</x:v>
      </x:c>
      <x:c r="R436" s="55" t="str">
        <x:f>IF($D436="","",ROUND(MAX(0,MIN(100,0.35*$J436+0.2*$K436+0.15*$L436+0.15*$M436+0.1*$N436+0.05*$O436-IF(OR($P436="Out",$P436="Suspended"),$Q436,IF($P436="Doubtful",$Q436*0.5,IF($P436="Limited",$Q436*0.25,0))))),2))</x:f>
      </x:c>
      <x:c r="S436" s="55" t="n">
        <x:f>IF($D436="",0,ROUND(IF(OR($P436="Out",$P436="Suspended"),$Q436*$H436,IF($P436="Doubtful",$Q436*$H436*0.5,IF($P436="Limited",$Q436*$H436*0.25,0))),2))</x:f>
        <x:v>0</x:v>
      </x:c>
      <x:c r="T436" s="55" t="str"/>
      <x:c r="U436" s="51" t="str"/>
    </x:row>
    <x:row r="437">
      <x:c r="A437" s="51" t="str">
        <x:v>Curaçao</x:v>
      </x:c>
      <x:c r="B437" s="51" t="str">
        <x:v>E</x:v>
      </x:c>
      <x:c r="C437" s="51" t="n">
        <x:v>17</x:v>
      </x:c>
      <x:c r="D437" s="71" t="str"/>
      <x:c r="E437" s="51" t="str">
        <x:v>AM</x:v>
      </x:c>
      <x:c r="F437" s="51" t="str">
        <x:v>Attack</x:v>
      </x:c>
      <x:c r="G437" s="51" t="str">
        <x:v>Rotation</x:v>
      </x:c>
      <x:c r="H437" s="55" t="n">
        <x:v>0.35</x:v>
      </x:c>
      <x:c r="I437" s="51" t="str"/>
      <x:c r="J437" s="72" t="str"/>
      <x:c r="K437" s="72" t="str"/>
      <x:c r="L437" s="72" t="str"/>
      <x:c r="M437" s="72" t="str"/>
      <x:c r="N437" s="72" t="str"/>
      <x:c r="O437" s="72" t="str"/>
      <x:c r="P437" s="72" t="str">
        <x:v>Available</x:v>
      </x:c>
      <x:c r="Q437" s="72" t="n">
        <x:v>0</x:v>
      </x:c>
      <x:c r="R437" s="55" t="str">
        <x:f>IF($D437="","",ROUND(MAX(0,MIN(100,0.35*$J437+0.2*$K437+0.15*$L437+0.15*$M437+0.1*$N437+0.05*$O437-IF(OR($P437="Out",$P437="Suspended"),$Q437,IF($P437="Doubtful",$Q437*0.5,IF($P437="Limited",$Q437*0.25,0))))),2))</x:f>
      </x:c>
      <x:c r="S437" s="55" t="n">
        <x:f>IF($D437="",0,ROUND(IF(OR($P437="Out",$P437="Suspended"),$Q437*$H437,IF($P437="Doubtful",$Q437*$H437*0.5,IF($P437="Limited",$Q437*$H437*0.25,0))),2))</x:f>
        <x:v>0</x:v>
      </x:c>
      <x:c r="T437" s="55" t="str"/>
      <x:c r="U437" s="51" t="str"/>
    </x:row>
    <x:row r="438">
      <x:c r="A438" s="51" t="str">
        <x:v>Curaçao</x:v>
      </x:c>
      <x:c r="B438" s="51" t="str">
        <x:v>E</x:v>
      </x:c>
      <x:c r="C438" s="51" t="n">
        <x:v>18</x:v>
      </x:c>
      <x:c r="D438" s="71" t="str"/>
      <x:c r="E438" s="51" t="str">
        <x:v>AM</x:v>
      </x:c>
      <x:c r="F438" s="51" t="str">
        <x:v>Attack</x:v>
      </x:c>
      <x:c r="G438" s="51" t="str">
        <x:v>Rotation</x:v>
      </x:c>
      <x:c r="H438" s="55" t="n">
        <x:v>0.35</x:v>
      </x:c>
      <x:c r="I438" s="51" t="str"/>
      <x:c r="J438" s="72" t="str"/>
      <x:c r="K438" s="72" t="str"/>
      <x:c r="L438" s="72" t="str"/>
      <x:c r="M438" s="72" t="str"/>
      <x:c r="N438" s="72" t="str"/>
      <x:c r="O438" s="72" t="str"/>
      <x:c r="P438" s="72" t="str">
        <x:v>Available</x:v>
      </x:c>
      <x:c r="Q438" s="72" t="n">
        <x:v>0</x:v>
      </x:c>
      <x:c r="R438" s="55" t="str">
        <x:f>IF($D438="","",ROUND(MAX(0,MIN(100,0.35*$J438+0.2*$K438+0.15*$L438+0.15*$M438+0.1*$N438+0.05*$O438-IF(OR($P438="Out",$P438="Suspended"),$Q438,IF($P438="Doubtful",$Q438*0.5,IF($P438="Limited",$Q438*0.25,0))))),2))</x:f>
      </x:c>
      <x:c r="S438" s="55" t="n">
        <x:f>IF($D438="",0,ROUND(IF(OR($P438="Out",$P438="Suspended"),$Q438*$H438,IF($P438="Doubtful",$Q438*$H438*0.5,IF($P438="Limited",$Q438*$H438*0.25,0))),2))</x:f>
        <x:v>0</x:v>
      </x:c>
      <x:c r="T438" s="55" t="str"/>
      <x:c r="U438" s="51" t="str"/>
    </x:row>
    <x:row r="439">
      <x:c r="A439" s="51" t="str">
        <x:v>Curaçao</x:v>
      </x:c>
      <x:c r="B439" s="51" t="str">
        <x:v>E</x:v>
      </x:c>
      <x:c r="C439" s="51" t="n">
        <x:v>19</x:v>
      </x:c>
      <x:c r="D439" s="71" t="str"/>
      <x:c r="E439" s="51" t="str">
        <x:v>AM</x:v>
      </x:c>
      <x:c r="F439" s="51" t="str">
        <x:v>Attack</x:v>
      </x:c>
      <x:c r="G439" s="51" t="str">
        <x:v>Rotation</x:v>
      </x:c>
      <x:c r="H439" s="55" t="n">
        <x:v>0.35</x:v>
      </x:c>
      <x:c r="I439" s="51" t="str"/>
      <x:c r="J439" s="72" t="str"/>
      <x:c r="K439" s="72" t="str"/>
      <x:c r="L439" s="72" t="str"/>
      <x:c r="M439" s="72" t="str"/>
      <x:c r="N439" s="72" t="str"/>
      <x:c r="O439" s="72" t="str"/>
      <x:c r="P439" s="72" t="str">
        <x:v>Available</x:v>
      </x:c>
      <x:c r="Q439" s="72" t="n">
        <x:v>0</x:v>
      </x:c>
      <x:c r="R439" s="55" t="str">
        <x:f>IF($D439="","",ROUND(MAX(0,MIN(100,0.35*$J439+0.2*$K439+0.15*$L439+0.15*$M439+0.1*$N439+0.05*$O439-IF(OR($P439="Out",$P439="Suspended"),$Q439,IF($P439="Doubtful",$Q439*0.5,IF($P439="Limited",$Q439*0.25,0))))),2))</x:f>
      </x:c>
      <x:c r="S439" s="55" t="n">
        <x:f>IF($D439="",0,ROUND(IF(OR($P439="Out",$P439="Suspended"),$Q439*$H439,IF($P439="Doubtful",$Q439*$H439*0.5,IF($P439="Limited",$Q439*$H439*0.25,0))),2))</x:f>
        <x:v>0</x:v>
      </x:c>
      <x:c r="T439" s="55" t="str"/>
      <x:c r="U439" s="51" t="str"/>
    </x:row>
    <x:row r="440">
      <x:c r="A440" s="51" t="str">
        <x:v>Curaçao</x:v>
      </x:c>
      <x:c r="B440" s="51" t="str">
        <x:v>E</x:v>
      </x:c>
      <x:c r="C440" s="51" t="n">
        <x:v>20</x:v>
      </x:c>
      <x:c r="D440" s="71" t="str"/>
      <x:c r="E440" s="51" t="str">
        <x:v>Winger</x:v>
      </x:c>
      <x:c r="F440" s="51" t="str">
        <x:v>Attack</x:v>
      </x:c>
      <x:c r="G440" s="51" t="str">
        <x:v>Rotation</x:v>
      </x:c>
      <x:c r="H440" s="55" t="n">
        <x:v>0.35</x:v>
      </x:c>
      <x:c r="I440" s="51" t="str"/>
      <x:c r="J440" s="72" t="str"/>
      <x:c r="K440" s="72" t="str"/>
      <x:c r="L440" s="72" t="str"/>
      <x:c r="M440" s="72" t="str"/>
      <x:c r="N440" s="72" t="str"/>
      <x:c r="O440" s="72" t="str"/>
      <x:c r="P440" s="72" t="str">
        <x:v>Available</x:v>
      </x:c>
      <x:c r="Q440" s="72" t="n">
        <x:v>0</x:v>
      </x:c>
      <x:c r="R440" s="55" t="str">
        <x:f>IF($D440="","",ROUND(MAX(0,MIN(100,0.35*$J440+0.2*$K440+0.15*$L440+0.15*$M440+0.1*$N440+0.05*$O440-IF(OR($P440="Out",$P440="Suspended"),$Q440,IF($P440="Doubtful",$Q440*0.5,IF($P440="Limited",$Q440*0.25,0))))),2))</x:f>
      </x:c>
      <x:c r="S440" s="55" t="n">
        <x:f>IF($D440="",0,ROUND(IF(OR($P440="Out",$P440="Suspended"),$Q440*$H440,IF($P440="Doubtful",$Q440*$H440*0.5,IF($P440="Limited",$Q440*$H440*0.25,0))),2))</x:f>
        <x:v>0</x:v>
      </x:c>
      <x:c r="T440" s="55" t="str"/>
      <x:c r="U440" s="51" t="str"/>
    </x:row>
    <x:row r="441">
      <x:c r="A441" s="51" t="str">
        <x:v>Curaçao</x:v>
      </x:c>
      <x:c r="B441" s="51" t="str">
        <x:v>E</x:v>
      </x:c>
      <x:c r="C441" s="51" t="n">
        <x:v>21</x:v>
      </x:c>
      <x:c r="D441" s="71" t="str"/>
      <x:c r="E441" s="51" t="str">
        <x:v>Winger</x:v>
      </x:c>
      <x:c r="F441" s="51" t="str">
        <x:v>Attack</x:v>
      </x:c>
      <x:c r="G441" s="51" t="str">
        <x:v>Depth</x:v>
      </x:c>
      <x:c r="H441" s="55" t="n">
        <x:v>0.1</x:v>
      </x:c>
      <x:c r="I441" s="51" t="str"/>
      <x:c r="J441" s="72" t="str"/>
      <x:c r="K441" s="72" t="str"/>
      <x:c r="L441" s="72" t="str"/>
      <x:c r="M441" s="72" t="str"/>
      <x:c r="N441" s="72" t="str"/>
      <x:c r="O441" s="72" t="str"/>
      <x:c r="P441" s="72" t="str">
        <x:v>Available</x:v>
      </x:c>
      <x:c r="Q441" s="72" t="n">
        <x:v>0</x:v>
      </x:c>
      <x:c r="R441" s="55" t="str">
        <x:f>IF($D441="","",ROUND(MAX(0,MIN(100,0.35*$J441+0.2*$K441+0.15*$L441+0.15*$M441+0.1*$N441+0.05*$O441-IF(OR($P441="Out",$P441="Suspended"),$Q441,IF($P441="Doubtful",$Q441*0.5,IF($P441="Limited",$Q441*0.25,0))))),2))</x:f>
      </x:c>
      <x:c r="S441" s="55" t="n">
        <x:f>IF($D441="",0,ROUND(IF(OR($P441="Out",$P441="Suspended"),$Q441*$H441,IF($P441="Doubtful",$Q441*$H441*0.5,IF($P441="Limited",$Q441*$H441*0.25,0))),2))</x:f>
        <x:v>0</x:v>
      </x:c>
      <x:c r="T441" s="55" t="str"/>
      <x:c r="U441" s="51" t="str"/>
    </x:row>
    <x:row r="442">
      <x:c r="A442" s="51" t="str">
        <x:v>Curaçao</x:v>
      </x:c>
      <x:c r="B442" s="51" t="str">
        <x:v>E</x:v>
      </x:c>
      <x:c r="C442" s="51" t="n">
        <x:v>22</x:v>
      </x:c>
      <x:c r="D442" s="71" t="str"/>
      <x:c r="E442" s="51" t="str">
        <x:v>Winger</x:v>
      </x:c>
      <x:c r="F442" s="51" t="str">
        <x:v>Attack</x:v>
      </x:c>
      <x:c r="G442" s="51" t="str">
        <x:v>Depth</x:v>
      </x:c>
      <x:c r="H442" s="55" t="n">
        <x:v>0.1</x:v>
      </x:c>
      <x:c r="I442" s="51" t="str"/>
      <x:c r="J442" s="72" t="str"/>
      <x:c r="K442" s="72" t="str"/>
      <x:c r="L442" s="72" t="str"/>
      <x:c r="M442" s="72" t="str"/>
      <x:c r="N442" s="72" t="str"/>
      <x:c r="O442" s="72" t="str"/>
      <x:c r="P442" s="72" t="str">
        <x:v>Available</x:v>
      </x:c>
      <x:c r="Q442" s="72" t="n">
        <x:v>0</x:v>
      </x:c>
      <x:c r="R442" s="55" t="str">
        <x:f>IF($D442="","",ROUND(MAX(0,MIN(100,0.35*$J442+0.2*$K442+0.15*$L442+0.15*$M442+0.1*$N442+0.05*$O442-IF(OR($P442="Out",$P442="Suspended"),$Q442,IF($P442="Doubtful",$Q442*0.5,IF($P442="Limited",$Q442*0.25,0))))),2))</x:f>
      </x:c>
      <x:c r="S442" s="55" t="n">
        <x:f>IF($D442="",0,ROUND(IF(OR($P442="Out",$P442="Suspended"),$Q442*$H442,IF($P442="Doubtful",$Q442*$H442*0.5,IF($P442="Limited",$Q442*$H442*0.25,0))),2))</x:f>
        <x:v>0</x:v>
      </x:c>
      <x:c r="T442" s="55" t="str"/>
      <x:c r="U442" s="51" t="str"/>
    </x:row>
    <x:row r="443">
      <x:c r="A443" s="51" t="str">
        <x:v>Curaçao</x:v>
      </x:c>
      <x:c r="B443" s="51" t="str">
        <x:v>E</x:v>
      </x:c>
      <x:c r="C443" s="51" t="n">
        <x:v>23</x:v>
      </x:c>
      <x:c r="D443" s="71" t="str"/>
      <x:c r="E443" s="51" t="str">
        <x:v>Winger</x:v>
      </x:c>
      <x:c r="F443" s="51" t="str">
        <x:v>Attack</x:v>
      </x:c>
      <x:c r="G443" s="51" t="str">
        <x:v>Depth</x:v>
      </x:c>
      <x:c r="H443" s="55" t="n">
        <x:v>0.1</x:v>
      </x:c>
      <x:c r="I443" s="51" t="str"/>
      <x:c r="J443" s="72" t="str"/>
      <x:c r="K443" s="72" t="str"/>
      <x:c r="L443" s="72" t="str"/>
      <x:c r="M443" s="72" t="str"/>
      <x:c r="N443" s="72" t="str"/>
      <x:c r="O443" s="72" t="str"/>
      <x:c r="P443" s="72" t="str">
        <x:v>Available</x:v>
      </x:c>
      <x:c r="Q443" s="72" t="n">
        <x:v>0</x:v>
      </x:c>
      <x:c r="R443" s="55" t="str">
        <x:f>IF($D443="","",ROUND(MAX(0,MIN(100,0.35*$J443+0.2*$K443+0.15*$L443+0.15*$M443+0.1*$N443+0.05*$O443-IF(OR($P443="Out",$P443="Suspended"),$Q443,IF($P443="Doubtful",$Q443*0.5,IF($P443="Limited",$Q443*0.25,0))))),2))</x:f>
      </x:c>
      <x:c r="S443" s="55" t="n">
        <x:f>IF($D443="",0,ROUND(IF(OR($P443="Out",$P443="Suspended"),$Q443*$H443,IF($P443="Doubtful",$Q443*$H443*0.5,IF($P443="Limited",$Q443*$H443*0.25,0))),2))</x:f>
        <x:v>0</x:v>
      </x:c>
      <x:c r="T443" s="55" t="str"/>
      <x:c r="U443" s="51" t="str"/>
    </x:row>
    <x:row r="444">
      <x:c r="A444" s="51" t="str">
        <x:v>Curaçao</x:v>
      </x:c>
      <x:c r="B444" s="51" t="str">
        <x:v>E</x:v>
      </x:c>
      <x:c r="C444" s="51" t="n">
        <x:v>24</x:v>
      </x:c>
      <x:c r="D444" s="71" t="str"/>
      <x:c r="E444" s="51" t="str">
        <x:v>ST</x:v>
      </x:c>
      <x:c r="F444" s="51" t="str">
        <x:v>Attack</x:v>
      </x:c>
      <x:c r="G444" s="51" t="str">
        <x:v>Depth</x:v>
      </x:c>
      <x:c r="H444" s="55" t="n">
        <x:v>0.1</x:v>
      </x:c>
      <x:c r="I444" s="51" t="str"/>
      <x:c r="J444" s="72" t="str"/>
      <x:c r="K444" s="72" t="str"/>
      <x:c r="L444" s="72" t="str"/>
      <x:c r="M444" s="72" t="str"/>
      <x:c r="N444" s="72" t="str"/>
      <x:c r="O444" s="72" t="str"/>
      <x:c r="P444" s="72" t="str">
        <x:v>Available</x:v>
      </x:c>
      <x:c r="Q444" s="72" t="n">
        <x:v>0</x:v>
      </x:c>
      <x:c r="R444" s="55" t="str">
        <x:f>IF($D444="","",ROUND(MAX(0,MIN(100,0.35*$J444+0.2*$K444+0.15*$L444+0.15*$M444+0.1*$N444+0.05*$O444-IF(OR($P444="Out",$P444="Suspended"),$Q444,IF($P444="Doubtful",$Q444*0.5,IF($P444="Limited",$Q444*0.25,0))))),2))</x:f>
      </x:c>
      <x:c r="S444" s="55" t="n">
        <x:f>IF($D444="",0,ROUND(IF(OR($P444="Out",$P444="Suspended"),$Q444*$H444,IF($P444="Doubtful",$Q444*$H444*0.5,IF($P444="Limited",$Q444*$H444*0.25,0))),2))</x:f>
        <x:v>0</x:v>
      </x:c>
      <x:c r="T444" s="55" t="str"/>
      <x:c r="U444" s="51" t="str"/>
    </x:row>
    <x:row r="445">
      <x:c r="A445" s="51" t="str">
        <x:v>Curaçao</x:v>
      </x:c>
      <x:c r="B445" s="51" t="str">
        <x:v>E</x:v>
      </x:c>
      <x:c r="C445" s="51" t="n">
        <x:v>25</x:v>
      </x:c>
      <x:c r="D445" s="71" t="str"/>
      <x:c r="E445" s="51" t="str">
        <x:v>ST</x:v>
      </x:c>
      <x:c r="F445" s="51" t="str">
        <x:v>Attack</x:v>
      </x:c>
      <x:c r="G445" s="51" t="str">
        <x:v>Depth</x:v>
      </x:c>
      <x:c r="H445" s="55" t="n">
        <x:v>0.1</x:v>
      </x:c>
      <x:c r="I445" s="51" t="str"/>
      <x:c r="J445" s="72" t="str"/>
      <x:c r="K445" s="72" t="str"/>
      <x:c r="L445" s="72" t="str"/>
      <x:c r="M445" s="72" t="str"/>
      <x:c r="N445" s="72" t="str"/>
      <x:c r="O445" s="72" t="str"/>
      <x:c r="P445" s="72" t="str">
        <x:v>Available</x:v>
      </x:c>
      <x:c r="Q445" s="72" t="n">
        <x:v>0</x:v>
      </x:c>
      <x:c r="R445" s="55" t="str">
        <x:f>IF($D445="","",ROUND(MAX(0,MIN(100,0.35*$J445+0.2*$K445+0.15*$L445+0.15*$M445+0.1*$N445+0.05*$O445-IF(OR($P445="Out",$P445="Suspended"),$Q445,IF($P445="Doubtful",$Q445*0.5,IF($P445="Limited",$Q445*0.25,0))))),2))</x:f>
      </x:c>
      <x:c r="S445" s="55" t="n">
        <x:f>IF($D445="",0,ROUND(IF(OR($P445="Out",$P445="Suspended"),$Q445*$H445,IF($P445="Doubtful",$Q445*$H445*0.5,IF($P445="Limited",$Q445*$H445*0.25,0))),2))</x:f>
        <x:v>0</x:v>
      </x:c>
      <x:c r="T445" s="55" t="str"/>
      <x:c r="U445" s="51" t="str"/>
    </x:row>
    <x:row r="446">
      <x:c r="A446" s="51" t="str">
        <x:v>Curaçao</x:v>
      </x:c>
      <x:c r="B446" s="51" t="str">
        <x:v>E</x:v>
      </x:c>
      <x:c r="C446" s="51" t="n">
        <x:v>26</x:v>
      </x:c>
      <x:c r="D446" s="71" t="str"/>
      <x:c r="E446" s="51" t="str">
        <x:v>ST</x:v>
      </x:c>
      <x:c r="F446" s="51" t="str">
        <x:v>Attack</x:v>
      </x:c>
      <x:c r="G446" s="51" t="str">
        <x:v>Depth</x:v>
      </x:c>
      <x:c r="H446" s="55" t="n">
        <x:v>0.1</x:v>
      </x:c>
      <x:c r="I446" s="51" t="str"/>
      <x:c r="J446" s="72" t="str"/>
      <x:c r="K446" s="72" t="str"/>
      <x:c r="L446" s="72" t="str"/>
      <x:c r="M446" s="72" t="str"/>
      <x:c r="N446" s="72" t="str"/>
      <x:c r="O446" s="72" t="str"/>
      <x:c r="P446" s="72" t="str">
        <x:v>Available</x:v>
      </x:c>
      <x:c r="Q446" s="72" t="n">
        <x:v>0</x:v>
      </x:c>
      <x:c r="R446" s="55" t="str">
        <x:f>IF($D446="","",ROUND(MAX(0,MIN(100,0.35*$J446+0.2*$K446+0.15*$L446+0.15*$M446+0.1*$N446+0.05*$O446-IF(OR($P446="Out",$P446="Suspended"),$Q446,IF($P446="Doubtful",$Q446*0.5,IF($P446="Limited",$Q446*0.25,0))))),2))</x:f>
      </x:c>
      <x:c r="S446" s="55" t="n">
        <x:f>IF($D446="",0,ROUND(IF(OR($P446="Out",$P446="Suspended"),$Q446*$H446,IF($P446="Doubtful",$Q446*$H446*0.5,IF($P446="Limited",$Q446*$H446*0.25,0))),2))</x:f>
        <x:v>0</x:v>
      </x:c>
      <x:c r="T446" s="55" t="str"/>
      <x:c r="U446" s="51" t="str"/>
    </x:row>
    <x:row r="447">
      <x:c r="A447" s="51" t="str">
        <x:v>Ecuador</x:v>
      </x:c>
      <x:c r="B447" s="51" t="str">
        <x:v>E</x:v>
      </x:c>
      <x:c r="C447" s="51" t="n">
        <x:v>1</x:v>
      </x:c>
      <x:c r="D447" s="71" t="str"/>
      <x:c r="E447" s="51" t="str">
        <x:v>GK</x:v>
      </x:c>
      <x:c r="F447" s="51" t="str">
        <x:v>GK</x:v>
      </x:c>
      <x:c r="G447" s="51" t="str">
        <x:v>Starter</x:v>
      </x:c>
      <x:c r="H447" s="55" t="n">
        <x:v>1</x:v>
      </x:c>
      <x:c r="I447" s="51" t="str"/>
      <x:c r="J447" s="72" t="str"/>
      <x:c r="K447" s="72" t="str"/>
      <x:c r="L447" s="72" t="str"/>
      <x:c r="M447" s="72" t="str"/>
      <x:c r="N447" s="72" t="str"/>
      <x:c r="O447" s="72" t="str"/>
      <x:c r="P447" s="72" t="str">
        <x:v>Available</x:v>
      </x:c>
      <x:c r="Q447" s="72" t="n">
        <x:v>0</x:v>
      </x:c>
      <x:c r="R447" s="55" t="str">
        <x:f>IF($D447="","",ROUND(MAX(0,MIN(100,0.35*$J447+0.2*$K447+0.15*$L447+0.15*$M447+0.1*$N447+0.05*$O447-IF(OR($P447="Out",$P447="Suspended"),$Q447,IF($P447="Doubtful",$Q447*0.5,IF($P447="Limited",$Q447*0.25,0))))),2))</x:f>
      </x:c>
      <x:c r="S447" s="55" t="n">
        <x:f>IF($D447="",0,ROUND(IF(OR($P447="Out",$P447="Suspended"),$Q447*$H447,IF($P447="Doubtful",$Q447*$H447*0.5,IF($P447="Limited",$Q447*$H447*0.25,0))),2))</x:f>
        <x:v>0</x:v>
      </x:c>
      <x:c r="T447" s="55" t="str"/>
      <x:c r="U447" s="51" t="str"/>
    </x:row>
    <x:row r="448">
      <x:c r="A448" s="51" t="str">
        <x:v>Ecuador</x:v>
      </x:c>
      <x:c r="B448" s="51" t="str">
        <x:v>E</x:v>
      </x:c>
      <x:c r="C448" s="51" t="n">
        <x:v>2</x:v>
      </x:c>
      <x:c r="D448" s="71" t="str"/>
      <x:c r="E448" s="51" t="str">
        <x:v>GK</x:v>
      </x:c>
      <x:c r="F448" s="51" t="str">
        <x:v>GK</x:v>
      </x:c>
      <x:c r="G448" s="51" t="str">
        <x:v>Starter</x:v>
      </x:c>
      <x:c r="H448" s="55" t="n">
        <x:v>1</x:v>
      </x:c>
      <x:c r="I448" s="51" t="str"/>
      <x:c r="J448" s="72" t="str"/>
      <x:c r="K448" s="72" t="str"/>
      <x:c r="L448" s="72" t="str"/>
      <x:c r="M448" s="72" t="str"/>
      <x:c r="N448" s="72" t="str"/>
      <x:c r="O448" s="72" t="str"/>
      <x:c r="P448" s="72" t="str">
        <x:v>Available</x:v>
      </x:c>
      <x:c r="Q448" s="72" t="n">
        <x:v>0</x:v>
      </x:c>
      <x:c r="R448" s="55" t="str">
        <x:f>IF($D448="","",ROUND(MAX(0,MIN(100,0.35*$J448+0.2*$K448+0.15*$L448+0.15*$M448+0.1*$N448+0.05*$O448-IF(OR($P448="Out",$P448="Suspended"),$Q448,IF($P448="Doubtful",$Q448*0.5,IF($P448="Limited",$Q448*0.25,0))))),2))</x:f>
      </x:c>
      <x:c r="S448" s="55" t="n">
        <x:f>IF($D448="",0,ROUND(IF(OR($P448="Out",$P448="Suspended"),$Q448*$H448,IF($P448="Doubtful",$Q448*$H448*0.5,IF($P448="Limited",$Q448*$H448*0.25,0))),2))</x:f>
        <x:v>0</x:v>
      </x:c>
      <x:c r="T448" s="55" t="str"/>
      <x:c r="U448" s="51" t="str"/>
    </x:row>
    <x:row r="449">
      <x:c r="A449" s="51" t="str">
        <x:v>Ecuador</x:v>
      </x:c>
      <x:c r="B449" s="51" t="str">
        <x:v>E</x:v>
      </x:c>
      <x:c r="C449" s="51" t="n">
        <x:v>3</x:v>
      </x:c>
      <x:c r="D449" s="71" t="str"/>
      <x:c r="E449" s="51" t="str">
        <x:v>GK</x:v>
      </x:c>
      <x:c r="F449" s="51" t="str">
        <x:v>GK</x:v>
      </x:c>
      <x:c r="G449" s="51" t="str">
        <x:v>Starter</x:v>
      </x:c>
      <x:c r="H449" s="55" t="n">
        <x:v>1</x:v>
      </x:c>
      <x:c r="I449" s="51" t="str"/>
      <x:c r="J449" s="72" t="str"/>
      <x:c r="K449" s="72" t="str"/>
      <x:c r="L449" s="72" t="str"/>
      <x:c r="M449" s="72" t="str"/>
      <x:c r="N449" s="72" t="str"/>
      <x:c r="O449" s="72" t="str"/>
      <x:c r="P449" s="72" t="str">
        <x:v>Available</x:v>
      </x:c>
      <x:c r="Q449" s="72" t="n">
        <x:v>0</x:v>
      </x:c>
      <x:c r="R449" s="55" t="str">
        <x:f>IF($D449="","",ROUND(MAX(0,MIN(100,0.35*$J449+0.2*$K449+0.15*$L449+0.15*$M449+0.1*$N449+0.05*$O449-IF(OR($P449="Out",$P449="Suspended"),$Q449,IF($P449="Doubtful",$Q449*0.5,IF($P449="Limited",$Q449*0.25,0))))),2))</x:f>
      </x:c>
      <x:c r="S449" s="55" t="n">
        <x:f>IF($D449="",0,ROUND(IF(OR($P449="Out",$P449="Suspended"),$Q449*$H449,IF($P449="Doubtful",$Q449*$H449*0.5,IF($P449="Limited",$Q449*$H449*0.25,0))),2))</x:f>
        <x:v>0</x:v>
      </x:c>
      <x:c r="T449" s="55" t="str"/>
      <x:c r="U449" s="51" t="str"/>
    </x:row>
    <x:row r="450">
      <x:c r="A450" s="51" t="str">
        <x:v>Ecuador</x:v>
      </x:c>
      <x:c r="B450" s="51" t="str">
        <x:v>E</x:v>
      </x:c>
      <x:c r="C450" s="51" t="n">
        <x:v>4</x:v>
      </x:c>
      <x:c r="D450" s="71" t="str"/>
      <x:c r="E450" s="51" t="str">
        <x:v>CB</x:v>
      </x:c>
      <x:c r="F450" s="51" t="str">
        <x:v>Defence</x:v>
      </x:c>
      <x:c r="G450" s="51" t="str">
        <x:v>Starter</x:v>
      </x:c>
      <x:c r="H450" s="55" t="n">
        <x:v>1</x:v>
      </x:c>
      <x:c r="I450" s="51" t="str"/>
      <x:c r="J450" s="72" t="str"/>
      <x:c r="K450" s="72" t="str"/>
      <x:c r="L450" s="72" t="str"/>
      <x:c r="M450" s="72" t="str"/>
      <x:c r="N450" s="72" t="str"/>
      <x:c r="O450" s="72" t="str"/>
      <x:c r="P450" s="72" t="str">
        <x:v>Available</x:v>
      </x:c>
      <x:c r="Q450" s="72" t="n">
        <x:v>0</x:v>
      </x:c>
      <x:c r="R450" s="55" t="str">
        <x:f>IF($D450="","",ROUND(MAX(0,MIN(100,0.35*$J450+0.2*$K450+0.15*$L450+0.15*$M450+0.1*$N450+0.05*$O450-IF(OR($P450="Out",$P450="Suspended"),$Q450,IF($P450="Doubtful",$Q450*0.5,IF($P450="Limited",$Q450*0.25,0))))),2))</x:f>
      </x:c>
      <x:c r="S450" s="55" t="n">
        <x:f>IF($D450="",0,ROUND(IF(OR($P450="Out",$P450="Suspended"),$Q450*$H450,IF($P450="Doubtful",$Q450*$H450*0.5,IF($P450="Limited",$Q450*$H450*0.25,0))),2))</x:f>
        <x:v>0</x:v>
      </x:c>
      <x:c r="T450" s="55" t="str"/>
      <x:c r="U450" s="51" t="str"/>
    </x:row>
    <x:row r="451">
      <x:c r="A451" s="51" t="str">
        <x:v>Ecuador</x:v>
      </x:c>
      <x:c r="B451" s="51" t="str">
        <x:v>E</x:v>
      </x:c>
      <x:c r="C451" s="51" t="n">
        <x:v>5</x:v>
      </x:c>
      <x:c r="D451" s="71" t="str"/>
      <x:c r="E451" s="51" t="str">
        <x:v>CB</x:v>
      </x:c>
      <x:c r="F451" s="51" t="str">
        <x:v>Defence</x:v>
      </x:c>
      <x:c r="G451" s="51" t="str">
        <x:v>Starter</x:v>
      </x:c>
      <x:c r="H451" s="55" t="n">
        <x:v>1</x:v>
      </x:c>
      <x:c r="I451" s="51" t="str"/>
      <x:c r="J451" s="72" t="str"/>
      <x:c r="K451" s="72" t="str"/>
      <x:c r="L451" s="72" t="str"/>
      <x:c r="M451" s="72" t="str"/>
      <x:c r="N451" s="72" t="str"/>
      <x:c r="O451" s="72" t="str"/>
      <x:c r="P451" s="72" t="str">
        <x:v>Available</x:v>
      </x:c>
      <x:c r="Q451" s="72" t="n">
        <x:v>0</x:v>
      </x:c>
      <x:c r="R451" s="55" t="str">
        <x:f>IF($D451="","",ROUND(MAX(0,MIN(100,0.35*$J451+0.2*$K451+0.15*$L451+0.15*$M451+0.1*$N451+0.05*$O451-IF(OR($P451="Out",$P451="Suspended"),$Q451,IF($P451="Doubtful",$Q451*0.5,IF($P451="Limited",$Q451*0.25,0))))),2))</x:f>
      </x:c>
      <x:c r="S451" s="55" t="n">
        <x:f>IF($D451="",0,ROUND(IF(OR($P451="Out",$P451="Suspended"),$Q451*$H451,IF($P451="Doubtful",$Q451*$H451*0.5,IF($P451="Limited",$Q451*$H451*0.25,0))),2))</x:f>
        <x:v>0</x:v>
      </x:c>
      <x:c r="T451" s="55" t="str"/>
      <x:c r="U451" s="51" t="str"/>
    </x:row>
    <x:row r="452">
      <x:c r="A452" s="51" t="str">
        <x:v>Ecuador</x:v>
      </x:c>
      <x:c r="B452" s="51" t="str">
        <x:v>E</x:v>
      </x:c>
      <x:c r="C452" s="51" t="n">
        <x:v>6</x:v>
      </x:c>
      <x:c r="D452" s="71" t="str"/>
      <x:c r="E452" s="51" t="str">
        <x:v>CB</x:v>
      </x:c>
      <x:c r="F452" s="51" t="str">
        <x:v>Defence</x:v>
      </x:c>
      <x:c r="G452" s="51" t="str">
        <x:v>Starter</x:v>
      </x:c>
      <x:c r="H452" s="55" t="n">
        <x:v>1</x:v>
      </x:c>
      <x:c r="I452" s="51" t="str"/>
      <x:c r="J452" s="72" t="str"/>
      <x:c r="K452" s="72" t="str"/>
      <x:c r="L452" s="72" t="str"/>
      <x:c r="M452" s="72" t="str"/>
      <x:c r="N452" s="72" t="str"/>
      <x:c r="O452" s="72" t="str"/>
      <x:c r="P452" s="72" t="str">
        <x:v>Available</x:v>
      </x:c>
      <x:c r="Q452" s="72" t="n">
        <x:v>0</x:v>
      </x:c>
      <x:c r="R452" s="55" t="str">
        <x:f>IF($D452="","",ROUND(MAX(0,MIN(100,0.35*$J452+0.2*$K452+0.15*$L452+0.15*$M452+0.1*$N452+0.05*$O452-IF(OR($P452="Out",$P452="Suspended"),$Q452,IF($P452="Doubtful",$Q452*0.5,IF($P452="Limited",$Q452*0.25,0))))),2))</x:f>
      </x:c>
      <x:c r="S452" s="55" t="n">
        <x:f>IF($D452="",0,ROUND(IF(OR($P452="Out",$P452="Suspended"),$Q452*$H452,IF($P452="Doubtful",$Q452*$H452*0.5,IF($P452="Limited",$Q452*$H452*0.25,0))),2))</x:f>
        <x:v>0</x:v>
      </x:c>
      <x:c r="T452" s="55" t="str"/>
      <x:c r="U452" s="51" t="str"/>
    </x:row>
    <x:row r="453">
      <x:c r="A453" s="51" t="str">
        <x:v>Ecuador</x:v>
      </x:c>
      <x:c r="B453" s="51" t="str">
        <x:v>E</x:v>
      </x:c>
      <x:c r="C453" s="51" t="n">
        <x:v>7</x:v>
      </x:c>
      <x:c r="D453" s="71" t="str"/>
      <x:c r="E453" s="51" t="str">
        <x:v>FB</x:v>
      </x:c>
      <x:c r="F453" s="51" t="str">
        <x:v>Defence</x:v>
      </x:c>
      <x:c r="G453" s="51" t="str">
        <x:v>Starter</x:v>
      </x:c>
      <x:c r="H453" s="55" t="n">
        <x:v>1</x:v>
      </x:c>
      <x:c r="I453" s="51" t="str"/>
      <x:c r="J453" s="72" t="str"/>
      <x:c r="K453" s="72" t="str"/>
      <x:c r="L453" s="72" t="str"/>
      <x:c r="M453" s="72" t="str"/>
      <x:c r="N453" s="72" t="str"/>
      <x:c r="O453" s="72" t="str"/>
      <x:c r="P453" s="72" t="str">
        <x:v>Available</x:v>
      </x:c>
      <x:c r="Q453" s="72" t="n">
        <x:v>0</x:v>
      </x:c>
      <x:c r="R453" s="55" t="str">
        <x:f>IF($D453="","",ROUND(MAX(0,MIN(100,0.35*$J453+0.2*$K453+0.15*$L453+0.15*$M453+0.1*$N453+0.05*$O453-IF(OR($P453="Out",$P453="Suspended"),$Q453,IF($P453="Doubtful",$Q453*0.5,IF($P453="Limited",$Q453*0.25,0))))),2))</x:f>
      </x:c>
      <x:c r="S453" s="55" t="n">
        <x:f>IF($D453="",0,ROUND(IF(OR($P453="Out",$P453="Suspended"),$Q453*$H453,IF($P453="Doubtful",$Q453*$H453*0.5,IF($P453="Limited",$Q453*$H453*0.25,0))),2))</x:f>
        <x:v>0</x:v>
      </x:c>
      <x:c r="T453" s="55" t="str"/>
      <x:c r="U453" s="51" t="str"/>
    </x:row>
    <x:row r="454">
      <x:c r="A454" s="51" t="str">
        <x:v>Ecuador</x:v>
      </x:c>
      <x:c r="B454" s="51" t="str">
        <x:v>E</x:v>
      </x:c>
      <x:c r="C454" s="51" t="n">
        <x:v>8</x:v>
      </x:c>
      <x:c r="D454" s="71" t="str"/>
      <x:c r="E454" s="51" t="str">
        <x:v>FB</x:v>
      </x:c>
      <x:c r="F454" s="51" t="str">
        <x:v>Defence</x:v>
      </x:c>
      <x:c r="G454" s="51" t="str">
        <x:v>Starter</x:v>
      </x:c>
      <x:c r="H454" s="55" t="n">
        <x:v>1</x:v>
      </x:c>
      <x:c r="I454" s="51" t="str"/>
      <x:c r="J454" s="72" t="str"/>
      <x:c r="K454" s="72" t="str"/>
      <x:c r="L454" s="72" t="str"/>
      <x:c r="M454" s="72" t="str"/>
      <x:c r="N454" s="72" t="str"/>
      <x:c r="O454" s="72" t="str"/>
      <x:c r="P454" s="72" t="str">
        <x:v>Available</x:v>
      </x:c>
      <x:c r="Q454" s="72" t="n">
        <x:v>0</x:v>
      </x:c>
      <x:c r="R454" s="55" t="str">
        <x:f>IF($D454="","",ROUND(MAX(0,MIN(100,0.35*$J454+0.2*$K454+0.15*$L454+0.15*$M454+0.1*$N454+0.05*$O454-IF(OR($P454="Out",$P454="Suspended"),$Q454,IF($P454="Doubtful",$Q454*0.5,IF($P454="Limited",$Q454*0.25,0))))),2))</x:f>
      </x:c>
      <x:c r="S454" s="55" t="n">
        <x:f>IF($D454="",0,ROUND(IF(OR($P454="Out",$P454="Suspended"),$Q454*$H454,IF($P454="Doubtful",$Q454*$H454*0.5,IF($P454="Limited",$Q454*$H454*0.25,0))),2))</x:f>
        <x:v>0</x:v>
      </x:c>
      <x:c r="T454" s="55" t="str"/>
      <x:c r="U454" s="51" t="str"/>
    </x:row>
    <x:row r="455">
      <x:c r="A455" s="51" t="str">
        <x:v>Ecuador</x:v>
      </x:c>
      <x:c r="B455" s="51" t="str">
        <x:v>E</x:v>
      </x:c>
      <x:c r="C455" s="51" t="n">
        <x:v>9</x:v>
      </x:c>
      <x:c r="D455" s="71" t="str"/>
      <x:c r="E455" s="51" t="str">
        <x:v>DM</x:v>
      </x:c>
      <x:c r="F455" s="51" t="str">
        <x:v>Midfield</x:v>
      </x:c>
      <x:c r="G455" s="51" t="str">
        <x:v>Starter</x:v>
      </x:c>
      <x:c r="H455" s="55" t="n">
        <x:v>1</x:v>
      </x:c>
      <x:c r="I455" s="51" t="str"/>
      <x:c r="J455" s="72" t="str"/>
      <x:c r="K455" s="72" t="str"/>
      <x:c r="L455" s="72" t="str"/>
      <x:c r="M455" s="72" t="str"/>
      <x:c r="N455" s="72" t="str"/>
      <x:c r="O455" s="72" t="str"/>
      <x:c r="P455" s="72" t="str">
        <x:v>Available</x:v>
      </x:c>
      <x:c r="Q455" s="72" t="n">
        <x:v>0</x:v>
      </x:c>
      <x:c r="R455" s="55" t="str">
        <x:f>IF($D455="","",ROUND(MAX(0,MIN(100,0.35*$J455+0.2*$K455+0.15*$L455+0.15*$M455+0.1*$N455+0.05*$O455-IF(OR($P455="Out",$P455="Suspended"),$Q455,IF($P455="Doubtful",$Q455*0.5,IF($P455="Limited",$Q455*0.25,0))))),2))</x:f>
      </x:c>
      <x:c r="S455" s="55" t="n">
        <x:f>IF($D455="",0,ROUND(IF(OR($P455="Out",$P455="Suspended"),$Q455*$H455,IF($P455="Doubtful",$Q455*$H455*0.5,IF($P455="Limited",$Q455*$H455*0.25,0))),2))</x:f>
        <x:v>0</x:v>
      </x:c>
      <x:c r="T455" s="55" t="str"/>
      <x:c r="U455" s="51" t="str"/>
    </x:row>
    <x:row r="456">
      <x:c r="A456" s="51" t="str">
        <x:v>Ecuador</x:v>
      </x:c>
      <x:c r="B456" s="51" t="str">
        <x:v>E</x:v>
      </x:c>
      <x:c r="C456" s="51" t="n">
        <x:v>10</x:v>
      </x:c>
      <x:c r="D456" s="71" t="str"/>
      <x:c r="E456" s="51" t="str">
        <x:v>DM</x:v>
      </x:c>
      <x:c r="F456" s="51" t="str">
        <x:v>Midfield</x:v>
      </x:c>
      <x:c r="G456" s="51" t="str">
        <x:v>Starter</x:v>
      </x:c>
      <x:c r="H456" s="55" t="n">
        <x:v>1</x:v>
      </x:c>
      <x:c r="I456" s="51" t="str"/>
      <x:c r="J456" s="72" t="str"/>
      <x:c r="K456" s="72" t="str"/>
      <x:c r="L456" s="72" t="str"/>
      <x:c r="M456" s="72" t="str"/>
      <x:c r="N456" s="72" t="str"/>
      <x:c r="O456" s="72" t="str"/>
      <x:c r="P456" s="72" t="str">
        <x:v>Available</x:v>
      </x:c>
      <x:c r="Q456" s="72" t="n">
        <x:v>0</x:v>
      </x:c>
      <x:c r="R456" s="55" t="str">
        <x:f>IF($D456="","",ROUND(MAX(0,MIN(100,0.35*$J456+0.2*$K456+0.15*$L456+0.15*$M456+0.1*$N456+0.05*$O456-IF(OR($P456="Out",$P456="Suspended"),$Q456,IF($P456="Doubtful",$Q456*0.5,IF($P456="Limited",$Q456*0.25,0))))),2))</x:f>
      </x:c>
      <x:c r="S456" s="55" t="n">
        <x:f>IF($D456="",0,ROUND(IF(OR($P456="Out",$P456="Suspended"),$Q456*$H456,IF($P456="Doubtful",$Q456*$H456*0.5,IF($P456="Limited",$Q456*$H456*0.25,0))),2))</x:f>
        <x:v>0</x:v>
      </x:c>
      <x:c r="T456" s="55" t="str"/>
      <x:c r="U456" s="51" t="str"/>
    </x:row>
    <x:row r="457">
      <x:c r="A457" s="51" t="str">
        <x:v>Ecuador</x:v>
      </x:c>
      <x:c r="B457" s="51" t="str">
        <x:v>E</x:v>
      </x:c>
      <x:c r="C457" s="51" t="n">
        <x:v>11</x:v>
      </x:c>
      <x:c r="D457" s="71" t="str"/>
      <x:c r="E457" s="51" t="str">
        <x:v>DM</x:v>
      </x:c>
      <x:c r="F457" s="51" t="str">
        <x:v>Midfield</x:v>
      </x:c>
      <x:c r="G457" s="51" t="str">
        <x:v>Starter</x:v>
      </x:c>
      <x:c r="H457" s="55" t="n">
        <x:v>1</x:v>
      </x:c>
      <x:c r="I457" s="51" t="str"/>
      <x:c r="J457" s="72" t="str"/>
      <x:c r="K457" s="72" t="str"/>
      <x:c r="L457" s="72" t="str"/>
      <x:c r="M457" s="72" t="str"/>
      <x:c r="N457" s="72" t="str"/>
      <x:c r="O457" s="72" t="str"/>
      <x:c r="P457" s="72" t="str">
        <x:v>Available</x:v>
      </x:c>
      <x:c r="Q457" s="72" t="n">
        <x:v>0</x:v>
      </x:c>
      <x:c r="R457" s="55" t="str">
        <x:f>IF($D457="","",ROUND(MAX(0,MIN(100,0.35*$J457+0.2*$K457+0.15*$L457+0.15*$M457+0.1*$N457+0.05*$O457-IF(OR($P457="Out",$P457="Suspended"),$Q457,IF($P457="Doubtful",$Q457*0.5,IF($P457="Limited",$Q457*0.25,0))))),2))</x:f>
      </x:c>
      <x:c r="S457" s="55" t="n">
        <x:f>IF($D457="",0,ROUND(IF(OR($P457="Out",$P457="Suspended"),$Q457*$H457,IF($P457="Doubtful",$Q457*$H457*0.5,IF($P457="Limited",$Q457*$H457*0.25,0))),2))</x:f>
        <x:v>0</x:v>
      </x:c>
      <x:c r="T457" s="55" t="str"/>
      <x:c r="U457" s="51" t="str"/>
    </x:row>
    <x:row r="458">
      <x:c r="A458" s="51" t="str">
        <x:v>Ecuador</x:v>
      </x:c>
      <x:c r="B458" s="51" t="str">
        <x:v>E</x:v>
      </x:c>
      <x:c r="C458" s="51" t="n">
        <x:v>12</x:v>
      </x:c>
      <x:c r="D458" s="71" t="str"/>
      <x:c r="E458" s="51" t="str">
        <x:v>CM</x:v>
      </x:c>
      <x:c r="F458" s="51" t="str">
        <x:v>Midfield</x:v>
      </x:c>
      <x:c r="G458" s="51" t="str">
        <x:v>Rotation</x:v>
      </x:c>
      <x:c r="H458" s="55" t="n">
        <x:v>0.35</x:v>
      </x:c>
      <x:c r="I458" s="51" t="str"/>
      <x:c r="J458" s="72" t="str"/>
      <x:c r="K458" s="72" t="str"/>
      <x:c r="L458" s="72" t="str"/>
      <x:c r="M458" s="72" t="str"/>
      <x:c r="N458" s="72" t="str"/>
      <x:c r="O458" s="72" t="str"/>
      <x:c r="P458" s="72" t="str">
        <x:v>Available</x:v>
      </x:c>
      <x:c r="Q458" s="72" t="n">
        <x:v>0</x:v>
      </x:c>
      <x:c r="R458" s="55" t="str">
        <x:f>IF($D458="","",ROUND(MAX(0,MIN(100,0.35*$J458+0.2*$K458+0.15*$L458+0.15*$M458+0.1*$N458+0.05*$O458-IF(OR($P458="Out",$P458="Suspended"),$Q458,IF($P458="Doubtful",$Q458*0.5,IF($P458="Limited",$Q458*0.25,0))))),2))</x:f>
      </x:c>
      <x:c r="S458" s="55" t="n">
        <x:f>IF($D458="",0,ROUND(IF(OR($P458="Out",$P458="Suspended"),$Q458*$H458,IF($P458="Doubtful",$Q458*$H458*0.5,IF($P458="Limited",$Q458*$H458*0.25,0))),2))</x:f>
        <x:v>0</x:v>
      </x:c>
      <x:c r="T458" s="55" t="str"/>
      <x:c r="U458" s="51" t="str"/>
    </x:row>
    <x:row r="459">
      <x:c r="A459" s="51" t="str">
        <x:v>Ecuador</x:v>
      </x:c>
      <x:c r="B459" s="51" t="str">
        <x:v>E</x:v>
      </x:c>
      <x:c r="C459" s="51" t="n">
        <x:v>13</x:v>
      </x:c>
      <x:c r="D459" s="71" t="str"/>
      <x:c r="E459" s="51" t="str">
        <x:v>CM</x:v>
      </x:c>
      <x:c r="F459" s="51" t="str">
        <x:v>Midfield</x:v>
      </x:c>
      <x:c r="G459" s="51" t="str">
        <x:v>Rotation</x:v>
      </x:c>
      <x:c r="H459" s="55" t="n">
        <x:v>0.35</x:v>
      </x:c>
      <x:c r="I459" s="51" t="str"/>
      <x:c r="J459" s="72" t="str"/>
      <x:c r="K459" s="72" t="str"/>
      <x:c r="L459" s="72" t="str"/>
      <x:c r="M459" s="72" t="str"/>
      <x:c r="N459" s="72" t="str"/>
      <x:c r="O459" s="72" t="str"/>
      <x:c r="P459" s="72" t="str">
        <x:v>Available</x:v>
      </x:c>
      <x:c r="Q459" s="72" t="n">
        <x:v>0</x:v>
      </x:c>
      <x:c r="R459" s="55" t="str">
        <x:f>IF($D459="","",ROUND(MAX(0,MIN(100,0.35*$J459+0.2*$K459+0.15*$L459+0.15*$M459+0.1*$N459+0.05*$O459-IF(OR($P459="Out",$P459="Suspended"),$Q459,IF($P459="Doubtful",$Q459*0.5,IF($P459="Limited",$Q459*0.25,0))))),2))</x:f>
      </x:c>
      <x:c r="S459" s="55" t="n">
        <x:f>IF($D459="",0,ROUND(IF(OR($P459="Out",$P459="Suspended"),$Q459*$H459,IF($P459="Doubtful",$Q459*$H459*0.5,IF($P459="Limited",$Q459*$H459*0.25,0))),2))</x:f>
        <x:v>0</x:v>
      </x:c>
      <x:c r="T459" s="55" t="str"/>
      <x:c r="U459" s="51" t="str"/>
    </x:row>
    <x:row r="460">
      <x:c r="A460" s="51" t="str">
        <x:v>Ecuador</x:v>
      </x:c>
      <x:c r="B460" s="51" t="str">
        <x:v>E</x:v>
      </x:c>
      <x:c r="C460" s="51" t="n">
        <x:v>14</x:v>
      </x:c>
      <x:c r="D460" s="71" t="str"/>
      <x:c r="E460" s="51" t="str">
        <x:v>CM</x:v>
      </x:c>
      <x:c r="F460" s="51" t="str">
        <x:v>Midfield</x:v>
      </x:c>
      <x:c r="G460" s="51" t="str">
        <x:v>Rotation</x:v>
      </x:c>
      <x:c r="H460" s="55" t="n">
        <x:v>0.35</x:v>
      </x:c>
      <x:c r="I460" s="51" t="str"/>
      <x:c r="J460" s="72" t="str"/>
      <x:c r="K460" s="72" t="str"/>
      <x:c r="L460" s="72" t="str"/>
      <x:c r="M460" s="72" t="str"/>
      <x:c r="N460" s="72" t="str"/>
      <x:c r="O460" s="72" t="str"/>
      <x:c r="P460" s="72" t="str">
        <x:v>Available</x:v>
      </x:c>
      <x:c r="Q460" s="72" t="n">
        <x:v>0</x:v>
      </x:c>
      <x:c r="R460" s="55" t="str">
        <x:f>IF($D460="","",ROUND(MAX(0,MIN(100,0.35*$J460+0.2*$K460+0.15*$L460+0.15*$M460+0.1*$N460+0.05*$O460-IF(OR($P460="Out",$P460="Suspended"),$Q460,IF($P460="Doubtful",$Q460*0.5,IF($P460="Limited",$Q460*0.25,0))))),2))</x:f>
      </x:c>
      <x:c r="S460" s="55" t="n">
        <x:f>IF($D460="",0,ROUND(IF(OR($P460="Out",$P460="Suspended"),$Q460*$H460,IF($P460="Doubtful",$Q460*$H460*0.5,IF($P460="Limited",$Q460*$H460*0.25,0))),2))</x:f>
        <x:v>0</x:v>
      </x:c>
      <x:c r="T460" s="55" t="str"/>
      <x:c r="U460" s="51" t="str"/>
    </x:row>
    <x:row r="461">
      <x:c r="A461" s="51" t="str">
        <x:v>Ecuador</x:v>
      </x:c>
      <x:c r="B461" s="51" t="str">
        <x:v>E</x:v>
      </x:c>
      <x:c r="C461" s="51" t="n">
        <x:v>15</x:v>
      </x:c>
      <x:c r="D461" s="71" t="str"/>
      <x:c r="E461" s="51" t="str">
        <x:v>CM</x:v>
      </x:c>
      <x:c r="F461" s="51" t="str">
        <x:v>Midfield</x:v>
      </x:c>
      <x:c r="G461" s="51" t="str">
        <x:v>Rotation</x:v>
      </x:c>
      <x:c r="H461" s="55" t="n">
        <x:v>0.35</x:v>
      </x:c>
      <x:c r="I461" s="51" t="str"/>
      <x:c r="J461" s="72" t="str"/>
      <x:c r="K461" s="72" t="str"/>
      <x:c r="L461" s="72" t="str"/>
      <x:c r="M461" s="72" t="str"/>
      <x:c r="N461" s="72" t="str"/>
      <x:c r="O461" s="72" t="str"/>
      <x:c r="P461" s="72" t="str">
        <x:v>Available</x:v>
      </x:c>
      <x:c r="Q461" s="72" t="n">
        <x:v>0</x:v>
      </x:c>
      <x:c r="R461" s="55" t="str">
        <x:f>IF($D461="","",ROUND(MAX(0,MIN(100,0.35*$J461+0.2*$K461+0.15*$L461+0.15*$M461+0.1*$N461+0.05*$O461-IF(OR($P461="Out",$P461="Suspended"),$Q461,IF($P461="Doubtful",$Q461*0.5,IF($P461="Limited",$Q461*0.25,0))))),2))</x:f>
      </x:c>
      <x:c r="S461" s="55" t="n">
        <x:f>IF($D461="",0,ROUND(IF(OR($P461="Out",$P461="Suspended"),$Q461*$H461,IF($P461="Doubtful",$Q461*$H461*0.5,IF($P461="Limited",$Q461*$H461*0.25,0))),2))</x:f>
        <x:v>0</x:v>
      </x:c>
      <x:c r="T461" s="55" t="str"/>
      <x:c r="U461" s="51" t="str"/>
    </x:row>
    <x:row r="462">
      <x:c r="A462" s="51" t="str">
        <x:v>Ecuador</x:v>
      </x:c>
      <x:c r="B462" s="51" t="str">
        <x:v>E</x:v>
      </x:c>
      <x:c r="C462" s="51" t="n">
        <x:v>16</x:v>
      </x:c>
      <x:c r="D462" s="71" t="str"/>
      <x:c r="E462" s="51" t="str">
        <x:v>AM</x:v>
      </x:c>
      <x:c r="F462" s="51" t="str">
        <x:v>Attack</x:v>
      </x:c>
      <x:c r="G462" s="51" t="str">
        <x:v>Rotation</x:v>
      </x:c>
      <x:c r="H462" s="55" t="n">
        <x:v>0.35</x:v>
      </x:c>
      <x:c r="I462" s="51" t="str"/>
      <x:c r="J462" s="72" t="str"/>
      <x:c r="K462" s="72" t="str"/>
      <x:c r="L462" s="72" t="str"/>
      <x:c r="M462" s="72" t="str"/>
      <x:c r="N462" s="72" t="str"/>
      <x:c r="O462" s="72" t="str"/>
      <x:c r="P462" s="72" t="str">
        <x:v>Available</x:v>
      </x:c>
      <x:c r="Q462" s="72" t="n">
        <x:v>0</x:v>
      </x:c>
      <x:c r="R462" s="55" t="str">
        <x:f>IF($D462="","",ROUND(MAX(0,MIN(100,0.35*$J462+0.2*$K462+0.15*$L462+0.15*$M462+0.1*$N462+0.05*$O462-IF(OR($P462="Out",$P462="Suspended"),$Q462,IF($P462="Doubtful",$Q462*0.5,IF($P462="Limited",$Q462*0.25,0))))),2))</x:f>
      </x:c>
      <x:c r="S462" s="55" t="n">
        <x:f>IF($D462="",0,ROUND(IF(OR($P462="Out",$P462="Suspended"),$Q462*$H462,IF($P462="Doubtful",$Q462*$H462*0.5,IF($P462="Limited",$Q462*$H462*0.25,0))),2))</x:f>
        <x:v>0</x:v>
      </x:c>
      <x:c r="T462" s="55" t="str"/>
      <x:c r="U462" s="51" t="str"/>
    </x:row>
    <x:row r="463">
      <x:c r="A463" s="51" t="str">
        <x:v>Ecuador</x:v>
      </x:c>
      <x:c r="B463" s="51" t="str">
        <x:v>E</x:v>
      </x:c>
      <x:c r="C463" s="51" t="n">
        <x:v>17</x:v>
      </x:c>
      <x:c r="D463" s="71" t="str"/>
      <x:c r="E463" s="51" t="str">
        <x:v>AM</x:v>
      </x:c>
      <x:c r="F463" s="51" t="str">
        <x:v>Attack</x:v>
      </x:c>
      <x:c r="G463" s="51" t="str">
        <x:v>Rotation</x:v>
      </x:c>
      <x:c r="H463" s="55" t="n">
        <x:v>0.35</x:v>
      </x:c>
      <x:c r="I463" s="51" t="str"/>
      <x:c r="J463" s="72" t="str"/>
      <x:c r="K463" s="72" t="str"/>
      <x:c r="L463" s="72" t="str"/>
      <x:c r="M463" s="72" t="str"/>
      <x:c r="N463" s="72" t="str"/>
      <x:c r="O463" s="72" t="str"/>
      <x:c r="P463" s="72" t="str">
        <x:v>Available</x:v>
      </x:c>
      <x:c r="Q463" s="72" t="n">
        <x:v>0</x:v>
      </x:c>
      <x:c r="R463" s="55" t="str">
        <x:f>IF($D463="","",ROUND(MAX(0,MIN(100,0.35*$J463+0.2*$K463+0.15*$L463+0.15*$M463+0.1*$N463+0.05*$O463-IF(OR($P463="Out",$P463="Suspended"),$Q463,IF($P463="Doubtful",$Q463*0.5,IF($P463="Limited",$Q463*0.25,0))))),2))</x:f>
      </x:c>
      <x:c r="S463" s="55" t="n">
        <x:f>IF($D463="",0,ROUND(IF(OR($P463="Out",$P463="Suspended"),$Q463*$H463,IF($P463="Doubtful",$Q463*$H463*0.5,IF($P463="Limited",$Q463*$H463*0.25,0))),2))</x:f>
        <x:v>0</x:v>
      </x:c>
      <x:c r="T463" s="55" t="str"/>
      <x:c r="U463" s="51" t="str"/>
    </x:row>
    <x:row r="464">
      <x:c r="A464" s="51" t="str">
        <x:v>Ecuador</x:v>
      </x:c>
      <x:c r="B464" s="51" t="str">
        <x:v>E</x:v>
      </x:c>
      <x:c r="C464" s="51" t="n">
        <x:v>18</x:v>
      </x:c>
      <x:c r="D464" s="71" t="str"/>
      <x:c r="E464" s="51" t="str">
        <x:v>AM</x:v>
      </x:c>
      <x:c r="F464" s="51" t="str">
        <x:v>Attack</x:v>
      </x:c>
      <x:c r="G464" s="51" t="str">
        <x:v>Rotation</x:v>
      </x:c>
      <x:c r="H464" s="55" t="n">
        <x:v>0.35</x:v>
      </x:c>
      <x:c r="I464" s="51" t="str"/>
      <x:c r="J464" s="72" t="str"/>
      <x:c r="K464" s="72" t="str"/>
      <x:c r="L464" s="72" t="str"/>
      <x:c r="M464" s="72" t="str"/>
      <x:c r="N464" s="72" t="str"/>
      <x:c r="O464" s="72" t="str"/>
      <x:c r="P464" s="72" t="str">
        <x:v>Available</x:v>
      </x:c>
      <x:c r="Q464" s="72" t="n">
        <x:v>0</x:v>
      </x:c>
      <x:c r="R464" s="55" t="str">
        <x:f>IF($D464="","",ROUND(MAX(0,MIN(100,0.35*$J464+0.2*$K464+0.15*$L464+0.15*$M464+0.1*$N464+0.05*$O464-IF(OR($P464="Out",$P464="Suspended"),$Q464,IF($P464="Doubtful",$Q464*0.5,IF($P464="Limited",$Q464*0.25,0))))),2))</x:f>
      </x:c>
      <x:c r="S464" s="55" t="n">
        <x:f>IF($D464="",0,ROUND(IF(OR($P464="Out",$P464="Suspended"),$Q464*$H464,IF($P464="Doubtful",$Q464*$H464*0.5,IF($P464="Limited",$Q464*$H464*0.25,0))),2))</x:f>
        <x:v>0</x:v>
      </x:c>
      <x:c r="T464" s="55" t="str"/>
      <x:c r="U464" s="51" t="str"/>
    </x:row>
    <x:row r="465">
      <x:c r="A465" s="51" t="str">
        <x:v>Ecuador</x:v>
      </x:c>
      <x:c r="B465" s="51" t="str">
        <x:v>E</x:v>
      </x:c>
      <x:c r="C465" s="51" t="n">
        <x:v>19</x:v>
      </x:c>
      <x:c r="D465" s="71" t="str"/>
      <x:c r="E465" s="51" t="str">
        <x:v>AM</x:v>
      </x:c>
      <x:c r="F465" s="51" t="str">
        <x:v>Attack</x:v>
      </x:c>
      <x:c r="G465" s="51" t="str">
        <x:v>Rotation</x:v>
      </x:c>
      <x:c r="H465" s="55" t="n">
        <x:v>0.35</x:v>
      </x:c>
      <x:c r="I465" s="51" t="str"/>
      <x:c r="J465" s="72" t="str"/>
      <x:c r="K465" s="72" t="str"/>
      <x:c r="L465" s="72" t="str"/>
      <x:c r="M465" s="72" t="str"/>
      <x:c r="N465" s="72" t="str"/>
      <x:c r="O465" s="72" t="str"/>
      <x:c r="P465" s="72" t="str">
        <x:v>Available</x:v>
      </x:c>
      <x:c r="Q465" s="72" t="n">
        <x:v>0</x:v>
      </x:c>
      <x:c r="R465" s="55" t="str">
        <x:f>IF($D465="","",ROUND(MAX(0,MIN(100,0.35*$J465+0.2*$K465+0.15*$L465+0.15*$M465+0.1*$N465+0.05*$O465-IF(OR($P465="Out",$P465="Suspended"),$Q465,IF($P465="Doubtful",$Q465*0.5,IF($P465="Limited",$Q465*0.25,0))))),2))</x:f>
      </x:c>
      <x:c r="S465" s="55" t="n">
        <x:f>IF($D465="",0,ROUND(IF(OR($P465="Out",$P465="Suspended"),$Q465*$H465,IF($P465="Doubtful",$Q465*$H465*0.5,IF($P465="Limited",$Q465*$H465*0.25,0))),2))</x:f>
        <x:v>0</x:v>
      </x:c>
      <x:c r="T465" s="55" t="str"/>
      <x:c r="U465" s="51" t="str"/>
    </x:row>
    <x:row r="466">
      <x:c r="A466" s="51" t="str">
        <x:v>Ecuador</x:v>
      </x:c>
      <x:c r="B466" s="51" t="str">
        <x:v>E</x:v>
      </x:c>
      <x:c r="C466" s="51" t="n">
        <x:v>20</x:v>
      </x:c>
      <x:c r="D466" s="71" t="str"/>
      <x:c r="E466" s="51" t="str">
        <x:v>Winger</x:v>
      </x:c>
      <x:c r="F466" s="51" t="str">
        <x:v>Attack</x:v>
      </x:c>
      <x:c r="G466" s="51" t="str">
        <x:v>Rotation</x:v>
      </x:c>
      <x:c r="H466" s="55" t="n">
        <x:v>0.35</x:v>
      </x:c>
      <x:c r="I466" s="51" t="str"/>
      <x:c r="J466" s="72" t="str"/>
      <x:c r="K466" s="72" t="str"/>
      <x:c r="L466" s="72" t="str"/>
      <x:c r="M466" s="72" t="str"/>
      <x:c r="N466" s="72" t="str"/>
      <x:c r="O466" s="72" t="str"/>
      <x:c r="P466" s="72" t="str">
        <x:v>Available</x:v>
      </x:c>
      <x:c r="Q466" s="72" t="n">
        <x:v>0</x:v>
      </x:c>
      <x:c r="R466" s="55" t="str">
        <x:f>IF($D466="","",ROUND(MAX(0,MIN(100,0.35*$J466+0.2*$K466+0.15*$L466+0.15*$M466+0.1*$N466+0.05*$O466-IF(OR($P466="Out",$P466="Suspended"),$Q466,IF($P466="Doubtful",$Q466*0.5,IF($P466="Limited",$Q466*0.25,0))))),2))</x:f>
      </x:c>
      <x:c r="S466" s="55" t="n">
        <x:f>IF($D466="",0,ROUND(IF(OR($P466="Out",$P466="Suspended"),$Q466*$H466,IF($P466="Doubtful",$Q466*$H466*0.5,IF($P466="Limited",$Q466*$H466*0.25,0))),2))</x:f>
        <x:v>0</x:v>
      </x:c>
      <x:c r="T466" s="55" t="str"/>
      <x:c r="U466" s="51" t="str"/>
    </x:row>
    <x:row r="467">
      <x:c r="A467" s="51" t="str">
        <x:v>Ecuador</x:v>
      </x:c>
      <x:c r="B467" s="51" t="str">
        <x:v>E</x:v>
      </x:c>
      <x:c r="C467" s="51" t="n">
        <x:v>21</x:v>
      </x:c>
      <x:c r="D467" s="71" t="str"/>
      <x:c r="E467" s="51" t="str">
        <x:v>Winger</x:v>
      </x:c>
      <x:c r="F467" s="51" t="str">
        <x:v>Attack</x:v>
      </x:c>
      <x:c r="G467" s="51" t="str">
        <x:v>Depth</x:v>
      </x:c>
      <x:c r="H467" s="55" t="n">
        <x:v>0.1</x:v>
      </x:c>
      <x:c r="I467" s="51" t="str"/>
      <x:c r="J467" s="72" t="str"/>
      <x:c r="K467" s="72" t="str"/>
      <x:c r="L467" s="72" t="str"/>
      <x:c r="M467" s="72" t="str"/>
      <x:c r="N467" s="72" t="str"/>
      <x:c r="O467" s="72" t="str"/>
      <x:c r="P467" s="72" t="str">
        <x:v>Available</x:v>
      </x:c>
      <x:c r="Q467" s="72" t="n">
        <x:v>0</x:v>
      </x:c>
      <x:c r="R467" s="55" t="str">
        <x:f>IF($D467="","",ROUND(MAX(0,MIN(100,0.35*$J467+0.2*$K467+0.15*$L467+0.15*$M467+0.1*$N467+0.05*$O467-IF(OR($P467="Out",$P467="Suspended"),$Q467,IF($P467="Doubtful",$Q467*0.5,IF($P467="Limited",$Q467*0.25,0))))),2))</x:f>
      </x:c>
      <x:c r="S467" s="55" t="n">
        <x:f>IF($D467="",0,ROUND(IF(OR($P467="Out",$P467="Suspended"),$Q467*$H467,IF($P467="Doubtful",$Q467*$H467*0.5,IF($P467="Limited",$Q467*$H467*0.25,0))),2))</x:f>
        <x:v>0</x:v>
      </x:c>
      <x:c r="T467" s="55" t="str"/>
      <x:c r="U467" s="51" t="str"/>
    </x:row>
    <x:row r="468">
      <x:c r="A468" s="51" t="str">
        <x:v>Ecuador</x:v>
      </x:c>
      <x:c r="B468" s="51" t="str">
        <x:v>E</x:v>
      </x:c>
      <x:c r="C468" s="51" t="n">
        <x:v>22</x:v>
      </x:c>
      <x:c r="D468" s="71" t="str"/>
      <x:c r="E468" s="51" t="str">
        <x:v>Winger</x:v>
      </x:c>
      <x:c r="F468" s="51" t="str">
        <x:v>Attack</x:v>
      </x:c>
      <x:c r="G468" s="51" t="str">
        <x:v>Depth</x:v>
      </x:c>
      <x:c r="H468" s="55" t="n">
        <x:v>0.1</x:v>
      </x:c>
      <x:c r="I468" s="51" t="str"/>
      <x:c r="J468" s="72" t="str"/>
      <x:c r="K468" s="72" t="str"/>
      <x:c r="L468" s="72" t="str"/>
      <x:c r="M468" s="72" t="str"/>
      <x:c r="N468" s="72" t="str"/>
      <x:c r="O468" s="72" t="str"/>
      <x:c r="P468" s="72" t="str">
        <x:v>Available</x:v>
      </x:c>
      <x:c r="Q468" s="72" t="n">
        <x:v>0</x:v>
      </x:c>
      <x:c r="R468" s="55" t="str">
        <x:f>IF($D468="","",ROUND(MAX(0,MIN(100,0.35*$J468+0.2*$K468+0.15*$L468+0.15*$M468+0.1*$N468+0.05*$O468-IF(OR($P468="Out",$P468="Suspended"),$Q468,IF($P468="Doubtful",$Q468*0.5,IF($P468="Limited",$Q468*0.25,0))))),2))</x:f>
      </x:c>
      <x:c r="S468" s="55" t="n">
        <x:f>IF($D468="",0,ROUND(IF(OR($P468="Out",$P468="Suspended"),$Q468*$H468,IF($P468="Doubtful",$Q468*$H468*0.5,IF($P468="Limited",$Q468*$H468*0.25,0))),2))</x:f>
        <x:v>0</x:v>
      </x:c>
      <x:c r="T468" s="55" t="str"/>
      <x:c r="U468" s="51" t="str"/>
    </x:row>
    <x:row r="469">
      <x:c r="A469" s="51" t="str">
        <x:v>Ecuador</x:v>
      </x:c>
      <x:c r="B469" s="51" t="str">
        <x:v>E</x:v>
      </x:c>
      <x:c r="C469" s="51" t="n">
        <x:v>23</x:v>
      </x:c>
      <x:c r="D469" s="71" t="str"/>
      <x:c r="E469" s="51" t="str">
        <x:v>Winger</x:v>
      </x:c>
      <x:c r="F469" s="51" t="str">
        <x:v>Attack</x:v>
      </x:c>
      <x:c r="G469" s="51" t="str">
        <x:v>Depth</x:v>
      </x:c>
      <x:c r="H469" s="55" t="n">
        <x:v>0.1</x:v>
      </x:c>
      <x:c r="I469" s="51" t="str"/>
      <x:c r="J469" s="72" t="str"/>
      <x:c r="K469" s="72" t="str"/>
      <x:c r="L469" s="72" t="str"/>
      <x:c r="M469" s="72" t="str"/>
      <x:c r="N469" s="72" t="str"/>
      <x:c r="O469" s="72" t="str"/>
      <x:c r="P469" s="72" t="str">
        <x:v>Available</x:v>
      </x:c>
      <x:c r="Q469" s="72" t="n">
        <x:v>0</x:v>
      </x:c>
      <x:c r="R469" s="55" t="str">
        <x:f>IF($D469="","",ROUND(MAX(0,MIN(100,0.35*$J469+0.2*$K469+0.15*$L469+0.15*$M469+0.1*$N469+0.05*$O469-IF(OR($P469="Out",$P469="Suspended"),$Q469,IF($P469="Doubtful",$Q469*0.5,IF($P469="Limited",$Q469*0.25,0))))),2))</x:f>
      </x:c>
      <x:c r="S469" s="55" t="n">
        <x:f>IF($D469="",0,ROUND(IF(OR($P469="Out",$P469="Suspended"),$Q469*$H469,IF($P469="Doubtful",$Q469*$H469*0.5,IF($P469="Limited",$Q469*$H469*0.25,0))),2))</x:f>
        <x:v>0</x:v>
      </x:c>
      <x:c r="T469" s="55" t="str"/>
      <x:c r="U469" s="51" t="str"/>
    </x:row>
    <x:row r="470">
      <x:c r="A470" s="51" t="str">
        <x:v>Ecuador</x:v>
      </x:c>
      <x:c r="B470" s="51" t="str">
        <x:v>E</x:v>
      </x:c>
      <x:c r="C470" s="51" t="n">
        <x:v>24</x:v>
      </x:c>
      <x:c r="D470" s="71" t="str"/>
      <x:c r="E470" s="51" t="str">
        <x:v>ST</x:v>
      </x:c>
      <x:c r="F470" s="51" t="str">
        <x:v>Attack</x:v>
      </x:c>
      <x:c r="G470" s="51" t="str">
        <x:v>Depth</x:v>
      </x:c>
      <x:c r="H470" s="55" t="n">
        <x:v>0.1</x:v>
      </x:c>
      <x:c r="I470" s="51" t="str"/>
      <x:c r="J470" s="72" t="str"/>
      <x:c r="K470" s="72" t="str"/>
      <x:c r="L470" s="72" t="str"/>
      <x:c r="M470" s="72" t="str"/>
      <x:c r="N470" s="72" t="str"/>
      <x:c r="O470" s="72" t="str"/>
      <x:c r="P470" s="72" t="str">
        <x:v>Available</x:v>
      </x:c>
      <x:c r="Q470" s="72" t="n">
        <x:v>0</x:v>
      </x:c>
      <x:c r="R470" s="55" t="str">
        <x:f>IF($D470="","",ROUND(MAX(0,MIN(100,0.35*$J470+0.2*$K470+0.15*$L470+0.15*$M470+0.1*$N470+0.05*$O470-IF(OR($P470="Out",$P470="Suspended"),$Q470,IF($P470="Doubtful",$Q470*0.5,IF($P470="Limited",$Q470*0.25,0))))),2))</x:f>
      </x:c>
      <x:c r="S470" s="55" t="n">
        <x:f>IF($D470="",0,ROUND(IF(OR($P470="Out",$P470="Suspended"),$Q470*$H470,IF($P470="Doubtful",$Q470*$H470*0.5,IF($P470="Limited",$Q470*$H470*0.25,0))),2))</x:f>
        <x:v>0</x:v>
      </x:c>
      <x:c r="T470" s="55" t="str"/>
      <x:c r="U470" s="51" t="str"/>
    </x:row>
    <x:row r="471">
      <x:c r="A471" s="51" t="str">
        <x:v>Ecuador</x:v>
      </x:c>
      <x:c r="B471" s="51" t="str">
        <x:v>E</x:v>
      </x:c>
      <x:c r="C471" s="51" t="n">
        <x:v>25</x:v>
      </x:c>
      <x:c r="D471" s="71" t="str"/>
      <x:c r="E471" s="51" t="str">
        <x:v>ST</x:v>
      </x:c>
      <x:c r="F471" s="51" t="str">
        <x:v>Attack</x:v>
      </x:c>
      <x:c r="G471" s="51" t="str">
        <x:v>Depth</x:v>
      </x:c>
      <x:c r="H471" s="55" t="n">
        <x:v>0.1</x:v>
      </x:c>
      <x:c r="I471" s="51" t="str"/>
      <x:c r="J471" s="72" t="str"/>
      <x:c r="K471" s="72" t="str"/>
      <x:c r="L471" s="72" t="str"/>
      <x:c r="M471" s="72" t="str"/>
      <x:c r="N471" s="72" t="str"/>
      <x:c r="O471" s="72" t="str"/>
      <x:c r="P471" s="72" t="str">
        <x:v>Available</x:v>
      </x:c>
      <x:c r="Q471" s="72" t="n">
        <x:v>0</x:v>
      </x:c>
      <x:c r="R471" s="55" t="str">
        <x:f>IF($D471="","",ROUND(MAX(0,MIN(100,0.35*$J471+0.2*$K471+0.15*$L471+0.15*$M471+0.1*$N471+0.05*$O471-IF(OR($P471="Out",$P471="Suspended"),$Q471,IF($P471="Doubtful",$Q471*0.5,IF($P471="Limited",$Q471*0.25,0))))),2))</x:f>
      </x:c>
      <x:c r="S471" s="55" t="n">
        <x:f>IF($D471="",0,ROUND(IF(OR($P471="Out",$P471="Suspended"),$Q471*$H471,IF($P471="Doubtful",$Q471*$H471*0.5,IF($P471="Limited",$Q471*$H471*0.25,0))),2))</x:f>
        <x:v>0</x:v>
      </x:c>
      <x:c r="T471" s="55" t="str"/>
      <x:c r="U471" s="51" t="str"/>
    </x:row>
    <x:row r="472">
      <x:c r="A472" s="51" t="str">
        <x:v>Ecuador</x:v>
      </x:c>
      <x:c r="B472" s="51" t="str">
        <x:v>E</x:v>
      </x:c>
      <x:c r="C472" s="51" t="n">
        <x:v>26</x:v>
      </x:c>
      <x:c r="D472" s="71" t="str"/>
      <x:c r="E472" s="51" t="str">
        <x:v>ST</x:v>
      </x:c>
      <x:c r="F472" s="51" t="str">
        <x:v>Attack</x:v>
      </x:c>
      <x:c r="G472" s="51" t="str">
        <x:v>Depth</x:v>
      </x:c>
      <x:c r="H472" s="55" t="n">
        <x:v>0.1</x:v>
      </x:c>
      <x:c r="I472" s="51" t="str"/>
      <x:c r="J472" s="72" t="str"/>
      <x:c r="K472" s="72" t="str"/>
      <x:c r="L472" s="72" t="str"/>
      <x:c r="M472" s="72" t="str"/>
      <x:c r="N472" s="72" t="str"/>
      <x:c r="O472" s="72" t="str"/>
      <x:c r="P472" s="72" t="str">
        <x:v>Available</x:v>
      </x:c>
      <x:c r="Q472" s="72" t="n">
        <x:v>0</x:v>
      </x:c>
      <x:c r="R472" s="55" t="str">
        <x:f>IF($D472="","",ROUND(MAX(0,MIN(100,0.35*$J472+0.2*$K472+0.15*$L472+0.15*$M472+0.1*$N472+0.05*$O472-IF(OR($P472="Out",$P472="Suspended"),$Q472,IF($P472="Doubtful",$Q472*0.5,IF($P472="Limited",$Q472*0.25,0))))),2))</x:f>
      </x:c>
      <x:c r="S472" s="55" t="n">
        <x:f>IF($D472="",0,ROUND(IF(OR($P472="Out",$P472="Suspended"),$Q472*$H472,IF($P472="Doubtful",$Q472*$H472*0.5,IF($P472="Limited",$Q472*$H472*0.25,0))),2))</x:f>
        <x:v>0</x:v>
      </x:c>
      <x:c r="T472" s="55" t="str"/>
      <x:c r="U472" s="51" t="str"/>
    </x:row>
    <x:row r="473">
      <x:c r="A473" s="51" t="str">
        <x:v>Germany</x:v>
      </x:c>
      <x:c r="B473" s="51" t="str">
        <x:v>E</x:v>
      </x:c>
      <x:c r="C473" s="51" t="n">
        <x:v>1</x:v>
      </x:c>
      <x:c r="D473" s="71" t="str"/>
      <x:c r="E473" s="51" t="str">
        <x:v>GK</x:v>
      </x:c>
      <x:c r="F473" s="51" t="str">
        <x:v>GK</x:v>
      </x:c>
      <x:c r="G473" s="51" t="str">
        <x:v>Starter</x:v>
      </x:c>
      <x:c r="H473" s="55" t="n">
        <x:v>1</x:v>
      </x:c>
      <x:c r="I473" s="51" t="str"/>
      <x:c r="J473" s="72" t="str"/>
      <x:c r="K473" s="72" t="str"/>
      <x:c r="L473" s="72" t="str"/>
      <x:c r="M473" s="72" t="str"/>
      <x:c r="N473" s="72" t="str"/>
      <x:c r="O473" s="72" t="str"/>
      <x:c r="P473" s="72" t="str">
        <x:v>Available</x:v>
      </x:c>
      <x:c r="Q473" s="72" t="n">
        <x:v>0</x:v>
      </x:c>
      <x:c r="R473" s="55" t="str">
        <x:f>IF($D473="","",ROUND(MAX(0,MIN(100,0.35*$J473+0.2*$K473+0.15*$L473+0.15*$M473+0.1*$N473+0.05*$O473-IF(OR($P473="Out",$P473="Suspended"),$Q473,IF($P473="Doubtful",$Q473*0.5,IF($P473="Limited",$Q473*0.25,0))))),2))</x:f>
      </x:c>
      <x:c r="S473" s="55" t="n">
        <x:f>IF($D473="",0,ROUND(IF(OR($P473="Out",$P473="Suspended"),$Q473*$H473,IF($P473="Doubtful",$Q473*$H473*0.5,IF($P473="Limited",$Q473*$H473*0.25,0))),2))</x:f>
        <x:v>0</x:v>
      </x:c>
      <x:c r="T473" s="55" t="str"/>
      <x:c r="U473" s="51" t="str"/>
    </x:row>
    <x:row r="474">
      <x:c r="A474" s="51" t="str">
        <x:v>Germany</x:v>
      </x:c>
      <x:c r="B474" s="51" t="str">
        <x:v>E</x:v>
      </x:c>
      <x:c r="C474" s="51" t="n">
        <x:v>2</x:v>
      </x:c>
      <x:c r="D474" s="71" t="str"/>
      <x:c r="E474" s="51" t="str">
        <x:v>GK</x:v>
      </x:c>
      <x:c r="F474" s="51" t="str">
        <x:v>GK</x:v>
      </x:c>
      <x:c r="G474" s="51" t="str">
        <x:v>Starter</x:v>
      </x:c>
      <x:c r="H474" s="55" t="n">
        <x:v>1</x:v>
      </x:c>
      <x:c r="I474" s="51" t="str"/>
      <x:c r="J474" s="72" t="str"/>
      <x:c r="K474" s="72" t="str"/>
      <x:c r="L474" s="72" t="str"/>
      <x:c r="M474" s="72" t="str"/>
      <x:c r="N474" s="72" t="str"/>
      <x:c r="O474" s="72" t="str"/>
      <x:c r="P474" s="72" t="str">
        <x:v>Available</x:v>
      </x:c>
      <x:c r="Q474" s="72" t="n">
        <x:v>0</x:v>
      </x:c>
      <x:c r="R474" s="55" t="str">
        <x:f>IF($D474="","",ROUND(MAX(0,MIN(100,0.35*$J474+0.2*$K474+0.15*$L474+0.15*$M474+0.1*$N474+0.05*$O474-IF(OR($P474="Out",$P474="Suspended"),$Q474,IF($P474="Doubtful",$Q474*0.5,IF($P474="Limited",$Q474*0.25,0))))),2))</x:f>
      </x:c>
      <x:c r="S474" s="55" t="n">
        <x:f>IF($D474="",0,ROUND(IF(OR($P474="Out",$P474="Suspended"),$Q474*$H474,IF($P474="Doubtful",$Q474*$H474*0.5,IF($P474="Limited",$Q474*$H474*0.25,0))),2))</x:f>
        <x:v>0</x:v>
      </x:c>
      <x:c r="T474" s="55" t="str"/>
      <x:c r="U474" s="51" t="str"/>
    </x:row>
    <x:row r="475">
      <x:c r="A475" s="51" t="str">
        <x:v>Germany</x:v>
      </x:c>
      <x:c r="B475" s="51" t="str">
        <x:v>E</x:v>
      </x:c>
      <x:c r="C475" s="51" t="n">
        <x:v>3</x:v>
      </x:c>
      <x:c r="D475" s="71" t="str"/>
      <x:c r="E475" s="51" t="str">
        <x:v>GK</x:v>
      </x:c>
      <x:c r="F475" s="51" t="str">
        <x:v>GK</x:v>
      </x:c>
      <x:c r="G475" s="51" t="str">
        <x:v>Starter</x:v>
      </x:c>
      <x:c r="H475" s="55" t="n">
        <x:v>1</x:v>
      </x:c>
      <x:c r="I475" s="51" t="str"/>
      <x:c r="J475" s="72" t="str"/>
      <x:c r="K475" s="72" t="str"/>
      <x:c r="L475" s="72" t="str"/>
      <x:c r="M475" s="72" t="str"/>
      <x:c r="N475" s="72" t="str"/>
      <x:c r="O475" s="72" t="str"/>
      <x:c r="P475" s="72" t="str">
        <x:v>Available</x:v>
      </x:c>
      <x:c r="Q475" s="72" t="n">
        <x:v>0</x:v>
      </x:c>
      <x:c r="R475" s="55" t="str">
        <x:f>IF($D475="","",ROUND(MAX(0,MIN(100,0.35*$J475+0.2*$K475+0.15*$L475+0.15*$M475+0.1*$N475+0.05*$O475-IF(OR($P475="Out",$P475="Suspended"),$Q475,IF($P475="Doubtful",$Q475*0.5,IF($P475="Limited",$Q475*0.25,0))))),2))</x:f>
      </x:c>
      <x:c r="S475" s="55" t="n">
        <x:f>IF($D475="",0,ROUND(IF(OR($P475="Out",$P475="Suspended"),$Q475*$H475,IF($P475="Doubtful",$Q475*$H475*0.5,IF($P475="Limited",$Q475*$H475*0.25,0))),2))</x:f>
        <x:v>0</x:v>
      </x:c>
      <x:c r="T475" s="55" t="str"/>
      <x:c r="U475" s="51" t="str"/>
    </x:row>
    <x:row r="476">
      <x:c r="A476" s="51" t="str">
        <x:v>Germany</x:v>
      </x:c>
      <x:c r="B476" s="51" t="str">
        <x:v>E</x:v>
      </x:c>
      <x:c r="C476" s="51" t="n">
        <x:v>4</x:v>
      </x:c>
      <x:c r="D476" s="71" t="str"/>
      <x:c r="E476" s="51" t="str">
        <x:v>CB</x:v>
      </x:c>
      <x:c r="F476" s="51" t="str">
        <x:v>Defence</x:v>
      </x:c>
      <x:c r="G476" s="51" t="str">
        <x:v>Starter</x:v>
      </x:c>
      <x:c r="H476" s="55" t="n">
        <x:v>1</x:v>
      </x:c>
      <x:c r="I476" s="51" t="str"/>
      <x:c r="J476" s="72" t="str"/>
      <x:c r="K476" s="72" t="str"/>
      <x:c r="L476" s="72" t="str"/>
      <x:c r="M476" s="72" t="str"/>
      <x:c r="N476" s="72" t="str"/>
      <x:c r="O476" s="72" t="str"/>
      <x:c r="P476" s="72" t="str">
        <x:v>Available</x:v>
      </x:c>
      <x:c r="Q476" s="72" t="n">
        <x:v>0</x:v>
      </x:c>
      <x:c r="R476" s="55" t="str">
        <x:f>IF($D476="","",ROUND(MAX(0,MIN(100,0.35*$J476+0.2*$K476+0.15*$L476+0.15*$M476+0.1*$N476+0.05*$O476-IF(OR($P476="Out",$P476="Suspended"),$Q476,IF($P476="Doubtful",$Q476*0.5,IF($P476="Limited",$Q476*0.25,0))))),2))</x:f>
      </x:c>
      <x:c r="S476" s="55" t="n">
        <x:f>IF($D476="",0,ROUND(IF(OR($P476="Out",$P476="Suspended"),$Q476*$H476,IF($P476="Doubtful",$Q476*$H476*0.5,IF($P476="Limited",$Q476*$H476*0.25,0))),2))</x:f>
        <x:v>0</x:v>
      </x:c>
      <x:c r="T476" s="55" t="str"/>
      <x:c r="U476" s="51" t="str"/>
    </x:row>
    <x:row r="477">
      <x:c r="A477" s="51" t="str">
        <x:v>Germany</x:v>
      </x:c>
      <x:c r="B477" s="51" t="str">
        <x:v>E</x:v>
      </x:c>
      <x:c r="C477" s="51" t="n">
        <x:v>5</x:v>
      </x:c>
      <x:c r="D477" s="71" t="str"/>
      <x:c r="E477" s="51" t="str">
        <x:v>CB</x:v>
      </x:c>
      <x:c r="F477" s="51" t="str">
        <x:v>Defence</x:v>
      </x:c>
      <x:c r="G477" s="51" t="str">
        <x:v>Starter</x:v>
      </x:c>
      <x:c r="H477" s="55" t="n">
        <x:v>1</x:v>
      </x:c>
      <x:c r="I477" s="51" t="str"/>
      <x:c r="J477" s="72" t="str"/>
      <x:c r="K477" s="72" t="str"/>
      <x:c r="L477" s="72" t="str"/>
      <x:c r="M477" s="72" t="str"/>
      <x:c r="N477" s="72" t="str"/>
      <x:c r="O477" s="72" t="str"/>
      <x:c r="P477" s="72" t="str">
        <x:v>Available</x:v>
      </x:c>
      <x:c r="Q477" s="72" t="n">
        <x:v>0</x:v>
      </x:c>
      <x:c r="R477" s="55" t="str">
        <x:f>IF($D477="","",ROUND(MAX(0,MIN(100,0.35*$J477+0.2*$K477+0.15*$L477+0.15*$M477+0.1*$N477+0.05*$O477-IF(OR($P477="Out",$P477="Suspended"),$Q477,IF($P477="Doubtful",$Q477*0.5,IF($P477="Limited",$Q477*0.25,0))))),2))</x:f>
      </x:c>
      <x:c r="S477" s="55" t="n">
        <x:f>IF($D477="",0,ROUND(IF(OR($P477="Out",$P477="Suspended"),$Q477*$H477,IF($P477="Doubtful",$Q477*$H477*0.5,IF($P477="Limited",$Q477*$H477*0.25,0))),2))</x:f>
        <x:v>0</x:v>
      </x:c>
      <x:c r="T477" s="55" t="str"/>
      <x:c r="U477" s="51" t="str"/>
    </x:row>
    <x:row r="478">
      <x:c r="A478" s="51" t="str">
        <x:v>Germany</x:v>
      </x:c>
      <x:c r="B478" s="51" t="str">
        <x:v>E</x:v>
      </x:c>
      <x:c r="C478" s="51" t="n">
        <x:v>6</x:v>
      </x:c>
      <x:c r="D478" s="71" t="str"/>
      <x:c r="E478" s="51" t="str">
        <x:v>CB</x:v>
      </x:c>
      <x:c r="F478" s="51" t="str">
        <x:v>Defence</x:v>
      </x:c>
      <x:c r="G478" s="51" t="str">
        <x:v>Starter</x:v>
      </x:c>
      <x:c r="H478" s="55" t="n">
        <x:v>1</x:v>
      </x:c>
      <x:c r="I478" s="51" t="str"/>
      <x:c r="J478" s="72" t="str"/>
      <x:c r="K478" s="72" t="str"/>
      <x:c r="L478" s="72" t="str"/>
      <x:c r="M478" s="72" t="str"/>
      <x:c r="N478" s="72" t="str"/>
      <x:c r="O478" s="72" t="str"/>
      <x:c r="P478" s="72" t="str">
        <x:v>Available</x:v>
      </x:c>
      <x:c r="Q478" s="72" t="n">
        <x:v>0</x:v>
      </x:c>
      <x:c r="R478" s="55" t="str">
        <x:f>IF($D478="","",ROUND(MAX(0,MIN(100,0.35*$J478+0.2*$K478+0.15*$L478+0.15*$M478+0.1*$N478+0.05*$O478-IF(OR($P478="Out",$P478="Suspended"),$Q478,IF($P478="Doubtful",$Q478*0.5,IF($P478="Limited",$Q478*0.25,0))))),2))</x:f>
      </x:c>
      <x:c r="S478" s="55" t="n">
        <x:f>IF($D478="",0,ROUND(IF(OR($P478="Out",$P478="Suspended"),$Q478*$H478,IF($P478="Doubtful",$Q478*$H478*0.5,IF($P478="Limited",$Q478*$H478*0.25,0))),2))</x:f>
        <x:v>0</x:v>
      </x:c>
      <x:c r="T478" s="55" t="str"/>
      <x:c r="U478" s="51" t="str"/>
    </x:row>
    <x:row r="479">
      <x:c r="A479" s="51" t="str">
        <x:v>Germany</x:v>
      </x:c>
      <x:c r="B479" s="51" t="str">
        <x:v>E</x:v>
      </x:c>
      <x:c r="C479" s="51" t="n">
        <x:v>7</x:v>
      </x:c>
      <x:c r="D479" s="71" t="str"/>
      <x:c r="E479" s="51" t="str">
        <x:v>FB</x:v>
      </x:c>
      <x:c r="F479" s="51" t="str">
        <x:v>Defence</x:v>
      </x:c>
      <x:c r="G479" s="51" t="str">
        <x:v>Starter</x:v>
      </x:c>
      <x:c r="H479" s="55" t="n">
        <x:v>1</x:v>
      </x:c>
      <x:c r="I479" s="51" t="str"/>
      <x:c r="J479" s="72" t="str"/>
      <x:c r="K479" s="72" t="str"/>
      <x:c r="L479" s="72" t="str"/>
      <x:c r="M479" s="72" t="str"/>
      <x:c r="N479" s="72" t="str"/>
      <x:c r="O479" s="72" t="str"/>
      <x:c r="P479" s="72" t="str">
        <x:v>Available</x:v>
      </x:c>
      <x:c r="Q479" s="72" t="n">
        <x:v>0</x:v>
      </x:c>
      <x:c r="R479" s="55" t="str">
        <x:f>IF($D479="","",ROUND(MAX(0,MIN(100,0.35*$J479+0.2*$K479+0.15*$L479+0.15*$M479+0.1*$N479+0.05*$O479-IF(OR($P479="Out",$P479="Suspended"),$Q479,IF($P479="Doubtful",$Q479*0.5,IF($P479="Limited",$Q479*0.25,0))))),2))</x:f>
      </x:c>
      <x:c r="S479" s="55" t="n">
        <x:f>IF($D479="",0,ROUND(IF(OR($P479="Out",$P479="Suspended"),$Q479*$H479,IF($P479="Doubtful",$Q479*$H479*0.5,IF($P479="Limited",$Q479*$H479*0.25,0))),2))</x:f>
        <x:v>0</x:v>
      </x:c>
      <x:c r="T479" s="55" t="str"/>
      <x:c r="U479" s="51" t="str"/>
    </x:row>
    <x:row r="480">
      <x:c r="A480" s="51" t="str">
        <x:v>Germany</x:v>
      </x:c>
      <x:c r="B480" s="51" t="str">
        <x:v>E</x:v>
      </x:c>
      <x:c r="C480" s="51" t="n">
        <x:v>8</x:v>
      </x:c>
      <x:c r="D480" s="71" t="str"/>
      <x:c r="E480" s="51" t="str">
        <x:v>FB</x:v>
      </x:c>
      <x:c r="F480" s="51" t="str">
        <x:v>Defence</x:v>
      </x:c>
      <x:c r="G480" s="51" t="str">
        <x:v>Starter</x:v>
      </x:c>
      <x:c r="H480" s="55" t="n">
        <x:v>1</x:v>
      </x:c>
      <x:c r="I480" s="51" t="str"/>
      <x:c r="J480" s="72" t="str"/>
      <x:c r="K480" s="72" t="str"/>
      <x:c r="L480" s="72" t="str"/>
      <x:c r="M480" s="72" t="str"/>
      <x:c r="N480" s="72" t="str"/>
      <x:c r="O480" s="72" t="str"/>
      <x:c r="P480" s="72" t="str">
        <x:v>Available</x:v>
      </x:c>
      <x:c r="Q480" s="72" t="n">
        <x:v>0</x:v>
      </x:c>
      <x:c r="R480" s="55" t="str">
        <x:f>IF($D480="","",ROUND(MAX(0,MIN(100,0.35*$J480+0.2*$K480+0.15*$L480+0.15*$M480+0.1*$N480+0.05*$O480-IF(OR($P480="Out",$P480="Suspended"),$Q480,IF($P480="Doubtful",$Q480*0.5,IF($P480="Limited",$Q480*0.25,0))))),2))</x:f>
      </x:c>
      <x:c r="S480" s="55" t="n">
        <x:f>IF($D480="",0,ROUND(IF(OR($P480="Out",$P480="Suspended"),$Q480*$H480,IF($P480="Doubtful",$Q480*$H480*0.5,IF($P480="Limited",$Q480*$H480*0.25,0))),2))</x:f>
        <x:v>0</x:v>
      </x:c>
      <x:c r="T480" s="55" t="str"/>
      <x:c r="U480" s="51" t="str"/>
    </x:row>
    <x:row r="481">
      <x:c r="A481" s="51" t="str">
        <x:v>Germany</x:v>
      </x:c>
      <x:c r="B481" s="51" t="str">
        <x:v>E</x:v>
      </x:c>
      <x:c r="C481" s="51" t="n">
        <x:v>9</x:v>
      </x:c>
      <x:c r="D481" s="71" t="str"/>
      <x:c r="E481" s="51" t="str">
        <x:v>DM</x:v>
      </x:c>
      <x:c r="F481" s="51" t="str">
        <x:v>Midfield</x:v>
      </x:c>
      <x:c r="G481" s="51" t="str">
        <x:v>Starter</x:v>
      </x:c>
      <x:c r="H481" s="55" t="n">
        <x:v>1</x:v>
      </x:c>
      <x:c r="I481" s="51" t="str"/>
      <x:c r="J481" s="72" t="str"/>
      <x:c r="K481" s="72" t="str"/>
      <x:c r="L481" s="72" t="str"/>
      <x:c r="M481" s="72" t="str"/>
      <x:c r="N481" s="72" t="str"/>
      <x:c r="O481" s="72" t="str"/>
      <x:c r="P481" s="72" t="str">
        <x:v>Available</x:v>
      </x:c>
      <x:c r="Q481" s="72" t="n">
        <x:v>0</x:v>
      </x:c>
      <x:c r="R481" s="55" t="str">
        <x:f>IF($D481="","",ROUND(MAX(0,MIN(100,0.35*$J481+0.2*$K481+0.15*$L481+0.15*$M481+0.1*$N481+0.05*$O481-IF(OR($P481="Out",$P481="Suspended"),$Q481,IF($P481="Doubtful",$Q481*0.5,IF($P481="Limited",$Q481*0.25,0))))),2))</x:f>
      </x:c>
      <x:c r="S481" s="55" t="n">
        <x:f>IF($D481="",0,ROUND(IF(OR($P481="Out",$P481="Suspended"),$Q481*$H481,IF($P481="Doubtful",$Q481*$H481*0.5,IF($P481="Limited",$Q481*$H481*0.25,0))),2))</x:f>
        <x:v>0</x:v>
      </x:c>
      <x:c r="T481" s="55" t="str"/>
      <x:c r="U481" s="51" t="str"/>
    </x:row>
    <x:row r="482">
      <x:c r="A482" s="51" t="str">
        <x:v>Germany</x:v>
      </x:c>
      <x:c r="B482" s="51" t="str">
        <x:v>E</x:v>
      </x:c>
      <x:c r="C482" s="51" t="n">
        <x:v>10</x:v>
      </x:c>
      <x:c r="D482" s="71" t="str"/>
      <x:c r="E482" s="51" t="str">
        <x:v>DM</x:v>
      </x:c>
      <x:c r="F482" s="51" t="str">
        <x:v>Midfield</x:v>
      </x:c>
      <x:c r="G482" s="51" t="str">
        <x:v>Starter</x:v>
      </x:c>
      <x:c r="H482" s="55" t="n">
        <x:v>1</x:v>
      </x:c>
      <x:c r="I482" s="51" t="str"/>
      <x:c r="J482" s="72" t="str"/>
      <x:c r="K482" s="72" t="str"/>
      <x:c r="L482" s="72" t="str"/>
      <x:c r="M482" s="72" t="str"/>
      <x:c r="N482" s="72" t="str"/>
      <x:c r="O482" s="72" t="str"/>
      <x:c r="P482" s="72" t="str">
        <x:v>Available</x:v>
      </x:c>
      <x:c r="Q482" s="72" t="n">
        <x:v>0</x:v>
      </x:c>
      <x:c r="R482" s="55" t="str">
        <x:f>IF($D482="","",ROUND(MAX(0,MIN(100,0.35*$J482+0.2*$K482+0.15*$L482+0.15*$M482+0.1*$N482+0.05*$O482-IF(OR($P482="Out",$P482="Suspended"),$Q482,IF($P482="Doubtful",$Q482*0.5,IF($P482="Limited",$Q482*0.25,0))))),2))</x:f>
      </x:c>
      <x:c r="S482" s="55" t="n">
        <x:f>IF($D482="",0,ROUND(IF(OR($P482="Out",$P482="Suspended"),$Q482*$H482,IF($P482="Doubtful",$Q482*$H482*0.5,IF($P482="Limited",$Q482*$H482*0.25,0))),2))</x:f>
        <x:v>0</x:v>
      </x:c>
      <x:c r="T482" s="55" t="str"/>
      <x:c r="U482" s="51" t="str"/>
    </x:row>
    <x:row r="483">
      <x:c r="A483" s="51" t="str">
        <x:v>Germany</x:v>
      </x:c>
      <x:c r="B483" s="51" t="str">
        <x:v>E</x:v>
      </x:c>
      <x:c r="C483" s="51" t="n">
        <x:v>11</x:v>
      </x:c>
      <x:c r="D483" s="71" t="str"/>
      <x:c r="E483" s="51" t="str">
        <x:v>DM</x:v>
      </x:c>
      <x:c r="F483" s="51" t="str">
        <x:v>Midfield</x:v>
      </x:c>
      <x:c r="G483" s="51" t="str">
        <x:v>Starter</x:v>
      </x:c>
      <x:c r="H483" s="55" t="n">
        <x:v>1</x:v>
      </x:c>
      <x:c r="I483" s="51" t="str"/>
      <x:c r="J483" s="72" t="str"/>
      <x:c r="K483" s="72" t="str"/>
      <x:c r="L483" s="72" t="str"/>
      <x:c r="M483" s="72" t="str"/>
      <x:c r="N483" s="72" t="str"/>
      <x:c r="O483" s="72" t="str"/>
      <x:c r="P483" s="72" t="str">
        <x:v>Available</x:v>
      </x:c>
      <x:c r="Q483" s="72" t="n">
        <x:v>0</x:v>
      </x:c>
      <x:c r="R483" s="55" t="str">
        <x:f>IF($D483="","",ROUND(MAX(0,MIN(100,0.35*$J483+0.2*$K483+0.15*$L483+0.15*$M483+0.1*$N483+0.05*$O483-IF(OR($P483="Out",$P483="Suspended"),$Q483,IF($P483="Doubtful",$Q483*0.5,IF($P483="Limited",$Q483*0.25,0))))),2))</x:f>
      </x:c>
      <x:c r="S483" s="55" t="n">
        <x:f>IF($D483="",0,ROUND(IF(OR($P483="Out",$P483="Suspended"),$Q483*$H483,IF($P483="Doubtful",$Q483*$H483*0.5,IF($P483="Limited",$Q483*$H483*0.25,0))),2))</x:f>
        <x:v>0</x:v>
      </x:c>
      <x:c r="T483" s="55" t="str"/>
      <x:c r="U483" s="51" t="str"/>
    </x:row>
    <x:row r="484">
      <x:c r="A484" s="51" t="str">
        <x:v>Germany</x:v>
      </x:c>
      <x:c r="B484" s="51" t="str">
        <x:v>E</x:v>
      </x:c>
      <x:c r="C484" s="51" t="n">
        <x:v>12</x:v>
      </x:c>
      <x:c r="D484" s="71" t="str"/>
      <x:c r="E484" s="51" t="str">
        <x:v>CM</x:v>
      </x:c>
      <x:c r="F484" s="51" t="str">
        <x:v>Midfield</x:v>
      </x:c>
      <x:c r="G484" s="51" t="str">
        <x:v>Rotation</x:v>
      </x:c>
      <x:c r="H484" s="55" t="n">
        <x:v>0.35</x:v>
      </x:c>
      <x:c r="I484" s="51" t="str"/>
      <x:c r="J484" s="72" t="str"/>
      <x:c r="K484" s="72" t="str"/>
      <x:c r="L484" s="72" t="str"/>
      <x:c r="M484" s="72" t="str"/>
      <x:c r="N484" s="72" t="str"/>
      <x:c r="O484" s="72" t="str"/>
      <x:c r="P484" s="72" t="str">
        <x:v>Available</x:v>
      </x:c>
      <x:c r="Q484" s="72" t="n">
        <x:v>0</x:v>
      </x:c>
      <x:c r="R484" s="55" t="str">
        <x:f>IF($D484="","",ROUND(MAX(0,MIN(100,0.35*$J484+0.2*$K484+0.15*$L484+0.15*$M484+0.1*$N484+0.05*$O484-IF(OR($P484="Out",$P484="Suspended"),$Q484,IF($P484="Doubtful",$Q484*0.5,IF($P484="Limited",$Q484*0.25,0))))),2))</x:f>
      </x:c>
      <x:c r="S484" s="55" t="n">
        <x:f>IF($D484="",0,ROUND(IF(OR($P484="Out",$P484="Suspended"),$Q484*$H484,IF($P484="Doubtful",$Q484*$H484*0.5,IF($P484="Limited",$Q484*$H484*0.25,0))),2))</x:f>
        <x:v>0</x:v>
      </x:c>
      <x:c r="T484" s="55" t="str"/>
      <x:c r="U484" s="51" t="str"/>
    </x:row>
    <x:row r="485">
      <x:c r="A485" s="51" t="str">
        <x:v>Germany</x:v>
      </x:c>
      <x:c r="B485" s="51" t="str">
        <x:v>E</x:v>
      </x:c>
      <x:c r="C485" s="51" t="n">
        <x:v>13</x:v>
      </x:c>
      <x:c r="D485" s="71" t="str"/>
      <x:c r="E485" s="51" t="str">
        <x:v>CM</x:v>
      </x:c>
      <x:c r="F485" s="51" t="str">
        <x:v>Midfield</x:v>
      </x:c>
      <x:c r="G485" s="51" t="str">
        <x:v>Rotation</x:v>
      </x:c>
      <x:c r="H485" s="55" t="n">
        <x:v>0.35</x:v>
      </x:c>
      <x:c r="I485" s="51" t="str"/>
      <x:c r="J485" s="72" t="str"/>
      <x:c r="K485" s="72" t="str"/>
      <x:c r="L485" s="72" t="str"/>
      <x:c r="M485" s="72" t="str"/>
      <x:c r="N485" s="72" t="str"/>
      <x:c r="O485" s="72" t="str"/>
      <x:c r="P485" s="72" t="str">
        <x:v>Available</x:v>
      </x:c>
      <x:c r="Q485" s="72" t="n">
        <x:v>0</x:v>
      </x:c>
      <x:c r="R485" s="55" t="str">
        <x:f>IF($D485="","",ROUND(MAX(0,MIN(100,0.35*$J485+0.2*$K485+0.15*$L485+0.15*$M485+0.1*$N485+0.05*$O485-IF(OR($P485="Out",$P485="Suspended"),$Q485,IF($P485="Doubtful",$Q485*0.5,IF($P485="Limited",$Q485*0.25,0))))),2))</x:f>
      </x:c>
      <x:c r="S485" s="55" t="n">
        <x:f>IF($D485="",0,ROUND(IF(OR($P485="Out",$P485="Suspended"),$Q485*$H485,IF($P485="Doubtful",$Q485*$H485*0.5,IF($P485="Limited",$Q485*$H485*0.25,0))),2))</x:f>
        <x:v>0</x:v>
      </x:c>
      <x:c r="T485" s="55" t="str"/>
      <x:c r="U485" s="51" t="str"/>
    </x:row>
    <x:row r="486">
      <x:c r="A486" s="51" t="str">
        <x:v>Germany</x:v>
      </x:c>
      <x:c r="B486" s="51" t="str">
        <x:v>E</x:v>
      </x:c>
      <x:c r="C486" s="51" t="n">
        <x:v>14</x:v>
      </x:c>
      <x:c r="D486" s="71" t="str"/>
      <x:c r="E486" s="51" t="str">
        <x:v>CM</x:v>
      </x:c>
      <x:c r="F486" s="51" t="str">
        <x:v>Midfield</x:v>
      </x:c>
      <x:c r="G486" s="51" t="str">
        <x:v>Rotation</x:v>
      </x:c>
      <x:c r="H486" s="55" t="n">
        <x:v>0.35</x:v>
      </x:c>
      <x:c r="I486" s="51" t="str"/>
      <x:c r="J486" s="72" t="str"/>
      <x:c r="K486" s="72" t="str"/>
      <x:c r="L486" s="72" t="str"/>
      <x:c r="M486" s="72" t="str"/>
      <x:c r="N486" s="72" t="str"/>
      <x:c r="O486" s="72" t="str"/>
      <x:c r="P486" s="72" t="str">
        <x:v>Available</x:v>
      </x:c>
      <x:c r="Q486" s="72" t="n">
        <x:v>0</x:v>
      </x:c>
      <x:c r="R486" s="55" t="str">
        <x:f>IF($D486="","",ROUND(MAX(0,MIN(100,0.35*$J486+0.2*$K486+0.15*$L486+0.15*$M486+0.1*$N486+0.05*$O486-IF(OR($P486="Out",$P486="Suspended"),$Q486,IF($P486="Doubtful",$Q486*0.5,IF($P486="Limited",$Q486*0.25,0))))),2))</x:f>
      </x:c>
      <x:c r="S486" s="55" t="n">
        <x:f>IF($D486="",0,ROUND(IF(OR($P486="Out",$P486="Suspended"),$Q486*$H486,IF($P486="Doubtful",$Q486*$H486*0.5,IF($P486="Limited",$Q486*$H486*0.25,0))),2))</x:f>
        <x:v>0</x:v>
      </x:c>
      <x:c r="T486" s="55" t="str"/>
      <x:c r="U486" s="51" t="str"/>
    </x:row>
    <x:row r="487">
      <x:c r="A487" s="51" t="str">
        <x:v>Germany</x:v>
      </x:c>
      <x:c r="B487" s="51" t="str">
        <x:v>E</x:v>
      </x:c>
      <x:c r="C487" s="51" t="n">
        <x:v>15</x:v>
      </x:c>
      <x:c r="D487" s="71" t="str"/>
      <x:c r="E487" s="51" t="str">
        <x:v>CM</x:v>
      </x:c>
      <x:c r="F487" s="51" t="str">
        <x:v>Midfield</x:v>
      </x:c>
      <x:c r="G487" s="51" t="str">
        <x:v>Rotation</x:v>
      </x:c>
      <x:c r="H487" s="55" t="n">
        <x:v>0.35</x:v>
      </x:c>
      <x:c r="I487" s="51" t="str"/>
      <x:c r="J487" s="72" t="str"/>
      <x:c r="K487" s="72" t="str"/>
      <x:c r="L487" s="72" t="str"/>
      <x:c r="M487" s="72" t="str"/>
      <x:c r="N487" s="72" t="str"/>
      <x:c r="O487" s="72" t="str"/>
      <x:c r="P487" s="72" t="str">
        <x:v>Available</x:v>
      </x:c>
      <x:c r="Q487" s="72" t="n">
        <x:v>0</x:v>
      </x:c>
      <x:c r="R487" s="55" t="str">
        <x:f>IF($D487="","",ROUND(MAX(0,MIN(100,0.35*$J487+0.2*$K487+0.15*$L487+0.15*$M487+0.1*$N487+0.05*$O487-IF(OR($P487="Out",$P487="Suspended"),$Q487,IF($P487="Doubtful",$Q487*0.5,IF($P487="Limited",$Q487*0.25,0))))),2))</x:f>
      </x:c>
      <x:c r="S487" s="55" t="n">
        <x:f>IF($D487="",0,ROUND(IF(OR($P487="Out",$P487="Suspended"),$Q487*$H487,IF($P487="Doubtful",$Q487*$H487*0.5,IF($P487="Limited",$Q487*$H487*0.25,0))),2))</x:f>
        <x:v>0</x:v>
      </x:c>
      <x:c r="T487" s="55" t="str"/>
      <x:c r="U487" s="51" t="str"/>
    </x:row>
    <x:row r="488">
      <x:c r="A488" s="51" t="str">
        <x:v>Germany</x:v>
      </x:c>
      <x:c r="B488" s="51" t="str">
        <x:v>E</x:v>
      </x:c>
      <x:c r="C488" s="51" t="n">
        <x:v>16</x:v>
      </x:c>
      <x:c r="D488" s="71" t="str"/>
      <x:c r="E488" s="51" t="str">
        <x:v>AM</x:v>
      </x:c>
      <x:c r="F488" s="51" t="str">
        <x:v>Attack</x:v>
      </x:c>
      <x:c r="G488" s="51" t="str">
        <x:v>Rotation</x:v>
      </x:c>
      <x:c r="H488" s="55" t="n">
        <x:v>0.35</x:v>
      </x:c>
      <x:c r="I488" s="51" t="str"/>
      <x:c r="J488" s="72" t="str"/>
      <x:c r="K488" s="72" t="str"/>
      <x:c r="L488" s="72" t="str"/>
      <x:c r="M488" s="72" t="str"/>
      <x:c r="N488" s="72" t="str"/>
      <x:c r="O488" s="72" t="str"/>
      <x:c r="P488" s="72" t="str">
        <x:v>Available</x:v>
      </x:c>
      <x:c r="Q488" s="72" t="n">
        <x:v>0</x:v>
      </x:c>
      <x:c r="R488" s="55" t="str">
        <x:f>IF($D488="","",ROUND(MAX(0,MIN(100,0.35*$J488+0.2*$K488+0.15*$L488+0.15*$M488+0.1*$N488+0.05*$O488-IF(OR($P488="Out",$P488="Suspended"),$Q488,IF($P488="Doubtful",$Q488*0.5,IF($P488="Limited",$Q488*0.25,0))))),2))</x:f>
      </x:c>
      <x:c r="S488" s="55" t="n">
        <x:f>IF($D488="",0,ROUND(IF(OR($P488="Out",$P488="Suspended"),$Q488*$H488,IF($P488="Doubtful",$Q488*$H488*0.5,IF($P488="Limited",$Q488*$H488*0.25,0))),2))</x:f>
        <x:v>0</x:v>
      </x:c>
      <x:c r="T488" s="55" t="str"/>
      <x:c r="U488" s="51" t="str"/>
    </x:row>
    <x:row r="489">
      <x:c r="A489" s="51" t="str">
        <x:v>Germany</x:v>
      </x:c>
      <x:c r="B489" s="51" t="str">
        <x:v>E</x:v>
      </x:c>
      <x:c r="C489" s="51" t="n">
        <x:v>17</x:v>
      </x:c>
      <x:c r="D489" s="71" t="str"/>
      <x:c r="E489" s="51" t="str">
        <x:v>AM</x:v>
      </x:c>
      <x:c r="F489" s="51" t="str">
        <x:v>Attack</x:v>
      </x:c>
      <x:c r="G489" s="51" t="str">
        <x:v>Rotation</x:v>
      </x:c>
      <x:c r="H489" s="55" t="n">
        <x:v>0.35</x:v>
      </x:c>
      <x:c r="I489" s="51" t="str"/>
      <x:c r="J489" s="72" t="str"/>
      <x:c r="K489" s="72" t="str"/>
      <x:c r="L489" s="72" t="str"/>
      <x:c r="M489" s="72" t="str"/>
      <x:c r="N489" s="72" t="str"/>
      <x:c r="O489" s="72" t="str"/>
      <x:c r="P489" s="72" t="str">
        <x:v>Available</x:v>
      </x:c>
      <x:c r="Q489" s="72" t="n">
        <x:v>0</x:v>
      </x:c>
      <x:c r="R489" s="55" t="str">
        <x:f>IF($D489="","",ROUND(MAX(0,MIN(100,0.35*$J489+0.2*$K489+0.15*$L489+0.15*$M489+0.1*$N489+0.05*$O489-IF(OR($P489="Out",$P489="Suspended"),$Q489,IF($P489="Doubtful",$Q489*0.5,IF($P489="Limited",$Q489*0.25,0))))),2))</x:f>
      </x:c>
      <x:c r="S489" s="55" t="n">
        <x:f>IF($D489="",0,ROUND(IF(OR($P489="Out",$P489="Suspended"),$Q489*$H489,IF($P489="Doubtful",$Q489*$H489*0.5,IF($P489="Limited",$Q489*$H489*0.25,0))),2))</x:f>
        <x:v>0</x:v>
      </x:c>
      <x:c r="T489" s="55" t="str"/>
      <x:c r="U489" s="51" t="str"/>
    </x:row>
    <x:row r="490">
      <x:c r="A490" s="51" t="str">
        <x:v>Germany</x:v>
      </x:c>
      <x:c r="B490" s="51" t="str">
        <x:v>E</x:v>
      </x:c>
      <x:c r="C490" s="51" t="n">
        <x:v>18</x:v>
      </x:c>
      <x:c r="D490" s="71" t="str"/>
      <x:c r="E490" s="51" t="str">
        <x:v>AM</x:v>
      </x:c>
      <x:c r="F490" s="51" t="str">
        <x:v>Attack</x:v>
      </x:c>
      <x:c r="G490" s="51" t="str">
        <x:v>Rotation</x:v>
      </x:c>
      <x:c r="H490" s="55" t="n">
        <x:v>0.35</x:v>
      </x:c>
      <x:c r="I490" s="51" t="str"/>
      <x:c r="J490" s="72" t="str"/>
      <x:c r="K490" s="72" t="str"/>
      <x:c r="L490" s="72" t="str"/>
      <x:c r="M490" s="72" t="str"/>
      <x:c r="N490" s="72" t="str"/>
      <x:c r="O490" s="72" t="str"/>
      <x:c r="P490" s="72" t="str">
        <x:v>Available</x:v>
      </x:c>
      <x:c r="Q490" s="72" t="n">
        <x:v>0</x:v>
      </x:c>
      <x:c r="R490" s="55" t="str">
        <x:f>IF($D490="","",ROUND(MAX(0,MIN(100,0.35*$J490+0.2*$K490+0.15*$L490+0.15*$M490+0.1*$N490+0.05*$O490-IF(OR($P490="Out",$P490="Suspended"),$Q490,IF($P490="Doubtful",$Q490*0.5,IF($P490="Limited",$Q490*0.25,0))))),2))</x:f>
      </x:c>
      <x:c r="S490" s="55" t="n">
        <x:f>IF($D490="",0,ROUND(IF(OR($P490="Out",$P490="Suspended"),$Q490*$H490,IF($P490="Doubtful",$Q490*$H490*0.5,IF($P490="Limited",$Q490*$H490*0.25,0))),2))</x:f>
        <x:v>0</x:v>
      </x:c>
      <x:c r="T490" s="55" t="str"/>
      <x:c r="U490" s="51" t="str"/>
    </x:row>
    <x:row r="491">
      <x:c r="A491" s="51" t="str">
        <x:v>Germany</x:v>
      </x:c>
      <x:c r="B491" s="51" t="str">
        <x:v>E</x:v>
      </x:c>
      <x:c r="C491" s="51" t="n">
        <x:v>19</x:v>
      </x:c>
      <x:c r="D491" s="71" t="str"/>
      <x:c r="E491" s="51" t="str">
        <x:v>AM</x:v>
      </x:c>
      <x:c r="F491" s="51" t="str">
        <x:v>Attack</x:v>
      </x:c>
      <x:c r="G491" s="51" t="str">
        <x:v>Rotation</x:v>
      </x:c>
      <x:c r="H491" s="55" t="n">
        <x:v>0.35</x:v>
      </x:c>
      <x:c r="I491" s="51" t="str"/>
      <x:c r="J491" s="72" t="str"/>
      <x:c r="K491" s="72" t="str"/>
      <x:c r="L491" s="72" t="str"/>
      <x:c r="M491" s="72" t="str"/>
      <x:c r="N491" s="72" t="str"/>
      <x:c r="O491" s="72" t="str"/>
      <x:c r="P491" s="72" t="str">
        <x:v>Available</x:v>
      </x:c>
      <x:c r="Q491" s="72" t="n">
        <x:v>0</x:v>
      </x:c>
      <x:c r="R491" s="55" t="str">
        <x:f>IF($D491="","",ROUND(MAX(0,MIN(100,0.35*$J491+0.2*$K491+0.15*$L491+0.15*$M491+0.1*$N491+0.05*$O491-IF(OR($P491="Out",$P491="Suspended"),$Q491,IF($P491="Doubtful",$Q491*0.5,IF($P491="Limited",$Q491*0.25,0))))),2))</x:f>
      </x:c>
      <x:c r="S491" s="55" t="n">
        <x:f>IF($D491="",0,ROUND(IF(OR($P491="Out",$P491="Suspended"),$Q491*$H491,IF($P491="Doubtful",$Q491*$H491*0.5,IF($P491="Limited",$Q491*$H491*0.25,0))),2))</x:f>
        <x:v>0</x:v>
      </x:c>
      <x:c r="T491" s="55" t="str"/>
      <x:c r="U491" s="51" t="str"/>
    </x:row>
    <x:row r="492">
      <x:c r="A492" s="51" t="str">
        <x:v>Germany</x:v>
      </x:c>
      <x:c r="B492" s="51" t="str">
        <x:v>E</x:v>
      </x:c>
      <x:c r="C492" s="51" t="n">
        <x:v>20</x:v>
      </x:c>
      <x:c r="D492" s="71" t="str"/>
      <x:c r="E492" s="51" t="str">
        <x:v>Winger</x:v>
      </x:c>
      <x:c r="F492" s="51" t="str">
        <x:v>Attack</x:v>
      </x:c>
      <x:c r="G492" s="51" t="str">
        <x:v>Rotation</x:v>
      </x:c>
      <x:c r="H492" s="55" t="n">
        <x:v>0.35</x:v>
      </x:c>
      <x:c r="I492" s="51" t="str"/>
      <x:c r="J492" s="72" t="str"/>
      <x:c r="K492" s="72" t="str"/>
      <x:c r="L492" s="72" t="str"/>
      <x:c r="M492" s="72" t="str"/>
      <x:c r="N492" s="72" t="str"/>
      <x:c r="O492" s="72" t="str"/>
      <x:c r="P492" s="72" t="str">
        <x:v>Available</x:v>
      </x:c>
      <x:c r="Q492" s="72" t="n">
        <x:v>0</x:v>
      </x:c>
      <x:c r="R492" s="55" t="str">
        <x:f>IF($D492="","",ROUND(MAX(0,MIN(100,0.35*$J492+0.2*$K492+0.15*$L492+0.15*$M492+0.1*$N492+0.05*$O492-IF(OR($P492="Out",$P492="Suspended"),$Q492,IF($P492="Doubtful",$Q492*0.5,IF($P492="Limited",$Q492*0.25,0))))),2))</x:f>
      </x:c>
      <x:c r="S492" s="55" t="n">
        <x:f>IF($D492="",0,ROUND(IF(OR($P492="Out",$P492="Suspended"),$Q492*$H492,IF($P492="Doubtful",$Q492*$H492*0.5,IF($P492="Limited",$Q492*$H492*0.25,0))),2))</x:f>
        <x:v>0</x:v>
      </x:c>
      <x:c r="T492" s="55" t="str"/>
      <x:c r="U492" s="51" t="str"/>
    </x:row>
    <x:row r="493">
      <x:c r="A493" s="51" t="str">
        <x:v>Germany</x:v>
      </x:c>
      <x:c r="B493" s="51" t="str">
        <x:v>E</x:v>
      </x:c>
      <x:c r="C493" s="51" t="n">
        <x:v>21</x:v>
      </x:c>
      <x:c r="D493" s="71" t="str"/>
      <x:c r="E493" s="51" t="str">
        <x:v>Winger</x:v>
      </x:c>
      <x:c r="F493" s="51" t="str">
        <x:v>Attack</x:v>
      </x:c>
      <x:c r="G493" s="51" t="str">
        <x:v>Depth</x:v>
      </x:c>
      <x:c r="H493" s="55" t="n">
        <x:v>0.1</x:v>
      </x:c>
      <x:c r="I493" s="51" t="str"/>
      <x:c r="J493" s="72" t="str"/>
      <x:c r="K493" s="72" t="str"/>
      <x:c r="L493" s="72" t="str"/>
      <x:c r="M493" s="72" t="str"/>
      <x:c r="N493" s="72" t="str"/>
      <x:c r="O493" s="72" t="str"/>
      <x:c r="P493" s="72" t="str">
        <x:v>Available</x:v>
      </x:c>
      <x:c r="Q493" s="72" t="n">
        <x:v>0</x:v>
      </x:c>
      <x:c r="R493" s="55" t="str">
        <x:f>IF($D493="","",ROUND(MAX(0,MIN(100,0.35*$J493+0.2*$K493+0.15*$L493+0.15*$M493+0.1*$N493+0.05*$O493-IF(OR($P493="Out",$P493="Suspended"),$Q493,IF($P493="Doubtful",$Q493*0.5,IF($P493="Limited",$Q493*0.25,0))))),2))</x:f>
      </x:c>
      <x:c r="S493" s="55" t="n">
        <x:f>IF($D493="",0,ROUND(IF(OR($P493="Out",$P493="Suspended"),$Q493*$H493,IF($P493="Doubtful",$Q493*$H493*0.5,IF($P493="Limited",$Q493*$H493*0.25,0))),2))</x:f>
        <x:v>0</x:v>
      </x:c>
      <x:c r="T493" s="55" t="str"/>
      <x:c r="U493" s="51" t="str"/>
    </x:row>
    <x:row r="494">
      <x:c r="A494" s="51" t="str">
        <x:v>Germany</x:v>
      </x:c>
      <x:c r="B494" s="51" t="str">
        <x:v>E</x:v>
      </x:c>
      <x:c r="C494" s="51" t="n">
        <x:v>22</x:v>
      </x:c>
      <x:c r="D494" s="71" t="str"/>
      <x:c r="E494" s="51" t="str">
        <x:v>Winger</x:v>
      </x:c>
      <x:c r="F494" s="51" t="str">
        <x:v>Attack</x:v>
      </x:c>
      <x:c r="G494" s="51" t="str">
        <x:v>Depth</x:v>
      </x:c>
      <x:c r="H494" s="55" t="n">
        <x:v>0.1</x:v>
      </x:c>
      <x:c r="I494" s="51" t="str"/>
      <x:c r="J494" s="72" t="str"/>
      <x:c r="K494" s="72" t="str"/>
      <x:c r="L494" s="72" t="str"/>
      <x:c r="M494" s="72" t="str"/>
      <x:c r="N494" s="72" t="str"/>
      <x:c r="O494" s="72" t="str"/>
      <x:c r="P494" s="72" t="str">
        <x:v>Available</x:v>
      </x:c>
      <x:c r="Q494" s="72" t="n">
        <x:v>0</x:v>
      </x:c>
      <x:c r="R494" s="55" t="str">
        <x:f>IF($D494="","",ROUND(MAX(0,MIN(100,0.35*$J494+0.2*$K494+0.15*$L494+0.15*$M494+0.1*$N494+0.05*$O494-IF(OR($P494="Out",$P494="Suspended"),$Q494,IF($P494="Doubtful",$Q494*0.5,IF($P494="Limited",$Q494*0.25,0))))),2))</x:f>
      </x:c>
      <x:c r="S494" s="55" t="n">
        <x:f>IF($D494="",0,ROUND(IF(OR($P494="Out",$P494="Suspended"),$Q494*$H494,IF($P494="Doubtful",$Q494*$H494*0.5,IF($P494="Limited",$Q494*$H494*0.25,0))),2))</x:f>
        <x:v>0</x:v>
      </x:c>
      <x:c r="T494" s="55" t="str"/>
      <x:c r="U494" s="51" t="str"/>
    </x:row>
    <x:row r="495">
      <x:c r="A495" s="51" t="str">
        <x:v>Germany</x:v>
      </x:c>
      <x:c r="B495" s="51" t="str">
        <x:v>E</x:v>
      </x:c>
      <x:c r="C495" s="51" t="n">
        <x:v>23</x:v>
      </x:c>
      <x:c r="D495" s="71" t="str"/>
      <x:c r="E495" s="51" t="str">
        <x:v>Winger</x:v>
      </x:c>
      <x:c r="F495" s="51" t="str">
        <x:v>Attack</x:v>
      </x:c>
      <x:c r="G495" s="51" t="str">
        <x:v>Depth</x:v>
      </x:c>
      <x:c r="H495" s="55" t="n">
        <x:v>0.1</x:v>
      </x:c>
      <x:c r="I495" s="51" t="str"/>
      <x:c r="J495" s="72" t="str"/>
      <x:c r="K495" s="72" t="str"/>
      <x:c r="L495" s="72" t="str"/>
      <x:c r="M495" s="72" t="str"/>
      <x:c r="N495" s="72" t="str"/>
      <x:c r="O495" s="72" t="str"/>
      <x:c r="P495" s="72" t="str">
        <x:v>Available</x:v>
      </x:c>
      <x:c r="Q495" s="72" t="n">
        <x:v>0</x:v>
      </x:c>
      <x:c r="R495" s="55" t="str">
        <x:f>IF($D495="","",ROUND(MAX(0,MIN(100,0.35*$J495+0.2*$K495+0.15*$L495+0.15*$M495+0.1*$N495+0.05*$O495-IF(OR($P495="Out",$P495="Suspended"),$Q495,IF($P495="Doubtful",$Q495*0.5,IF($P495="Limited",$Q495*0.25,0))))),2))</x:f>
      </x:c>
      <x:c r="S495" s="55" t="n">
        <x:f>IF($D495="",0,ROUND(IF(OR($P495="Out",$P495="Suspended"),$Q495*$H495,IF($P495="Doubtful",$Q495*$H495*0.5,IF($P495="Limited",$Q495*$H495*0.25,0))),2))</x:f>
        <x:v>0</x:v>
      </x:c>
      <x:c r="T495" s="55" t="str"/>
      <x:c r="U495" s="51" t="str"/>
    </x:row>
    <x:row r="496">
      <x:c r="A496" s="51" t="str">
        <x:v>Germany</x:v>
      </x:c>
      <x:c r="B496" s="51" t="str">
        <x:v>E</x:v>
      </x:c>
      <x:c r="C496" s="51" t="n">
        <x:v>24</x:v>
      </x:c>
      <x:c r="D496" s="71" t="str"/>
      <x:c r="E496" s="51" t="str">
        <x:v>ST</x:v>
      </x:c>
      <x:c r="F496" s="51" t="str">
        <x:v>Attack</x:v>
      </x:c>
      <x:c r="G496" s="51" t="str">
        <x:v>Depth</x:v>
      </x:c>
      <x:c r="H496" s="55" t="n">
        <x:v>0.1</x:v>
      </x:c>
      <x:c r="I496" s="51" t="str"/>
      <x:c r="J496" s="72" t="str"/>
      <x:c r="K496" s="72" t="str"/>
      <x:c r="L496" s="72" t="str"/>
      <x:c r="M496" s="72" t="str"/>
      <x:c r="N496" s="72" t="str"/>
      <x:c r="O496" s="72" t="str"/>
      <x:c r="P496" s="72" t="str">
        <x:v>Available</x:v>
      </x:c>
      <x:c r="Q496" s="72" t="n">
        <x:v>0</x:v>
      </x:c>
      <x:c r="R496" s="55" t="str">
        <x:f>IF($D496="","",ROUND(MAX(0,MIN(100,0.35*$J496+0.2*$K496+0.15*$L496+0.15*$M496+0.1*$N496+0.05*$O496-IF(OR($P496="Out",$P496="Suspended"),$Q496,IF($P496="Doubtful",$Q496*0.5,IF($P496="Limited",$Q496*0.25,0))))),2))</x:f>
      </x:c>
      <x:c r="S496" s="55" t="n">
        <x:f>IF($D496="",0,ROUND(IF(OR($P496="Out",$P496="Suspended"),$Q496*$H496,IF($P496="Doubtful",$Q496*$H496*0.5,IF($P496="Limited",$Q496*$H496*0.25,0))),2))</x:f>
        <x:v>0</x:v>
      </x:c>
      <x:c r="T496" s="55" t="str"/>
      <x:c r="U496" s="51" t="str"/>
    </x:row>
    <x:row r="497">
      <x:c r="A497" s="51" t="str">
        <x:v>Germany</x:v>
      </x:c>
      <x:c r="B497" s="51" t="str">
        <x:v>E</x:v>
      </x:c>
      <x:c r="C497" s="51" t="n">
        <x:v>25</x:v>
      </x:c>
      <x:c r="D497" s="71" t="str"/>
      <x:c r="E497" s="51" t="str">
        <x:v>ST</x:v>
      </x:c>
      <x:c r="F497" s="51" t="str">
        <x:v>Attack</x:v>
      </x:c>
      <x:c r="G497" s="51" t="str">
        <x:v>Depth</x:v>
      </x:c>
      <x:c r="H497" s="55" t="n">
        <x:v>0.1</x:v>
      </x:c>
      <x:c r="I497" s="51" t="str"/>
      <x:c r="J497" s="72" t="str"/>
      <x:c r="K497" s="72" t="str"/>
      <x:c r="L497" s="72" t="str"/>
      <x:c r="M497" s="72" t="str"/>
      <x:c r="N497" s="72" t="str"/>
      <x:c r="O497" s="72" t="str"/>
      <x:c r="P497" s="72" t="str">
        <x:v>Available</x:v>
      </x:c>
      <x:c r="Q497" s="72" t="n">
        <x:v>0</x:v>
      </x:c>
      <x:c r="R497" s="55" t="str">
        <x:f>IF($D497="","",ROUND(MAX(0,MIN(100,0.35*$J497+0.2*$K497+0.15*$L497+0.15*$M497+0.1*$N497+0.05*$O497-IF(OR($P497="Out",$P497="Suspended"),$Q497,IF($P497="Doubtful",$Q497*0.5,IF($P497="Limited",$Q497*0.25,0))))),2))</x:f>
      </x:c>
      <x:c r="S497" s="55" t="n">
        <x:f>IF($D497="",0,ROUND(IF(OR($P497="Out",$P497="Suspended"),$Q497*$H497,IF($P497="Doubtful",$Q497*$H497*0.5,IF($P497="Limited",$Q497*$H497*0.25,0))),2))</x:f>
        <x:v>0</x:v>
      </x:c>
      <x:c r="T497" s="55" t="str"/>
      <x:c r="U497" s="51" t="str"/>
    </x:row>
    <x:row r="498">
      <x:c r="A498" s="51" t="str">
        <x:v>Germany</x:v>
      </x:c>
      <x:c r="B498" s="51" t="str">
        <x:v>E</x:v>
      </x:c>
      <x:c r="C498" s="51" t="n">
        <x:v>26</x:v>
      </x:c>
      <x:c r="D498" s="71" t="str"/>
      <x:c r="E498" s="51" t="str">
        <x:v>ST</x:v>
      </x:c>
      <x:c r="F498" s="51" t="str">
        <x:v>Attack</x:v>
      </x:c>
      <x:c r="G498" s="51" t="str">
        <x:v>Depth</x:v>
      </x:c>
      <x:c r="H498" s="55" t="n">
        <x:v>0.1</x:v>
      </x:c>
      <x:c r="I498" s="51" t="str"/>
      <x:c r="J498" s="72" t="str"/>
      <x:c r="K498" s="72" t="str"/>
      <x:c r="L498" s="72" t="str"/>
      <x:c r="M498" s="72" t="str"/>
      <x:c r="N498" s="72" t="str"/>
      <x:c r="O498" s="72" t="str"/>
      <x:c r="P498" s="72" t="str">
        <x:v>Available</x:v>
      </x:c>
      <x:c r="Q498" s="72" t="n">
        <x:v>0</x:v>
      </x:c>
      <x:c r="R498" s="55" t="str">
        <x:f>IF($D498="","",ROUND(MAX(0,MIN(100,0.35*$J498+0.2*$K498+0.15*$L498+0.15*$M498+0.1*$N498+0.05*$O498-IF(OR($P498="Out",$P498="Suspended"),$Q498,IF($P498="Doubtful",$Q498*0.5,IF($P498="Limited",$Q498*0.25,0))))),2))</x:f>
      </x:c>
      <x:c r="S498" s="55" t="n">
        <x:f>IF($D498="",0,ROUND(IF(OR($P498="Out",$P498="Suspended"),$Q498*$H498,IF($P498="Doubtful",$Q498*$H498*0.5,IF($P498="Limited",$Q498*$H498*0.25,0))),2))</x:f>
        <x:v>0</x:v>
      </x:c>
      <x:c r="T498" s="55" t="str"/>
      <x:c r="U498" s="51" t="str"/>
    </x:row>
    <x:row r="499">
      <x:c r="A499" s="51" t="str">
        <x:v>Ivory Coast</x:v>
      </x:c>
      <x:c r="B499" s="51" t="str">
        <x:v>E</x:v>
      </x:c>
      <x:c r="C499" s="51" t="n">
        <x:v>1</x:v>
      </x:c>
      <x:c r="D499" s="71" t="str"/>
      <x:c r="E499" s="51" t="str">
        <x:v>GK</x:v>
      </x:c>
      <x:c r="F499" s="51" t="str">
        <x:v>GK</x:v>
      </x:c>
      <x:c r="G499" s="51" t="str">
        <x:v>Starter</x:v>
      </x:c>
      <x:c r="H499" s="55" t="n">
        <x:v>1</x:v>
      </x:c>
      <x:c r="I499" s="51" t="str"/>
      <x:c r="J499" s="72" t="str"/>
      <x:c r="K499" s="72" t="str"/>
      <x:c r="L499" s="72" t="str"/>
      <x:c r="M499" s="72" t="str"/>
      <x:c r="N499" s="72" t="str"/>
      <x:c r="O499" s="72" t="str"/>
      <x:c r="P499" s="72" t="str">
        <x:v>Available</x:v>
      </x:c>
      <x:c r="Q499" s="72" t="n">
        <x:v>0</x:v>
      </x:c>
      <x:c r="R499" s="55" t="str">
        <x:f>IF($D499="","",ROUND(MAX(0,MIN(100,0.35*$J499+0.2*$K499+0.15*$L499+0.15*$M499+0.1*$N499+0.05*$O499-IF(OR($P499="Out",$P499="Suspended"),$Q499,IF($P499="Doubtful",$Q499*0.5,IF($P499="Limited",$Q499*0.25,0))))),2))</x:f>
      </x:c>
      <x:c r="S499" s="55" t="n">
        <x:f>IF($D499="",0,ROUND(IF(OR($P499="Out",$P499="Suspended"),$Q499*$H499,IF($P499="Doubtful",$Q499*$H499*0.5,IF($P499="Limited",$Q499*$H499*0.25,0))),2))</x:f>
        <x:v>0</x:v>
      </x:c>
      <x:c r="T499" s="55" t="str"/>
      <x:c r="U499" s="51" t="str"/>
    </x:row>
    <x:row r="500">
      <x:c r="A500" s="51" t="str">
        <x:v>Ivory Coast</x:v>
      </x:c>
      <x:c r="B500" s="51" t="str">
        <x:v>E</x:v>
      </x:c>
      <x:c r="C500" s="51" t="n">
        <x:v>2</x:v>
      </x:c>
      <x:c r="D500" s="71" t="str"/>
      <x:c r="E500" s="51" t="str">
        <x:v>GK</x:v>
      </x:c>
      <x:c r="F500" s="51" t="str">
        <x:v>GK</x:v>
      </x:c>
      <x:c r="G500" s="51" t="str">
        <x:v>Starter</x:v>
      </x:c>
      <x:c r="H500" s="55" t="n">
        <x:v>1</x:v>
      </x:c>
      <x:c r="I500" s="51" t="str"/>
      <x:c r="J500" s="72" t="str"/>
      <x:c r="K500" s="72" t="str"/>
      <x:c r="L500" s="72" t="str"/>
      <x:c r="M500" s="72" t="str"/>
      <x:c r="N500" s="72" t="str"/>
      <x:c r="O500" s="72" t="str"/>
      <x:c r="P500" s="72" t="str">
        <x:v>Available</x:v>
      </x:c>
      <x:c r="Q500" s="72" t="n">
        <x:v>0</x:v>
      </x:c>
      <x:c r="R500" s="55" t="str">
        <x:f>IF($D500="","",ROUND(MAX(0,MIN(100,0.35*$J500+0.2*$K500+0.15*$L500+0.15*$M500+0.1*$N500+0.05*$O500-IF(OR($P500="Out",$P500="Suspended"),$Q500,IF($P500="Doubtful",$Q500*0.5,IF($P500="Limited",$Q500*0.25,0))))),2))</x:f>
      </x:c>
      <x:c r="S500" s="55" t="n">
        <x:f>IF($D500="",0,ROUND(IF(OR($P500="Out",$P500="Suspended"),$Q500*$H500,IF($P500="Doubtful",$Q500*$H500*0.5,IF($P500="Limited",$Q500*$H500*0.25,0))),2))</x:f>
        <x:v>0</x:v>
      </x:c>
      <x:c r="T500" s="55" t="str"/>
      <x:c r="U500" s="51" t="str"/>
    </x:row>
    <x:row r="501">
      <x:c r="A501" s="51" t="str">
        <x:v>Ivory Coast</x:v>
      </x:c>
      <x:c r="B501" s="51" t="str">
        <x:v>E</x:v>
      </x:c>
      <x:c r="C501" s="51" t="n">
        <x:v>3</x:v>
      </x:c>
      <x:c r="D501" s="71" t="str"/>
      <x:c r="E501" s="51" t="str">
        <x:v>GK</x:v>
      </x:c>
      <x:c r="F501" s="51" t="str">
        <x:v>GK</x:v>
      </x:c>
      <x:c r="G501" s="51" t="str">
        <x:v>Starter</x:v>
      </x:c>
      <x:c r="H501" s="55" t="n">
        <x:v>1</x:v>
      </x:c>
      <x:c r="I501" s="51" t="str"/>
      <x:c r="J501" s="72" t="str"/>
      <x:c r="K501" s="72" t="str"/>
      <x:c r="L501" s="72" t="str"/>
      <x:c r="M501" s="72" t="str"/>
      <x:c r="N501" s="72" t="str"/>
      <x:c r="O501" s="72" t="str"/>
      <x:c r="P501" s="72" t="str">
        <x:v>Available</x:v>
      </x:c>
      <x:c r="Q501" s="72" t="n">
        <x:v>0</x:v>
      </x:c>
      <x:c r="R501" s="55" t="str">
        <x:f>IF($D501="","",ROUND(MAX(0,MIN(100,0.35*$J501+0.2*$K501+0.15*$L501+0.15*$M501+0.1*$N501+0.05*$O501-IF(OR($P501="Out",$P501="Suspended"),$Q501,IF($P501="Doubtful",$Q501*0.5,IF($P501="Limited",$Q501*0.25,0))))),2))</x:f>
      </x:c>
      <x:c r="S501" s="55" t="n">
        <x:f>IF($D501="",0,ROUND(IF(OR($P501="Out",$P501="Suspended"),$Q501*$H501,IF($P501="Doubtful",$Q501*$H501*0.5,IF($P501="Limited",$Q501*$H501*0.25,0))),2))</x:f>
        <x:v>0</x:v>
      </x:c>
      <x:c r="T501" s="55" t="str"/>
      <x:c r="U501" s="51" t="str"/>
    </x:row>
    <x:row r="502">
      <x:c r="A502" s="51" t="str">
        <x:v>Ivory Coast</x:v>
      </x:c>
      <x:c r="B502" s="51" t="str">
        <x:v>E</x:v>
      </x:c>
      <x:c r="C502" s="51" t="n">
        <x:v>4</x:v>
      </x:c>
      <x:c r="D502" s="71" t="str"/>
      <x:c r="E502" s="51" t="str">
        <x:v>CB</x:v>
      </x:c>
      <x:c r="F502" s="51" t="str">
        <x:v>Defence</x:v>
      </x:c>
      <x:c r="G502" s="51" t="str">
        <x:v>Starter</x:v>
      </x:c>
      <x:c r="H502" s="55" t="n">
        <x:v>1</x:v>
      </x:c>
      <x:c r="I502" s="51" t="str"/>
      <x:c r="J502" s="72" t="str"/>
      <x:c r="K502" s="72" t="str"/>
      <x:c r="L502" s="72" t="str"/>
      <x:c r="M502" s="72" t="str"/>
      <x:c r="N502" s="72" t="str"/>
      <x:c r="O502" s="72" t="str"/>
      <x:c r="P502" s="72" t="str">
        <x:v>Available</x:v>
      </x:c>
      <x:c r="Q502" s="72" t="n">
        <x:v>0</x:v>
      </x:c>
      <x:c r="R502" s="55" t="str">
        <x:f>IF($D502="","",ROUND(MAX(0,MIN(100,0.35*$J502+0.2*$K502+0.15*$L502+0.15*$M502+0.1*$N502+0.05*$O502-IF(OR($P502="Out",$P502="Suspended"),$Q502,IF($P502="Doubtful",$Q502*0.5,IF($P502="Limited",$Q502*0.25,0))))),2))</x:f>
      </x:c>
      <x:c r="S502" s="55" t="n">
        <x:f>IF($D502="",0,ROUND(IF(OR($P502="Out",$P502="Suspended"),$Q502*$H502,IF($P502="Doubtful",$Q502*$H502*0.5,IF($P502="Limited",$Q502*$H502*0.25,0))),2))</x:f>
        <x:v>0</x:v>
      </x:c>
      <x:c r="T502" s="55" t="str"/>
      <x:c r="U502" s="51" t="str"/>
    </x:row>
    <x:row r="503">
      <x:c r="A503" s="51" t="str">
        <x:v>Ivory Coast</x:v>
      </x:c>
      <x:c r="B503" s="51" t="str">
        <x:v>E</x:v>
      </x:c>
      <x:c r="C503" s="51" t="n">
        <x:v>5</x:v>
      </x:c>
      <x:c r="D503" s="71" t="str"/>
      <x:c r="E503" s="51" t="str">
        <x:v>CB</x:v>
      </x:c>
      <x:c r="F503" s="51" t="str">
        <x:v>Defence</x:v>
      </x:c>
      <x:c r="G503" s="51" t="str">
        <x:v>Starter</x:v>
      </x:c>
      <x:c r="H503" s="55" t="n">
        <x:v>1</x:v>
      </x:c>
      <x:c r="I503" s="51" t="str"/>
      <x:c r="J503" s="72" t="str"/>
      <x:c r="K503" s="72" t="str"/>
      <x:c r="L503" s="72" t="str"/>
      <x:c r="M503" s="72" t="str"/>
      <x:c r="N503" s="72" t="str"/>
      <x:c r="O503" s="72" t="str"/>
      <x:c r="P503" s="72" t="str">
        <x:v>Available</x:v>
      </x:c>
      <x:c r="Q503" s="72" t="n">
        <x:v>0</x:v>
      </x:c>
      <x:c r="R503" s="55" t="str">
        <x:f>IF($D503="","",ROUND(MAX(0,MIN(100,0.35*$J503+0.2*$K503+0.15*$L503+0.15*$M503+0.1*$N503+0.05*$O503-IF(OR($P503="Out",$P503="Suspended"),$Q503,IF($P503="Doubtful",$Q503*0.5,IF($P503="Limited",$Q503*0.25,0))))),2))</x:f>
      </x:c>
      <x:c r="S503" s="55" t="n">
        <x:f>IF($D503="",0,ROUND(IF(OR($P503="Out",$P503="Suspended"),$Q503*$H503,IF($P503="Doubtful",$Q503*$H503*0.5,IF($P503="Limited",$Q503*$H503*0.25,0))),2))</x:f>
        <x:v>0</x:v>
      </x:c>
      <x:c r="T503" s="55" t="str"/>
      <x:c r="U503" s="51" t="str"/>
    </x:row>
    <x:row r="504">
      <x:c r="A504" s="51" t="str">
        <x:v>Ivory Coast</x:v>
      </x:c>
      <x:c r="B504" s="51" t="str">
        <x:v>E</x:v>
      </x:c>
      <x:c r="C504" s="51" t="n">
        <x:v>6</x:v>
      </x:c>
      <x:c r="D504" s="71" t="str"/>
      <x:c r="E504" s="51" t="str">
        <x:v>CB</x:v>
      </x:c>
      <x:c r="F504" s="51" t="str">
        <x:v>Defence</x:v>
      </x:c>
      <x:c r="G504" s="51" t="str">
        <x:v>Starter</x:v>
      </x:c>
      <x:c r="H504" s="55" t="n">
        <x:v>1</x:v>
      </x:c>
      <x:c r="I504" s="51" t="str"/>
      <x:c r="J504" s="72" t="str"/>
      <x:c r="K504" s="72" t="str"/>
      <x:c r="L504" s="72" t="str"/>
      <x:c r="M504" s="72" t="str"/>
      <x:c r="N504" s="72" t="str"/>
      <x:c r="O504" s="72" t="str"/>
      <x:c r="P504" s="72" t="str">
        <x:v>Available</x:v>
      </x:c>
      <x:c r="Q504" s="72" t="n">
        <x:v>0</x:v>
      </x:c>
      <x:c r="R504" s="55" t="str">
        <x:f>IF($D504="","",ROUND(MAX(0,MIN(100,0.35*$J504+0.2*$K504+0.15*$L504+0.15*$M504+0.1*$N504+0.05*$O504-IF(OR($P504="Out",$P504="Suspended"),$Q504,IF($P504="Doubtful",$Q504*0.5,IF($P504="Limited",$Q504*0.25,0))))),2))</x:f>
      </x:c>
      <x:c r="S504" s="55" t="n">
        <x:f>IF($D504="",0,ROUND(IF(OR($P504="Out",$P504="Suspended"),$Q504*$H504,IF($P504="Doubtful",$Q504*$H504*0.5,IF($P504="Limited",$Q504*$H504*0.25,0))),2))</x:f>
        <x:v>0</x:v>
      </x:c>
      <x:c r="T504" s="55" t="str"/>
      <x:c r="U504" s="51" t="str"/>
    </x:row>
    <x:row r="505">
      <x:c r="A505" s="51" t="str">
        <x:v>Ivory Coast</x:v>
      </x:c>
      <x:c r="B505" s="51" t="str">
        <x:v>E</x:v>
      </x:c>
      <x:c r="C505" s="51" t="n">
        <x:v>7</x:v>
      </x:c>
      <x:c r="D505" s="71" t="str"/>
      <x:c r="E505" s="51" t="str">
        <x:v>FB</x:v>
      </x:c>
      <x:c r="F505" s="51" t="str">
        <x:v>Defence</x:v>
      </x:c>
      <x:c r="G505" s="51" t="str">
        <x:v>Starter</x:v>
      </x:c>
      <x:c r="H505" s="55" t="n">
        <x:v>1</x:v>
      </x:c>
      <x:c r="I505" s="51" t="str"/>
      <x:c r="J505" s="72" t="str"/>
      <x:c r="K505" s="72" t="str"/>
      <x:c r="L505" s="72" t="str"/>
      <x:c r="M505" s="72" t="str"/>
      <x:c r="N505" s="72" t="str"/>
      <x:c r="O505" s="72" t="str"/>
      <x:c r="P505" s="72" t="str">
        <x:v>Available</x:v>
      </x:c>
      <x:c r="Q505" s="72" t="n">
        <x:v>0</x:v>
      </x:c>
      <x:c r="R505" s="55" t="str">
        <x:f>IF($D505="","",ROUND(MAX(0,MIN(100,0.35*$J505+0.2*$K505+0.15*$L505+0.15*$M505+0.1*$N505+0.05*$O505-IF(OR($P505="Out",$P505="Suspended"),$Q505,IF($P505="Doubtful",$Q505*0.5,IF($P505="Limited",$Q505*0.25,0))))),2))</x:f>
      </x:c>
      <x:c r="S505" s="55" t="n">
        <x:f>IF($D505="",0,ROUND(IF(OR($P505="Out",$P505="Suspended"),$Q505*$H505,IF($P505="Doubtful",$Q505*$H505*0.5,IF($P505="Limited",$Q505*$H505*0.25,0))),2))</x:f>
        <x:v>0</x:v>
      </x:c>
      <x:c r="T505" s="55" t="str"/>
      <x:c r="U505" s="51" t="str"/>
    </x:row>
    <x:row r="506">
      <x:c r="A506" s="51" t="str">
        <x:v>Ivory Coast</x:v>
      </x:c>
      <x:c r="B506" s="51" t="str">
        <x:v>E</x:v>
      </x:c>
      <x:c r="C506" s="51" t="n">
        <x:v>8</x:v>
      </x:c>
      <x:c r="D506" s="71" t="str"/>
      <x:c r="E506" s="51" t="str">
        <x:v>FB</x:v>
      </x:c>
      <x:c r="F506" s="51" t="str">
        <x:v>Defence</x:v>
      </x:c>
      <x:c r="G506" s="51" t="str">
        <x:v>Starter</x:v>
      </x:c>
      <x:c r="H506" s="55" t="n">
        <x:v>1</x:v>
      </x:c>
      <x:c r="I506" s="51" t="str"/>
      <x:c r="J506" s="72" t="str"/>
      <x:c r="K506" s="72" t="str"/>
      <x:c r="L506" s="72" t="str"/>
      <x:c r="M506" s="72" t="str"/>
      <x:c r="N506" s="72" t="str"/>
      <x:c r="O506" s="72" t="str"/>
      <x:c r="P506" s="72" t="str">
        <x:v>Available</x:v>
      </x:c>
      <x:c r="Q506" s="72" t="n">
        <x:v>0</x:v>
      </x:c>
      <x:c r="R506" s="55" t="str">
        <x:f>IF($D506="","",ROUND(MAX(0,MIN(100,0.35*$J506+0.2*$K506+0.15*$L506+0.15*$M506+0.1*$N506+0.05*$O506-IF(OR($P506="Out",$P506="Suspended"),$Q506,IF($P506="Doubtful",$Q506*0.5,IF($P506="Limited",$Q506*0.25,0))))),2))</x:f>
      </x:c>
      <x:c r="S506" s="55" t="n">
        <x:f>IF($D506="",0,ROUND(IF(OR($P506="Out",$P506="Suspended"),$Q506*$H506,IF($P506="Doubtful",$Q506*$H506*0.5,IF($P506="Limited",$Q506*$H506*0.25,0))),2))</x:f>
        <x:v>0</x:v>
      </x:c>
      <x:c r="T506" s="55" t="str"/>
      <x:c r="U506" s="51" t="str"/>
    </x:row>
    <x:row r="507">
      <x:c r="A507" s="51" t="str">
        <x:v>Ivory Coast</x:v>
      </x:c>
      <x:c r="B507" s="51" t="str">
        <x:v>E</x:v>
      </x:c>
      <x:c r="C507" s="51" t="n">
        <x:v>9</x:v>
      </x:c>
      <x:c r="D507" s="71" t="str"/>
      <x:c r="E507" s="51" t="str">
        <x:v>DM</x:v>
      </x:c>
      <x:c r="F507" s="51" t="str">
        <x:v>Midfield</x:v>
      </x:c>
      <x:c r="G507" s="51" t="str">
        <x:v>Starter</x:v>
      </x:c>
      <x:c r="H507" s="55" t="n">
        <x:v>1</x:v>
      </x:c>
      <x:c r="I507" s="51" t="str"/>
      <x:c r="J507" s="72" t="str"/>
      <x:c r="K507" s="72" t="str"/>
      <x:c r="L507" s="72" t="str"/>
      <x:c r="M507" s="72" t="str"/>
      <x:c r="N507" s="72" t="str"/>
      <x:c r="O507" s="72" t="str"/>
      <x:c r="P507" s="72" t="str">
        <x:v>Available</x:v>
      </x:c>
      <x:c r="Q507" s="72" t="n">
        <x:v>0</x:v>
      </x:c>
      <x:c r="R507" s="55" t="str">
        <x:f>IF($D507="","",ROUND(MAX(0,MIN(100,0.35*$J507+0.2*$K507+0.15*$L507+0.15*$M507+0.1*$N507+0.05*$O507-IF(OR($P507="Out",$P507="Suspended"),$Q507,IF($P507="Doubtful",$Q507*0.5,IF($P507="Limited",$Q507*0.25,0))))),2))</x:f>
      </x:c>
      <x:c r="S507" s="55" t="n">
        <x:f>IF($D507="",0,ROUND(IF(OR($P507="Out",$P507="Suspended"),$Q507*$H507,IF($P507="Doubtful",$Q507*$H507*0.5,IF($P507="Limited",$Q507*$H507*0.25,0))),2))</x:f>
        <x:v>0</x:v>
      </x:c>
      <x:c r="T507" s="55" t="str"/>
      <x:c r="U507" s="51" t="str"/>
    </x:row>
    <x:row r="508">
      <x:c r="A508" s="51" t="str">
        <x:v>Ivory Coast</x:v>
      </x:c>
      <x:c r="B508" s="51" t="str">
        <x:v>E</x:v>
      </x:c>
      <x:c r="C508" s="51" t="n">
        <x:v>10</x:v>
      </x:c>
      <x:c r="D508" s="71" t="str"/>
      <x:c r="E508" s="51" t="str">
        <x:v>DM</x:v>
      </x:c>
      <x:c r="F508" s="51" t="str">
        <x:v>Midfield</x:v>
      </x:c>
      <x:c r="G508" s="51" t="str">
        <x:v>Starter</x:v>
      </x:c>
      <x:c r="H508" s="55" t="n">
        <x:v>1</x:v>
      </x:c>
      <x:c r="I508" s="51" t="str"/>
      <x:c r="J508" s="72" t="str"/>
      <x:c r="K508" s="72" t="str"/>
      <x:c r="L508" s="72" t="str"/>
      <x:c r="M508" s="72" t="str"/>
      <x:c r="N508" s="72" t="str"/>
      <x:c r="O508" s="72" t="str"/>
      <x:c r="P508" s="72" t="str">
        <x:v>Available</x:v>
      </x:c>
      <x:c r="Q508" s="72" t="n">
        <x:v>0</x:v>
      </x:c>
      <x:c r="R508" s="55" t="str">
        <x:f>IF($D508="","",ROUND(MAX(0,MIN(100,0.35*$J508+0.2*$K508+0.15*$L508+0.15*$M508+0.1*$N508+0.05*$O508-IF(OR($P508="Out",$P508="Suspended"),$Q508,IF($P508="Doubtful",$Q508*0.5,IF($P508="Limited",$Q508*0.25,0))))),2))</x:f>
      </x:c>
      <x:c r="S508" s="55" t="n">
        <x:f>IF($D508="",0,ROUND(IF(OR($P508="Out",$P508="Suspended"),$Q508*$H508,IF($P508="Doubtful",$Q508*$H508*0.5,IF($P508="Limited",$Q508*$H508*0.25,0))),2))</x:f>
        <x:v>0</x:v>
      </x:c>
      <x:c r="T508" s="55" t="str"/>
      <x:c r="U508" s="51" t="str"/>
    </x:row>
    <x:row r="509">
      <x:c r="A509" s="51" t="str">
        <x:v>Ivory Coast</x:v>
      </x:c>
      <x:c r="B509" s="51" t="str">
        <x:v>E</x:v>
      </x:c>
      <x:c r="C509" s="51" t="n">
        <x:v>11</x:v>
      </x:c>
      <x:c r="D509" s="71" t="str"/>
      <x:c r="E509" s="51" t="str">
        <x:v>DM</x:v>
      </x:c>
      <x:c r="F509" s="51" t="str">
        <x:v>Midfield</x:v>
      </x:c>
      <x:c r="G509" s="51" t="str">
        <x:v>Starter</x:v>
      </x:c>
      <x:c r="H509" s="55" t="n">
        <x:v>1</x:v>
      </x:c>
      <x:c r="I509" s="51" t="str"/>
      <x:c r="J509" s="72" t="str"/>
      <x:c r="K509" s="72" t="str"/>
      <x:c r="L509" s="72" t="str"/>
      <x:c r="M509" s="72" t="str"/>
      <x:c r="N509" s="72" t="str"/>
      <x:c r="O509" s="72" t="str"/>
      <x:c r="P509" s="72" t="str">
        <x:v>Available</x:v>
      </x:c>
      <x:c r="Q509" s="72" t="n">
        <x:v>0</x:v>
      </x:c>
      <x:c r="R509" s="55" t="str">
        <x:f>IF($D509="","",ROUND(MAX(0,MIN(100,0.35*$J509+0.2*$K509+0.15*$L509+0.15*$M509+0.1*$N509+0.05*$O509-IF(OR($P509="Out",$P509="Suspended"),$Q509,IF($P509="Doubtful",$Q509*0.5,IF($P509="Limited",$Q509*0.25,0))))),2))</x:f>
      </x:c>
      <x:c r="S509" s="55" t="n">
        <x:f>IF($D509="",0,ROUND(IF(OR($P509="Out",$P509="Suspended"),$Q509*$H509,IF($P509="Doubtful",$Q509*$H509*0.5,IF($P509="Limited",$Q509*$H509*0.25,0))),2))</x:f>
        <x:v>0</x:v>
      </x:c>
      <x:c r="T509" s="55" t="str"/>
      <x:c r="U509" s="51" t="str"/>
    </x:row>
    <x:row r="510">
      <x:c r="A510" s="51" t="str">
        <x:v>Ivory Coast</x:v>
      </x:c>
      <x:c r="B510" s="51" t="str">
        <x:v>E</x:v>
      </x:c>
      <x:c r="C510" s="51" t="n">
        <x:v>12</x:v>
      </x:c>
      <x:c r="D510" s="71" t="str"/>
      <x:c r="E510" s="51" t="str">
        <x:v>CM</x:v>
      </x:c>
      <x:c r="F510" s="51" t="str">
        <x:v>Midfield</x:v>
      </x:c>
      <x:c r="G510" s="51" t="str">
        <x:v>Rotation</x:v>
      </x:c>
      <x:c r="H510" s="55" t="n">
        <x:v>0.35</x:v>
      </x:c>
      <x:c r="I510" s="51" t="str"/>
      <x:c r="J510" s="72" t="str"/>
      <x:c r="K510" s="72" t="str"/>
      <x:c r="L510" s="72" t="str"/>
      <x:c r="M510" s="72" t="str"/>
      <x:c r="N510" s="72" t="str"/>
      <x:c r="O510" s="72" t="str"/>
      <x:c r="P510" s="72" t="str">
        <x:v>Available</x:v>
      </x:c>
      <x:c r="Q510" s="72" t="n">
        <x:v>0</x:v>
      </x:c>
      <x:c r="R510" s="55" t="str">
        <x:f>IF($D510="","",ROUND(MAX(0,MIN(100,0.35*$J510+0.2*$K510+0.15*$L510+0.15*$M510+0.1*$N510+0.05*$O510-IF(OR($P510="Out",$P510="Suspended"),$Q510,IF($P510="Doubtful",$Q510*0.5,IF($P510="Limited",$Q510*0.25,0))))),2))</x:f>
      </x:c>
      <x:c r="S510" s="55" t="n">
        <x:f>IF($D510="",0,ROUND(IF(OR($P510="Out",$P510="Suspended"),$Q510*$H510,IF($P510="Doubtful",$Q510*$H510*0.5,IF($P510="Limited",$Q510*$H510*0.25,0))),2))</x:f>
        <x:v>0</x:v>
      </x:c>
      <x:c r="T510" s="55" t="str"/>
      <x:c r="U510" s="51" t="str"/>
    </x:row>
    <x:row r="511">
      <x:c r="A511" s="51" t="str">
        <x:v>Ivory Coast</x:v>
      </x:c>
      <x:c r="B511" s="51" t="str">
        <x:v>E</x:v>
      </x:c>
      <x:c r="C511" s="51" t="n">
        <x:v>13</x:v>
      </x:c>
      <x:c r="D511" s="71" t="str"/>
      <x:c r="E511" s="51" t="str">
        <x:v>CM</x:v>
      </x:c>
      <x:c r="F511" s="51" t="str">
        <x:v>Midfield</x:v>
      </x:c>
      <x:c r="G511" s="51" t="str">
        <x:v>Rotation</x:v>
      </x:c>
      <x:c r="H511" s="55" t="n">
        <x:v>0.35</x:v>
      </x:c>
      <x:c r="I511" s="51" t="str"/>
      <x:c r="J511" s="72" t="str"/>
      <x:c r="K511" s="72" t="str"/>
      <x:c r="L511" s="72" t="str"/>
      <x:c r="M511" s="72" t="str"/>
      <x:c r="N511" s="72" t="str"/>
      <x:c r="O511" s="72" t="str"/>
      <x:c r="P511" s="72" t="str">
        <x:v>Available</x:v>
      </x:c>
      <x:c r="Q511" s="72" t="n">
        <x:v>0</x:v>
      </x:c>
      <x:c r="R511" s="55" t="str">
        <x:f>IF($D511="","",ROUND(MAX(0,MIN(100,0.35*$J511+0.2*$K511+0.15*$L511+0.15*$M511+0.1*$N511+0.05*$O511-IF(OR($P511="Out",$P511="Suspended"),$Q511,IF($P511="Doubtful",$Q511*0.5,IF($P511="Limited",$Q511*0.25,0))))),2))</x:f>
      </x:c>
      <x:c r="S511" s="55" t="n">
        <x:f>IF($D511="",0,ROUND(IF(OR($P511="Out",$P511="Suspended"),$Q511*$H511,IF($P511="Doubtful",$Q511*$H511*0.5,IF($P511="Limited",$Q511*$H511*0.25,0))),2))</x:f>
        <x:v>0</x:v>
      </x:c>
      <x:c r="T511" s="55" t="str"/>
      <x:c r="U511" s="51" t="str"/>
    </x:row>
    <x:row r="512">
      <x:c r="A512" s="51" t="str">
        <x:v>Ivory Coast</x:v>
      </x:c>
      <x:c r="B512" s="51" t="str">
        <x:v>E</x:v>
      </x:c>
      <x:c r="C512" s="51" t="n">
        <x:v>14</x:v>
      </x:c>
      <x:c r="D512" s="71" t="str"/>
      <x:c r="E512" s="51" t="str">
        <x:v>CM</x:v>
      </x:c>
      <x:c r="F512" s="51" t="str">
        <x:v>Midfield</x:v>
      </x:c>
      <x:c r="G512" s="51" t="str">
        <x:v>Rotation</x:v>
      </x:c>
      <x:c r="H512" s="55" t="n">
        <x:v>0.35</x:v>
      </x:c>
      <x:c r="I512" s="51" t="str"/>
      <x:c r="J512" s="72" t="str"/>
      <x:c r="K512" s="72" t="str"/>
      <x:c r="L512" s="72" t="str"/>
      <x:c r="M512" s="72" t="str"/>
      <x:c r="N512" s="72" t="str"/>
      <x:c r="O512" s="72" t="str"/>
      <x:c r="P512" s="72" t="str">
        <x:v>Available</x:v>
      </x:c>
      <x:c r="Q512" s="72" t="n">
        <x:v>0</x:v>
      </x:c>
      <x:c r="R512" s="55" t="str">
        <x:f>IF($D512="","",ROUND(MAX(0,MIN(100,0.35*$J512+0.2*$K512+0.15*$L512+0.15*$M512+0.1*$N512+0.05*$O512-IF(OR($P512="Out",$P512="Suspended"),$Q512,IF($P512="Doubtful",$Q512*0.5,IF($P512="Limited",$Q512*0.25,0))))),2))</x:f>
      </x:c>
      <x:c r="S512" s="55" t="n">
        <x:f>IF($D512="",0,ROUND(IF(OR($P512="Out",$P512="Suspended"),$Q512*$H512,IF($P512="Doubtful",$Q512*$H512*0.5,IF($P512="Limited",$Q512*$H512*0.25,0))),2))</x:f>
        <x:v>0</x:v>
      </x:c>
      <x:c r="T512" s="55" t="str"/>
      <x:c r="U512" s="51" t="str"/>
    </x:row>
    <x:row r="513">
      <x:c r="A513" s="51" t="str">
        <x:v>Ivory Coast</x:v>
      </x:c>
      <x:c r="B513" s="51" t="str">
        <x:v>E</x:v>
      </x:c>
      <x:c r="C513" s="51" t="n">
        <x:v>15</x:v>
      </x:c>
      <x:c r="D513" s="71" t="str"/>
      <x:c r="E513" s="51" t="str">
        <x:v>CM</x:v>
      </x:c>
      <x:c r="F513" s="51" t="str">
        <x:v>Midfield</x:v>
      </x:c>
      <x:c r="G513" s="51" t="str">
        <x:v>Rotation</x:v>
      </x:c>
      <x:c r="H513" s="55" t="n">
        <x:v>0.35</x:v>
      </x:c>
      <x:c r="I513" s="51" t="str"/>
      <x:c r="J513" s="72" t="str"/>
      <x:c r="K513" s="72" t="str"/>
      <x:c r="L513" s="72" t="str"/>
      <x:c r="M513" s="72" t="str"/>
      <x:c r="N513" s="72" t="str"/>
      <x:c r="O513" s="72" t="str"/>
      <x:c r="P513" s="72" t="str">
        <x:v>Available</x:v>
      </x:c>
      <x:c r="Q513" s="72" t="n">
        <x:v>0</x:v>
      </x:c>
      <x:c r="R513" s="55" t="str">
        <x:f>IF($D513="","",ROUND(MAX(0,MIN(100,0.35*$J513+0.2*$K513+0.15*$L513+0.15*$M513+0.1*$N513+0.05*$O513-IF(OR($P513="Out",$P513="Suspended"),$Q513,IF($P513="Doubtful",$Q513*0.5,IF($P513="Limited",$Q513*0.25,0))))),2))</x:f>
      </x:c>
      <x:c r="S513" s="55" t="n">
        <x:f>IF($D513="",0,ROUND(IF(OR($P513="Out",$P513="Suspended"),$Q513*$H513,IF($P513="Doubtful",$Q513*$H513*0.5,IF($P513="Limited",$Q513*$H513*0.25,0))),2))</x:f>
        <x:v>0</x:v>
      </x:c>
      <x:c r="T513" s="55" t="str"/>
      <x:c r="U513" s="51" t="str"/>
    </x:row>
    <x:row r="514">
      <x:c r="A514" s="51" t="str">
        <x:v>Ivory Coast</x:v>
      </x:c>
      <x:c r="B514" s="51" t="str">
        <x:v>E</x:v>
      </x:c>
      <x:c r="C514" s="51" t="n">
        <x:v>16</x:v>
      </x:c>
      <x:c r="D514" s="71" t="str"/>
      <x:c r="E514" s="51" t="str">
        <x:v>AM</x:v>
      </x:c>
      <x:c r="F514" s="51" t="str">
        <x:v>Attack</x:v>
      </x:c>
      <x:c r="G514" s="51" t="str">
        <x:v>Rotation</x:v>
      </x:c>
      <x:c r="H514" s="55" t="n">
        <x:v>0.35</x:v>
      </x:c>
      <x:c r="I514" s="51" t="str"/>
      <x:c r="J514" s="72" t="str"/>
      <x:c r="K514" s="72" t="str"/>
      <x:c r="L514" s="72" t="str"/>
      <x:c r="M514" s="72" t="str"/>
      <x:c r="N514" s="72" t="str"/>
      <x:c r="O514" s="72" t="str"/>
      <x:c r="P514" s="72" t="str">
        <x:v>Available</x:v>
      </x:c>
      <x:c r="Q514" s="72" t="n">
        <x:v>0</x:v>
      </x:c>
      <x:c r="R514" s="55" t="str">
        <x:f>IF($D514="","",ROUND(MAX(0,MIN(100,0.35*$J514+0.2*$K514+0.15*$L514+0.15*$M514+0.1*$N514+0.05*$O514-IF(OR($P514="Out",$P514="Suspended"),$Q514,IF($P514="Doubtful",$Q514*0.5,IF($P514="Limited",$Q514*0.25,0))))),2))</x:f>
      </x:c>
      <x:c r="S514" s="55" t="n">
        <x:f>IF($D514="",0,ROUND(IF(OR($P514="Out",$P514="Suspended"),$Q514*$H514,IF($P514="Doubtful",$Q514*$H514*0.5,IF($P514="Limited",$Q514*$H514*0.25,0))),2))</x:f>
        <x:v>0</x:v>
      </x:c>
      <x:c r="T514" s="55" t="str"/>
      <x:c r="U514" s="51" t="str"/>
    </x:row>
    <x:row r="515">
      <x:c r="A515" s="51" t="str">
        <x:v>Ivory Coast</x:v>
      </x:c>
      <x:c r="B515" s="51" t="str">
        <x:v>E</x:v>
      </x:c>
      <x:c r="C515" s="51" t="n">
        <x:v>17</x:v>
      </x:c>
      <x:c r="D515" s="71" t="str"/>
      <x:c r="E515" s="51" t="str">
        <x:v>AM</x:v>
      </x:c>
      <x:c r="F515" s="51" t="str">
        <x:v>Attack</x:v>
      </x:c>
      <x:c r="G515" s="51" t="str">
        <x:v>Rotation</x:v>
      </x:c>
      <x:c r="H515" s="55" t="n">
        <x:v>0.35</x:v>
      </x:c>
      <x:c r="I515" s="51" t="str"/>
      <x:c r="J515" s="72" t="str"/>
      <x:c r="K515" s="72" t="str"/>
      <x:c r="L515" s="72" t="str"/>
      <x:c r="M515" s="72" t="str"/>
      <x:c r="N515" s="72" t="str"/>
      <x:c r="O515" s="72" t="str"/>
      <x:c r="P515" s="72" t="str">
        <x:v>Available</x:v>
      </x:c>
      <x:c r="Q515" s="72" t="n">
        <x:v>0</x:v>
      </x:c>
      <x:c r="R515" s="55" t="str">
        <x:f>IF($D515="","",ROUND(MAX(0,MIN(100,0.35*$J515+0.2*$K515+0.15*$L515+0.15*$M515+0.1*$N515+0.05*$O515-IF(OR($P515="Out",$P515="Suspended"),$Q515,IF($P515="Doubtful",$Q515*0.5,IF($P515="Limited",$Q515*0.25,0))))),2))</x:f>
      </x:c>
      <x:c r="S515" s="55" t="n">
        <x:f>IF($D515="",0,ROUND(IF(OR($P515="Out",$P515="Suspended"),$Q515*$H515,IF($P515="Doubtful",$Q515*$H515*0.5,IF($P515="Limited",$Q515*$H515*0.25,0))),2))</x:f>
        <x:v>0</x:v>
      </x:c>
      <x:c r="T515" s="55" t="str"/>
      <x:c r="U515" s="51" t="str"/>
    </x:row>
    <x:row r="516">
      <x:c r="A516" s="51" t="str">
        <x:v>Ivory Coast</x:v>
      </x:c>
      <x:c r="B516" s="51" t="str">
        <x:v>E</x:v>
      </x:c>
      <x:c r="C516" s="51" t="n">
        <x:v>18</x:v>
      </x:c>
      <x:c r="D516" s="71" t="str"/>
      <x:c r="E516" s="51" t="str">
        <x:v>AM</x:v>
      </x:c>
      <x:c r="F516" s="51" t="str">
        <x:v>Attack</x:v>
      </x:c>
      <x:c r="G516" s="51" t="str">
        <x:v>Rotation</x:v>
      </x:c>
      <x:c r="H516" s="55" t="n">
        <x:v>0.35</x:v>
      </x:c>
      <x:c r="I516" s="51" t="str"/>
      <x:c r="J516" s="72" t="str"/>
      <x:c r="K516" s="72" t="str"/>
      <x:c r="L516" s="72" t="str"/>
      <x:c r="M516" s="72" t="str"/>
      <x:c r="N516" s="72" t="str"/>
      <x:c r="O516" s="72" t="str"/>
      <x:c r="P516" s="72" t="str">
        <x:v>Available</x:v>
      </x:c>
      <x:c r="Q516" s="72" t="n">
        <x:v>0</x:v>
      </x:c>
      <x:c r="R516" s="55" t="str">
        <x:f>IF($D516="","",ROUND(MAX(0,MIN(100,0.35*$J516+0.2*$K516+0.15*$L516+0.15*$M516+0.1*$N516+0.05*$O516-IF(OR($P516="Out",$P516="Suspended"),$Q516,IF($P516="Doubtful",$Q516*0.5,IF($P516="Limited",$Q516*0.25,0))))),2))</x:f>
      </x:c>
      <x:c r="S516" s="55" t="n">
        <x:f>IF($D516="",0,ROUND(IF(OR($P516="Out",$P516="Suspended"),$Q516*$H516,IF($P516="Doubtful",$Q516*$H516*0.5,IF($P516="Limited",$Q516*$H516*0.25,0))),2))</x:f>
        <x:v>0</x:v>
      </x:c>
      <x:c r="T516" s="55" t="str"/>
      <x:c r="U516" s="51" t="str"/>
    </x:row>
    <x:row r="517">
      <x:c r="A517" s="51" t="str">
        <x:v>Ivory Coast</x:v>
      </x:c>
      <x:c r="B517" s="51" t="str">
        <x:v>E</x:v>
      </x:c>
      <x:c r="C517" s="51" t="n">
        <x:v>19</x:v>
      </x:c>
      <x:c r="D517" s="71" t="str"/>
      <x:c r="E517" s="51" t="str">
        <x:v>AM</x:v>
      </x:c>
      <x:c r="F517" s="51" t="str">
        <x:v>Attack</x:v>
      </x:c>
      <x:c r="G517" s="51" t="str">
        <x:v>Rotation</x:v>
      </x:c>
      <x:c r="H517" s="55" t="n">
        <x:v>0.35</x:v>
      </x:c>
      <x:c r="I517" s="51" t="str"/>
      <x:c r="J517" s="72" t="str"/>
      <x:c r="K517" s="72" t="str"/>
      <x:c r="L517" s="72" t="str"/>
      <x:c r="M517" s="72" t="str"/>
      <x:c r="N517" s="72" t="str"/>
      <x:c r="O517" s="72" t="str"/>
      <x:c r="P517" s="72" t="str">
        <x:v>Available</x:v>
      </x:c>
      <x:c r="Q517" s="72" t="n">
        <x:v>0</x:v>
      </x:c>
      <x:c r="R517" s="55" t="str">
        <x:f>IF($D517="","",ROUND(MAX(0,MIN(100,0.35*$J517+0.2*$K517+0.15*$L517+0.15*$M517+0.1*$N517+0.05*$O517-IF(OR($P517="Out",$P517="Suspended"),$Q517,IF($P517="Doubtful",$Q517*0.5,IF($P517="Limited",$Q517*0.25,0))))),2))</x:f>
      </x:c>
      <x:c r="S517" s="55" t="n">
        <x:f>IF($D517="",0,ROUND(IF(OR($P517="Out",$P517="Suspended"),$Q517*$H517,IF($P517="Doubtful",$Q517*$H517*0.5,IF($P517="Limited",$Q517*$H517*0.25,0))),2))</x:f>
        <x:v>0</x:v>
      </x:c>
      <x:c r="T517" s="55" t="str"/>
      <x:c r="U517" s="51" t="str"/>
    </x:row>
    <x:row r="518">
      <x:c r="A518" s="51" t="str">
        <x:v>Ivory Coast</x:v>
      </x:c>
      <x:c r="B518" s="51" t="str">
        <x:v>E</x:v>
      </x:c>
      <x:c r="C518" s="51" t="n">
        <x:v>20</x:v>
      </x:c>
      <x:c r="D518" s="71" t="str"/>
      <x:c r="E518" s="51" t="str">
        <x:v>Winger</x:v>
      </x:c>
      <x:c r="F518" s="51" t="str">
        <x:v>Attack</x:v>
      </x:c>
      <x:c r="G518" s="51" t="str">
        <x:v>Rotation</x:v>
      </x:c>
      <x:c r="H518" s="55" t="n">
        <x:v>0.35</x:v>
      </x:c>
      <x:c r="I518" s="51" t="str"/>
      <x:c r="J518" s="72" t="str"/>
      <x:c r="K518" s="72" t="str"/>
      <x:c r="L518" s="72" t="str"/>
      <x:c r="M518" s="72" t="str"/>
      <x:c r="N518" s="72" t="str"/>
      <x:c r="O518" s="72" t="str"/>
      <x:c r="P518" s="72" t="str">
        <x:v>Available</x:v>
      </x:c>
      <x:c r="Q518" s="72" t="n">
        <x:v>0</x:v>
      </x:c>
      <x:c r="R518" s="55" t="str">
        <x:f>IF($D518="","",ROUND(MAX(0,MIN(100,0.35*$J518+0.2*$K518+0.15*$L518+0.15*$M518+0.1*$N518+0.05*$O518-IF(OR($P518="Out",$P518="Suspended"),$Q518,IF($P518="Doubtful",$Q518*0.5,IF($P518="Limited",$Q518*0.25,0))))),2))</x:f>
      </x:c>
      <x:c r="S518" s="55" t="n">
        <x:f>IF($D518="",0,ROUND(IF(OR($P518="Out",$P518="Suspended"),$Q518*$H518,IF($P518="Doubtful",$Q518*$H518*0.5,IF($P518="Limited",$Q518*$H518*0.25,0))),2))</x:f>
        <x:v>0</x:v>
      </x:c>
      <x:c r="T518" s="55" t="str"/>
      <x:c r="U518" s="51" t="str"/>
    </x:row>
    <x:row r="519">
      <x:c r="A519" s="51" t="str">
        <x:v>Ivory Coast</x:v>
      </x:c>
      <x:c r="B519" s="51" t="str">
        <x:v>E</x:v>
      </x:c>
      <x:c r="C519" s="51" t="n">
        <x:v>21</x:v>
      </x:c>
      <x:c r="D519" s="71" t="str"/>
      <x:c r="E519" s="51" t="str">
        <x:v>Winger</x:v>
      </x:c>
      <x:c r="F519" s="51" t="str">
        <x:v>Attack</x:v>
      </x:c>
      <x:c r="G519" s="51" t="str">
        <x:v>Depth</x:v>
      </x:c>
      <x:c r="H519" s="55" t="n">
        <x:v>0.1</x:v>
      </x:c>
      <x:c r="I519" s="51" t="str"/>
      <x:c r="J519" s="72" t="str"/>
      <x:c r="K519" s="72" t="str"/>
      <x:c r="L519" s="72" t="str"/>
      <x:c r="M519" s="72" t="str"/>
      <x:c r="N519" s="72" t="str"/>
      <x:c r="O519" s="72" t="str"/>
      <x:c r="P519" s="72" t="str">
        <x:v>Available</x:v>
      </x:c>
      <x:c r="Q519" s="72" t="n">
        <x:v>0</x:v>
      </x:c>
      <x:c r="R519" s="55" t="str">
        <x:f>IF($D519="","",ROUND(MAX(0,MIN(100,0.35*$J519+0.2*$K519+0.15*$L519+0.15*$M519+0.1*$N519+0.05*$O519-IF(OR($P519="Out",$P519="Suspended"),$Q519,IF($P519="Doubtful",$Q519*0.5,IF($P519="Limited",$Q519*0.25,0))))),2))</x:f>
      </x:c>
      <x:c r="S519" s="55" t="n">
        <x:f>IF($D519="",0,ROUND(IF(OR($P519="Out",$P519="Suspended"),$Q519*$H519,IF($P519="Doubtful",$Q519*$H519*0.5,IF($P519="Limited",$Q519*$H519*0.25,0))),2))</x:f>
        <x:v>0</x:v>
      </x:c>
      <x:c r="T519" s="55" t="str"/>
      <x:c r="U519" s="51" t="str"/>
    </x:row>
    <x:row r="520">
      <x:c r="A520" s="51" t="str">
        <x:v>Ivory Coast</x:v>
      </x:c>
      <x:c r="B520" s="51" t="str">
        <x:v>E</x:v>
      </x:c>
      <x:c r="C520" s="51" t="n">
        <x:v>22</x:v>
      </x:c>
      <x:c r="D520" s="71" t="str"/>
      <x:c r="E520" s="51" t="str">
        <x:v>Winger</x:v>
      </x:c>
      <x:c r="F520" s="51" t="str">
        <x:v>Attack</x:v>
      </x:c>
      <x:c r="G520" s="51" t="str">
        <x:v>Depth</x:v>
      </x:c>
      <x:c r="H520" s="55" t="n">
        <x:v>0.1</x:v>
      </x:c>
      <x:c r="I520" s="51" t="str"/>
      <x:c r="J520" s="72" t="str"/>
      <x:c r="K520" s="72" t="str"/>
      <x:c r="L520" s="72" t="str"/>
      <x:c r="M520" s="72" t="str"/>
      <x:c r="N520" s="72" t="str"/>
      <x:c r="O520" s="72" t="str"/>
      <x:c r="P520" s="72" t="str">
        <x:v>Available</x:v>
      </x:c>
      <x:c r="Q520" s="72" t="n">
        <x:v>0</x:v>
      </x:c>
      <x:c r="R520" s="55" t="str">
        <x:f>IF($D520="","",ROUND(MAX(0,MIN(100,0.35*$J520+0.2*$K520+0.15*$L520+0.15*$M520+0.1*$N520+0.05*$O520-IF(OR($P520="Out",$P520="Suspended"),$Q520,IF($P520="Doubtful",$Q520*0.5,IF($P520="Limited",$Q520*0.25,0))))),2))</x:f>
      </x:c>
      <x:c r="S520" s="55" t="n">
        <x:f>IF($D520="",0,ROUND(IF(OR($P520="Out",$P520="Suspended"),$Q520*$H520,IF($P520="Doubtful",$Q520*$H520*0.5,IF($P520="Limited",$Q520*$H520*0.25,0))),2))</x:f>
        <x:v>0</x:v>
      </x:c>
      <x:c r="T520" s="55" t="str"/>
      <x:c r="U520" s="51" t="str"/>
    </x:row>
    <x:row r="521">
      <x:c r="A521" s="51" t="str">
        <x:v>Ivory Coast</x:v>
      </x:c>
      <x:c r="B521" s="51" t="str">
        <x:v>E</x:v>
      </x:c>
      <x:c r="C521" s="51" t="n">
        <x:v>23</x:v>
      </x:c>
      <x:c r="D521" s="71" t="str"/>
      <x:c r="E521" s="51" t="str">
        <x:v>Winger</x:v>
      </x:c>
      <x:c r="F521" s="51" t="str">
        <x:v>Attack</x:v>
      </x:c>
      <x:c r="G521" s="51" t="str">
        <x:v>Depth</x:v>
      </x:c>
      <x:c r="H521" s="55" t="n">
        <x:v>0.1</x:v>
      </x:c>
      <x:c r="I521" s="51" t="str"/>
      <x:c r="J521" s="72" t="str"/>
      <x:c r="K521" s="72" t="str"/>
      <x:c r="L521" s="72" t="str"/>
      <x:c r="M521" s="72" t="str"/>
      <x:c r="N521" s="72" t="str"/>
      <x:c r="O521" s="72" t="str"/>
      <x:c r="P521" s="72" t="str">
        <x:v>Available</x:v>
      </x:c>
      <x:c r="Q521" s="72" t="n">
        <x:v>0</x:v>
      </x:c>
      <x:c r="R521" s="55" t="str">
        <x:f>IF($D521="","",ROUND(MAX(0,MIN(100,0.35*$J521+0.2*$K521+0.15*$L521+0.15*$M521+0.1*$N521+0.05*$O521-IF(OR($P521="Out",$P521="Suspended"),$Q521,IF($P521="Doubtful",$Q521*0.5,IF($P521="Limited",$Q521*0.25,0))))),2))</x:f>
      </x:c>
      <x:c r="S521" s="55" t="n">
        <x:f>IF($D521="",0,ROUND(IF(OR($P521="Out",$P521="Suspended"),$Q521*$H521,IF($P521="Doubtful",$Q521*$H521*0.5,IF($P521="Limited",$Q521*$H521*0.25,0))),2))</x:f>
        <x:v>0</x:v>
      </x:c>
      <x:c r="T521" s="55" t="str"/>
      <x:c r="U521" s="51" t="str"/>
    </x:row>
    <x:row r="522">
      <x:c r="A522" s="51" t="str">
        <x:v>Ivory Coast</x:v>
      </x:c>
      <x:c r="B522" s="51" t="str">
        <x:v>E</x:v>
      </x:c>
      <x:c r="C522" s="51" t="n">
        <x:v>24</x:v>
      </x:c>
      <x:c r="D522" s="71" t="str"/>
      <x:c r="E522" s="51" t="str">
        <x:v>ST</x:v>
      </x:c>
      <x:c r="F522" s="51" t="str">
        <x:v>Attack</x:v>
      </x:c>
      <x:c r="G522" s="51" t="str">
        <x:v>Depth</x:v>
      </x:c>
      <x:c r="H522" s="55" t="n">
        <x:v>0.1</x:v>
      </x:c>
      <x:c r="I522" s="51" t="str"/>
      <x:c r="J522" s="72" t="str"/>
      <x:c r="K522" s="72" t="str"/>
      <x:c r="L522" s="72" t="str"/>
      <x:c r="M522" s="72" t="str"/>
      <x:c r="N522" s="72" t="str"/>
      <x:c r="O522" s="72" t="str"/>
      <x:c r="P522" s="72" t="str">
        <x:v>Available</x:v>
      </x:c>
      <x:c r="Q522" s="72" t="n">
        <x:v>0</x:v>
      </x:c>
      <x:c r="R522" s="55" t="str">
        <x:f>IF($D522="","",ROUND(MAX(0,MIN(100,0.35*$J522+0.2*$K522+0.15*$L522+0.15*$M522+0.1*$N522+0.05*$O522-IF(OR($P522="Out",$P522="Suspended"),$Q522,IF($P522="Doubtful",$Q522*0.5,IF($P522="Limited",$Q522*0.25,0))))),2))</x:f>
      </x:c>
      <x:c r="S522" s="55" t="n">
        <x:f>IF($D522="",0,ROUND(IF(OR($P522="Out",$P522="Suspended"),$Q522*$H522,IF($P522="Doubtful",$Q522*$H522*0.5,IF($P522="Limited",$Q522*$H522*0.25,0))),2))</x:f>
        <x:v>0</x:v>
      </x:c>
      <x:c r="T522" s="55" t="str"/>
      <x:c r="U522" s="51" t="str"/>
    </x:row>
    <x:row r="523">
      <x:c r="A523" s="51" t="str">
        <x:v>Ivory Coast</x:v>
      </x:c>
      <x:c r="B523" s="51" t="str">
        <x:v>E</x:v>
      </x:c>
      <x:c r="C523" s="51" t="n">
        <x:v>25</x:v>
      </x:c>
      <x:c r="D523" s="71" t="str"/>
      <x:c r="E523" s="51" t="str">
        <x:v>ST</x:v>
      </x:c>
      <x:c r="F523" s="51" t="str">
        <x:v>Attack</x:v>
      </x:c>
      <x:c r="G523" s="51" t="str">
        <x:v>Depth</x:v>
      </x:c>
      <x:c r="H523" s="55" t="n">
        <x:v>0.1</x:v>
      </x:c>
      <x:c r="I523" s="51" t="str"/>
      <x:c r="J523" s="72" t="str"/>
      <x:c r="K523" s="72" t="str"/>
      <x:c r="L523" s="72" t="str"/>
      <x:c r="M523" s="72" t="str"/>
      <x:c r="N523" s="72" t="str"/>
      <x:c r="O523" s="72" t="str"/>
      <x:c r="P523" s="72" t="str">
        <x:v>Available</x:v>
      </x:c>
      <x:c r="Q523" s="72" t="n">
        <x:v>0</x:v>
      </x:c>
      <x:c r="R523" s="55" t="str">
        <x:f>IF($D523="","",ROUND(MAX(0,MIN(100,0.35*$J523+0.2*$K523+0.15*$L523+0.15*$M523+0.1*$N523+0.05*$O523-IF(OR($P523="Out",$P523="Suspended"),$Q523,IF($P523="Doubtful",$Q523*0.5,IF($P523="Limited",$Q523*0.25,0))))),2))</x:f>
      </x:c>
      <x:c r="S523" s="55" t="n">
        <x:f>IF($D523="",0,ROUND(IF(OR($P523="Out",$P523="Suspended"),$Q523*$H523,IF($P523="Doubtful",$Q523*$H523*0.5,IF($P523="Limited",$Q523*$H523*0.25,0))),2))</x:f>
        <x:v>0</x:v>
      </x:c>
      <x:c r="T523" s="55" t="str"/>
      <x:c r="U523" s="51" t="str"/>
    </x:row>
    <x:row r="524">
      <x:c r="A524" s="51" t="str">
        <x:v>Ivory Coast</x:v>
      </x:c>
      <x:c r="B524" s="51" t="str">
        <x:v>E</x:v>
      </x:c>
      <x:c r="C524" s="51" t="n">
        <x:v>26</x:v>
      </x:c>
      <x:c r="D524" s="71" t="str"/>
      <x:c r="E524" s="51" t="str">
        <x:v>ST</x:v>
      </x:c>
      <x:c r="F524" s="51" t="str">
        <x:v>Attack</x:v>
      </x:c>
      <x:c r="G524" s="51" t="str">
        <x:v>Depth</x:v>
      </x:c>
      <x:c r="H524" s="55" t="n">
        <x:v>0.1</x:v>
      </x:c>
      <x:c r="I524" s="51" t="str"/>
      <x:c r="J524" s="72" t="str"/>
      <x:c r="K524" s="72" t="str"/>
      <x:c r="L524" s="72" t="str"/>
      <x:c r="M524" s="72" t="str"/>
      <x:c r="N524" s="72" t="str"/>
      <x:c r="O524" s="72" t="str"/>
      <x:c r="P524" s="72" t="str">
        <x:v>Available</x:v>
      </x:c>
      <x:c r="Q524" s="72" t="n">
        <x:v>0</x:v>
      </x:c>
      <x:c r="R524" s="55" t="str">
        <x:f>IF($D524="","",ROUND(MAX(0,MIN(100,0.35*$J524+0.2*$K524+0.15*$L524+0.15*$M524+0.1*$N524+0.05*$O524-IF(OR($P524="Out",$P524="Suspended"),$Q524,IF($P524="Doubtful",$Q524*0.5,IF($P524="Limited",$Q524*0.25,0))))),2))</x:f>
      </x:c>
      <x:c r="S524" s="55" t="n">
        <x:f>IF($D524="",0,ROUND(IF(OR($P524="Out",$P524="Suspended"),$Q524*$H524,IF($P524="Doubtful",$Q524*$H524*0.5,IF($P524="Limited",$Q524*$H524*0.25,0))),2))</x:f>
        <x:v>0</x:v>
      </x:c>
      <x:c r="T524" s="55" t="str"/>
      <x:c r="U524" s="51" t="str"/>
    </x:row>
    <x:row r="525">
      <x:c r="A525" s="51" t="str">
        <x:v>Japan</x:v>
      </x:c>
      <x:c r="B525" s="51" t="str">
        <x:v>F</x:v>
      </x:c>
      <x:c r="C525" s="51" t="n">
        <x:v>1</x:v>
      </x:c>
      <x:c r="D525" s="71" t="str"/>
      <x:c r="E525" s="51" t="str">
        <x:v>GK</x:v>
      </x:c>
      <x:c r="F525" s="51" t="str">
        <x:v>GK</x:v>
      </x:c>
      <x:c r="G525" s="51" t="str">
        <x:v>Starter</x:v>
      </x:c>
      <x:c r="H525" s="55" t="n">
        <x:v>1</x:v>
      </x:c>
      <x:c r="I525" s="51" t="str"/>
      <x:c r="J525" s="72" t="str"/>
      <x:c r="K525" s="72" t="str"/>
      <x:c r="L525" s="72" t="str"/>
      <x:c r="M525" s="72" t="str"/>
      <x:c r="N525" s="72" t="str"/>
      <x:c r="O525" s="72" t="str"/>
      <x:c r="P525" s="72" t="str">
        <x:v>Available</x:v>
      </x:c>
      <x:c r="Q525" s="72" t="n">
        <x:v>0</x:v>
      </x:c>
      <x:c r="R525" s="55" t="str">
        <x:f>IF($D525="","",ROUND(MAX(0,MIN(100,0.35*$J525+0.2*$K525+0.15*$L525+0.15*$M525+0.1*$N525+0.05*$O525-IF(OR($P525="Out",$P525="Suspended"),$Q525,IF($P525="Doubtful",$Q525*0.5,IF($P525="Limited",$Q525*0.25,0))))),2))</x:f>
      </x:c>
      <x:c r="S525" s="55" t="n">
        <x:f>IF($D525="",0,ROUND(IF(OR($P525="Out",$P525="Suspended"),$Q525*$H525,IF($P525="Doubtful",$Q525*$H525*0.5,IF($P525="Limited",$Q525*$H525*0.25,0))),2))</x:f>
        <x:v>0</x:v>
      </x:c>
      <x:c r="T525" s="55" t="str"/>
      <x:c r="U525" s="51" t="str"/>
    </x:row>
    <x:row r="526">
      <x:c r="A526" s="51" t="str">
        <x:v>Japan</x:v>
      </x:c>
      <x:c r="B526" s="51" t="str">
        <x:v>F</x:v>
      </x:c>
      <x:c r="C526" s="51" t="n">
        <x:v>2</x:v>
      </x:c>
      <x:c r="D526" s="71" t="str"/>
      <x:c r="E526" s="51" t="str">
        <x:v>GK</x:v>
      </x:c>
      <x:c r="F526" s="51" t="str">
        <x:v>GK</x:v>
      </x:c>
      <x:c r="G526" s="51" t="str">
        <x:v>Starter</x:v>
      </x:c>
      <x:c r="H526" s="55" t="n">
        <x:v>1</x:v>
      </x:c>
      <x:c r="I526" s="51" t="str"/>
      <x:c r="J526" s="72" t="str"/>
      <x:c r="K526" s="72" t="str"/>
      <x:c r="L526" s="72" t="str"/>
      <x:c r="M526" s="72" t="str"/>
      <x:c r="N526" s="72" t="str"/>
      <x:c r="O526" s="72" t="str"/>
      <x:c r="P526" s="72" t="str">
        <x:v>Available</x:v>
      </x:c>
      <x:c r="Q526" s="72" t="n">
        <x:v>0</x:v>
      </x:c>
      <x:c r="R526" s="55" t="str">
        <x:f>IF($D526="","",ROUND(MAX(0,MIN(100,0.35*$J526+0.2*$K526+0.15*$L526+0.15*$M526+0.1*$N526+0.05*$O526-IF(OR($P526="Out",$P526="Suspended"),$Q526,IF($P526="Doubtful",$Q526*0.5,IF($P526="Limited",$Q526*0.25,0))))),2))</x:f>
      </x:c>
      <x:c r="S526" s="55" t="n">
        <x:f>IF($D526="",0,ROUND(IF(OR($P526="Out",$P526="Suspended"),$Q526*$H526,IF($P526="Doubtful",$Q526*$H526*0.5,IF($P526="Limited",$Q526*$H526*0.25,0))),2))</x:f>
        <x:v>0</x:v>
      </x:c>
      <x:c r="T526" s="55" t="str"/>
      <x:c r="U526" s="51" t="str"/>
    </x:row>
    <x:row r="527">
      <x:c r="A527" s="51" t="str">
        <x:v>Japan</x:v>
      </x:c>
      <x:c r="B527" s="51" t="str">
        <x:v>F</x:v>
      </x:c>
      <x:c r="C527" s="51" t="n">
        <x:v>3</x:v>
      </x:c>
      <x:c r="D527" s="71" t="str"/>
      <x:c r="E527" s="51" t="str">
        <x:v>GK</x:v>
      </x:c>
      <x:c r="F527" s="51" t="str">
        <x:v>GK</x:v>
      </x:c>
      <x:c r="G527" s="51" t="str">
        <x:v>Starter</x:v>
      </x:c>
      <x:c r="H527" s="55" t="n">
        <x:v>1</x:v>
      </x:c>
      <x:c r="I527" s="51" t="str"/>
      <x:c r="J527" s="72" t="str"/>
      <x:c r="K527" s="72" t="str"/>
      <x:c r="L527" s="72" t="str"/>
      <x:c r="M527" s="72" t="str"/>
      <x:c r="N527" s="72" t="str"/>
      <x:c r="O527" s="72" t="str"/>
      <x:c r="P527" s="72" t="str">
        <x:v>Available</x:v>
      </x:c>
      <x:c r="Q527" s="72" t="n">
        <x:v>0</x:v>
      </x:c>
      <x:c r="R527" s="55" t="str">
        <x:f>IF($D527="","",ROUND(MAX(0,MIN(100,0.35*$J527+0.2*$K527+0.15*$L527+0.15*$M527+0.1*$N527+0.05*$O527-IF(OR($P527="Out",$P527="Suspended"),$Q527,IF($P527="Doubtful",$Q527*0.5,IF($P527="Limited",$Q527*0.25,0))))),2))</x:f>
      </x:c>
      <x:c r="S527" s="55" t="n">
        <x:f>IF($D527="",0,ROUND(IF(OR($P527="Out",$P527="Suspended"),$Q527*$H527,IF($P527="Doubtful",$Q527*$H527*0.5,IF($P527="Limited",$Q527*$H527*0.25,0))),2))</x:f>
        <x:v>0</x:v>
      </x:c>
      <x:c r="T527" s="55" t="str"/>
      <x:c r="U527" s="51" t="str"/>
    </x:row>
    <x:row r="528">
      <x:c r="A528" s="51" t="str">
        <x:v>Japan</x:v>
      </x:c>
      <x:c r="B528" s="51" t="str">
        <x:v>F</x:v>
      </x:c>
      <x:c r="C528" s="51" t="n">
        <x:v>4</x:v>
      </x:c>
      <x:c r="D528" s="71" t="str"/>
      <x:c r="E528" s="51" t="str">
        <x:v>CB</x:v>
      </x:c>
      <x:c r="F528" s="51" t="str">
        <x:v>Defence</x:v>
      </x:c>
      <x:c r="G528" s="51" t="str">
        <x:v>Starter</x:v>
      </x:c>
      <x:c r="H528" s="55" t="n">
        <x:v>1</x:v>
      </x:c>
      <x:c r="I528" s="51" t="str"/>
      <x:c r="J528" s="72" t="str"/>
      <x:c r="K528" s="72" t="str"/>
      <x:c r="L528" s="72" t="str"/>
      <x:c r="M528" s="72" t="str"/>
      <x:c r="N528" s="72" t="str"/>
      <x:c r="O528" s="72" t="str"/>
      <x:c r="P528" s="72" t="str">
        <x:v>Available</x:v>
      </x:c>
      <x:c r="Q528" s="72" t="n">
        <x:v>0</x:v>
      </x:c>
      <x:c r="R528" s="55" t="str">
        <x:f>IF($D528="","",ROUND(MAX(0,MIN(100,0.35*$J528+0.2*$K528+0.15*$L528+0.15*$M528+0.1*$N528+0.05*$O528-IF(OR($P528="Out",$P528="Suspended"),$Q528,IF($P528="Doubtful",$Q528*0.5,IF($P528="Limited",$Q528*0.25,0))))),2))</x:f>
      </x:c>
      <x:c r="S528" s="55" t="n">
        <x:f>IF($D528="",0,ROUND(IF(OR($P528="Out",$P528="Suspended"),$Q528*$H528,IF($P528="Doubtful",$Q528*$H528*0.5,IF($P528="Limited",$Q528*$H528*0.25,0))),2))</x:f>
        <x:v>0</x:v>
      </x:c>
      <x:c r="T528" s="55" t="str"/>
      <x:c r="U528" s="51" t="str"/>
    </x:row>
    <x:row r="529">
      <x:c r="A529" s="51" t="str">
        <x:v>Japan</x:v>
      </x:c>
      <x:c r="B529" s="51" t="str">
        <x:v>F</x:v>
      </x:c>
      <x:c r="C529" s="51" t="n">
        <x:v>5</x:v>
      </x:c>
      <x:c r="D529" s="71" t="str"/>
      <x:c r="E529" s="51" t="str">
        <x:v>CB</x:v>
      </x:c>
      <x:c r="F529" s="51" t="str">
        <x:v>Defence</x:v>
      </x:c>
      <x:c r="G529" s="51" t="str">
        <x:v>Starter</x:v>
      </x:c>
      <x:c r="H529" s="55" t="n">
        <x:v>1</x:v>
      </x:c>
      <x:c r="I529" s="51" t="str"/>
      <x:c r="J529" s="72" t="str"/>
      <x:c r="K529" s="72" t="str"/>
      <x:c r="L529" s="72" t="str"/>
      <x:c r="M529" s="72" t="str"/>
      <x:c r="N529" s="72" t="str"/>
      <x:c r="O529" s="72" t="str"/>
      <x:c r="P529" s="72" t="str">
        <x:v>Available</x:v>
      </x:c>
      <x:c r="Q529" s="72" t="n">
        <x:v>0</x:v>
      </x:c>
      <x:c r="R529" s="55" t="str">
        <x:f>IF($D529="","",ROUND(MAX(0,MIN(100,0.35*$J529+0.2*$K529+0.15*$L529+0.15*$M529+0.1*$N529+0.05*$O529-IF(OR($P529="Out",$P529="Suspended"),$Q529,IF($P529="Doubtful",$Q529*0.5,IF($P529="Limited",$Q529*0.25,0))))),2))</x:f>
      </x:c>
      <x:c r="S529" s="55" t="n">
        <x:f>IF($D529="",0,ROUND(IF(OR($P529="Out",$P529="Suspended"),$Q529*$H529,IF($P529="Doubtful",$Q529*$H529*0.5,IF($P529="Limited",$Q529*$H529*0.25,0))),2))</x:f>
        <x:v>0</x:v>
      </x:c>
      <x:c r="T529" s="55" t="str"/>
      <x:c r="U529" s="51" t="str"/>
    </x:row>
    <x:row r="530">
      <x:c r="A530" s="51" t="str">
        <x:v>Japan</x:v>
      </x:c>
      <x:c r="B530" s="51" t="str">
        <x:v>F</x:v>
      </x:c>
      <x:c r="C530" s="51" t="n">
        <x:v>6</x:v>
      </x:c>
      <x:c r="D530" s="71" t="str"/>
      <x:c r="E530" s="51" t="str">
        <x:v>CB</x:v>
      </x:c>
      <x:c r="F530" s="51" t="str">
        <x:v>Defence</x:v>
      </x:c>
      <x:c r="G530" s="51" t="str">
        <x:v>Starter</x:v>
      </x:c>
      <x:c r="H530" s="55" t="n">
        <x:v>1</x:v>
      </x:c>
      <x:c r="I530" s="51" t="str"/>
      <x:c r="J530" s="72" t="str"/>
      <x:c r="K530" s="72" t="str"/>
      <x:c r="L530" s="72" t="str"/>
      <x:c r="M530" s="72" t="str"/>
      <x:c r="N530" s="72" t="str"/>
      <x:c r="O530" s="72" t="str"/>
      <x:c r="P530" s="72" t="str">
        <x:v>Available</x:v>
      </x:c>
      <x:c r="Q530" s="72" t="n">
        <x:v>0</x:v>
      </x:c>
      <x:c r="R530" s="55" t="str">
        <x:f>IF($D530="","",ROUND(MAX(0,MIN(100,0.35*$J530+0.2*$K530+0.15*$L530+0.15*$M530+0.1*$N530+0.05*$O530-IF(OR($P530="Out",$P530="Suspended"),$Q530,IF($P530="Doubtful",$Q530*0.5,IF($P530="Limited",$Q530*0.25,0))))),2))</x:f>
      </x:c>
      <x:c r="S530" s="55" t="n">
        <x:f>IF($D530="",0,ROUND(IF(OR($P530="Out",$P530="Suspended"),$Q530*$H530,IF($P530="Doubtful",$Q530*$H530*0.5,IF($P530="Limited",$Q530*$H530*0.25,0))),2))</x:f>
        <x:v>0</x:v>
      </x:c>
      <x:c r="T530" s="55" t="str"/>
      <x:c r="U530" s="51" t="str"/>
    </x:row>
    <x:row r="531">
      <x:c r="A531" s="51" t="str">
        <x:v>Japan</x:v>
      </x:c>
      <x:c r="B531" s="51" t="str">
        <x:v>F</x:v>
      </x:c>
      <x:c r="C531" s="51" t="n">
        <x:v>7</x:v>
      </x:c>
      <x:c r="D531" s="71" t="str"/>
      <x:c r="E531" s="51" t="str">
        <x:v>FB</x:v>
      </x:c>
      <x:c r="F531" s="51" t="str">
        <x:v>Defence</x:v>
      </x:c>
      <x:c r="G531" s="51" t="str">
        <x:v>Starter</x:v>
      </x:c>
      <x:c r="H531" s="55" t="n">
        <x:v>1</x:v>
      </x:c>
      <x:c r="I531" s="51" t="str"/>
      <x:c r="J531" s="72" t="str"/>
      <x:c r="K531" s="72" t="str"/>
      <x:c r="L531" s="72" t="str"/>
      <x:c r="M531" s="72" t="str"/>
      <x:c r="N531" s="72" t="str"/>
      <x:c r="O531" s="72" t="str"/>
      <x:c r="P531" s="72" t="str">
        <x:v>Available</x:v>
      </x:c>
      <x:c r="Q531" s="72" t="n">
        <x:v>0</x:v>
      </x:c>
      <x:c r="R531" s="55" t="str">
        <x:f>IF($D531="","",ROUND(MAX(0,MIN(100,0.35*$J531+0.2*$K531+0.15*$L531+0.15*$M531+0.1*$N531+0.05*$O531-IF(OR($P531="Out",$P531="Suspended"),$Q531,IF($P531="Doubtful",$Q531*0.5,IF($P531="Limited",$Q531*0.25,0))))),2))</x:f>
      </x:c>
      <x:c r="S531" s="55" t="n">
        <x:f>IF($D531="",0,ROUND(IF(OR($P531="Out",$P531="Suspended"),$Q531*$H531,IF($P531="Doubtful",$Q531*$H531*0.5,IF($P531="Limited",$Q531*$H531*0.25,0))),2))</x:f>
        <x:v>0</x:v>
      </x:c>
      <x:c r="T531" s="55" t="str"/>
      <x:c r="U531" s="51" t="str"/>
    </x:row>
    <x:row r="532">
      <x:c r="A532" s="51" t="str">
        <x:v>Japan</x:v>
      </x:c>
      <x:c r="B532" s="51" t="str">
        <x:v>F</x:v>
      </x:c>
      <x:c r="C532" s="51" t="n">
        <x:v>8</x:v>
      </x:c>
      <x:c r="D532" s="71" t="str"/>
      <x:c r="E532" s="51" t="str">
        <x:v>FB</x:v>
      </x:c>
      <x:c r="F532" s="51" t="str">
        <x:v>Defence</x:v>
      </x:c>
      <x:c r="G532" s="51" t="str">
        <x:v>Starter</x:v>
      </x:c>
      <x:c r="H532" s="55" t="n">
        <x:v>1</x:v>
      </x:c>
      <x:c r="I532" s="51" t="str"/>
      <x:c r="J532" s="72" t="str"/>
      <x:c r="K532" s="72" t="str"/>
      <x:c r="L532" s="72" t="str"/>
      <x:c r="M532" s="72" t="str"/>
      <x:c r="N532" s="72" t="str"/>
      <x:c r="O532" s="72" t="str"/>
      <x:c r="P532" s="72" t="str">
        <x:v>Available</x:v>
      </x:c>
      <x:c r="Q532" s="72" t="n">
        <x:v>0</x:v>
      </x:c>
      <x:c r="R532" s="55" t="str">
        <x:f>IF($D532="","",ROUND(MAX(0,MIN(100,0.35*$J532+0.2*$K532+0.15*$L532+0.15*$M532+0.1*$N532+0.05*$O532-IF(OR($P532="Out",$P532="Suspended"),$Q532,IF($P532="Doubtful",$Q532*0.5,IF($P532="Limited",$Q532*0.25,0))))),2))</x:f>
      </x:c>
      <x:c r="S532" s="55" t="n">
        <x:f>IF($D532="",0,ROUND(IF(OR($P532="Out",$P532="Suspended"),$Q532*$H532,IF($P532="Doubtful",$Q532*$H532*0.5,IF($P532="Limited",$Q532*$H532*0.25,0))),2))</x:f>
        <x:v>0</x:v>
      </x:c>
      <x:c r="T532" s="55" t="str"/>
      <x:c r="U532" s="51" t="str"/>
    </x:row>
    <x:row r="533">
      <x:c r="A533" s="51" t="str">
        <x:v>Japan</x:v>
      </x:c>
      <x:c r="B533" s="51" t="str">
        <x:v>F</x:v>
      </x:c>
      <x:c r="C533" s="51" t="n">
        <x:v>9</x:v>
      </x:c>
      <x:c r="D533" s="71" t="str"/>
      <x:c r="E533" s="51" t="str">
        <x:v>DM</x:v>
      </x:c>
      <x:c r="F533" s="51" t="str">
        <x:v>Midfield</x:v>
      </x:c>
      <x:c r="G533" s="51" t="str">
        <x:v>Starter</x:v>
      </x:c>
      <x:c r="H533" s="55" t="n">
        <x:v>1</x:v>
      </x:c>
      <x:c r="I533" s="51" t="str"/>
      <x:c r="J533" s="72" t="str"/>
      <x:c r="K533" s="72" t="str"/>
      <x:c r="L533" s="72" t="str"/>
      <x:c r="M533" s="72" t="str"/>
      <x:c r="N533" s="72" t="str"/>
      <x:c r="O533" s="72" t="str"/>
      <x:c r="P533" s="72" t="str">
        <x:v>Available</x:v>
      </x:c>
      <x:c r="Q533" s="72" t="n">
        <x:v>0</x:v>
      </x:c>
      <x:c r="R533" s="55" t="str">
        <x:f>IF($D533="","",ROUND(MAX(0,MIN(100,0.35*$J533+0.2*$K533+0.15*$L533+0.15*$M533+0.1*$N533+0.05*$O533-IF(OR($P533="Out",$P533="Suspended"),$Q533,IF($P533="Doubtful",$Q533*0.5,IF($P533="Limited",$Q533*0.25,0))))),2))</x:f>
      </x:c>
      <x:c r="S533" s="55" t="n">
        <x:f>IF($D533="",0,ROUND(IF(OR($P533="Out",$P533="Suspended"),$Q533*$H533,IF($P533="Doubtful",$Q533*$H533*0.5,IF($P533="Limited",$Q533*$H533*0.25,0))),2))</x:f>
        <x:v>0</x:v>
      </x:c>
      <x:c r="T533" s="55" t="str"/>
      <x:c r="U533" s="51" t="str"/>
    </x:row>
    <x:row r="534">
      <x:c r="A534" s="51" t="str">
        <x:v>Japan</x:v>
      </x:c>
      <x:c r="B534" s="51" t="str">
        <x:v>F</x:v>
      </x:c>
      <x:c r="C534" s="51" t="n">
        <x:v>10</x:v>
      </x:c>
      <x:c r="D534" s="71" t="str"/>
      <x:c r="E534" s="51" t="str">
        <x:v>DM</x:v>
      </x:c>
      <x:c r="F534" s="51" t="str">
        <x:v>Midfield</x:v>
      </x:c>
      <x:c r="G534" s="51" t="str">
        <x:v>Starter</x:v>
      </x:c>
      <x:c r="H534" s="55" t="n">
        <x:v>1</x:v>
      </x:c>
      <x:c r="I534" s="51" t="str"/>
      <x:c r="J534" s="72" t="str"/>
      <x:c r="K534" s="72" t="str"/>
      <x:c r="L534" s="72" t="str"/>
      <x:c r="M534" s="72" t="str"/>
      <x:c r="N534" s="72" t="str"/>
      <x:c r="O534" s="72" t="str"/>
      <x:c r="P534" s="72" t="str">
        <x:v>Available</x:v>
      </x:c>
      <x:c r="Q534" s="72" t="n">
        <x:v>0</x:v>
      </x:c>
      <x:c r="R534" s="55" t="str">
        <x:f>IF($D534="","",ROUND(MAX(0,MIN(100,0.35*$J534+0.2*$K534+0.15*$L534+0.15*$M534+0.1*$N534+0.05*$O534-IF(OR($P534="Out",$P534="Suspended"),$Q534,IF($P534="Doubtful",$Q534*0.5,IF($P534="Limited",$Q534*0.25,0))))),2))</x:f>
      </x:c>
      <x:c r="S534" s="55" t="n">
        <x:f>IF($D534="",0,ROUND(IF(OR($P534="Out",$P534="Suspended"),$Q534*$H534,IF($P534="Doubtful",$Q534*$H534*0.5,IF($P534="Limited",$Q534*$H534*0.25,0))),2))</x:f>
        <x:v>0</x:v>
      </x:c>
      <x:c r="T534" s="55" t="str"/>
      <x:c r="U534" s="51" t="str"/>
    </x:row>
    <x:row r="535">
      <x:c r="A535" s="51" t="str">
        <x:v>Japan</x:v>
      </x:c>
      <x:c r="B535" s="51" t="str">
        <x:v>F</x:v>
      </x:c>
      <x:c r="C535" s="51" t="n">
        <x:v>11</x:v>
      </x:c>
      <x:c r="D535" s="71" t="str"/>
      <x:c r="E535" s="51" t="str">
        <x:v>DM</x:v>
      </x:c>
      <x:c r="F535" s="51" t="str">
        <x:v>Midfield</x:v>
      </x:c>
      <x:c r="G535" s="51" t="str">
        <x:v>Starter</x:v>
      </x:c>
      <x:c r="H535" s="55" t="n">
        <x:v>1</x:v>
      </x:c>
      <x:c r="I535" s="51" t="str"/>
      <x:c r="J535" s="72" t="str"/>
      <x:c r="K535" s="72" t="str"/>
      <x:c r="L535" s="72" t="str"/>
      <x:c r="M535" s="72" t="str"/>
      <x:c r="N535" s="72" t="str"/>
      <x:c r="O535" s="72" t="str"/>
      <x:c r="P535" s="72" t="str">
        <x:v>Available</x:v>
      </x:c>
      <x:c r="Q535" s="72" t="n">
        <x:v>0</x:v>
      </x:c>
      <x:c r="R535" s="55" t="str">
        <x:f>IF($D535="","",ROUND(MAX(0,MIN(100,0.35*$J535+0.2*$K535+0.15*$L535+0.15*$M535+0.1*$N535+0.05*$O535-IF(OR($P535="Out",$P535="Suspended"),$Q535,IF($P535="Doubtful",$Q535*0.5,IF($P535="Limited",$Q535*0.25,0))))),2))</x:f>
      </x:c>
      <x:c r="S535" s="55" t="n">
        <x:f>IF($D535="",0,ROUND(IF(OR($P535="Out",$P535="Suspended"),$Q535*$H535,IF($P535="Doubtful",$Q535*$H535*0.5,IF($P535="Limited",$Q535*$H535*0.25,0))),2))</x:f>
        <x:v>0</x:v>
      </x:c>
      <x:c r="T535" s="55" t="str"/>
      <x:c r="U535" s="51" t="str"/>
    </x:row>
    <x:row r="536">
      <x:c r="A536" s="51" t="str">
        <x:v>Japan</x:v>
      </x:c>
      <x:c r="B536" s="51" t="str">
        <x:v>F</x:v>
      </x:c>
      <x:c r="C536" s="51" t="n">
        <x:v>12</x:v>
      </x:c>
      <x:c r="D536" s="71" t="str"/>
      <x:c r="E536" s="51" t="str">
        <x:v>CM</x:v>
      </x:c>
      <x:c r="F536" s="51" t="str">
        <x:v>Midfield</x:v>
      </x:c>
      <x:c r="G536" s="51" t="str">
        <x:v>Rotation</x:v>
      </x:c>
      <x:c r="H536" s="55" t="n">
        <x:v>0.35</x:v>
      </x:c>
      <x:c r="I536" s="51" t="str"/>
      <x:c r="J536" s="72" t="str"/>
      <x:c r="K536" s="72" t="str"/>
      <x:c r="L536" s="72" t="str"/>
      <x:c r="M536" s="72" t="str"/>
      <x:c r="N536" s="72" t="str"/>
      <x:c r="O536" s="72" t="str"/>
      <x:c r="P536" s="72" t="str">
        <x:v>Available</x:v>
      </x:c>
      <x:c r="Q536" s="72" t="n">
        <x:v>0</x:v>
      </x:c>
      <x:c r="R536" s="55" t="str">
        <x:f>IF($D536="","",ROUND(MAX(0,MIN(100,0.35*$J536+0.2*$K536+0.15*$L536+0.15*$M536+0.1*$N536+0.05*$O536-IF(OR($P536="Out",$P536="Suspended"),$Q536,IF($P536="Doubtful",$Q536*0.5,IF($P536="Limited",$Q536*0.25,0))))),2))</x:f>
      </x:c>
      <x:c r="S536" s="55" t="n">
        <x:f>IF($D536="",0,ROUND(IF(OR($P536="Out",$P536="Suspended"),$Q536*$H536,IF($P536="Doubtful",$Q536*$H536*0.5,IF($P536="Limited",$Q536*$H536*0.25,0))),2))</x:f>
        <x:v>0</x:v>
      </x:c>
      <x:c r="T536" s="55" t="str"/>
      <x:c r="U536" s="51" t="str"/>
    </x:row>
    <x:row r="537">
      <x:c r="A537" s="51" t="str">
        <x:v>Japan</x:v>
      </x:c>
      <x:c r="B537" s="51" t="str">
        <x:v>F</x:v>
      </x:c>
      <x:c r="C537" s="51" t="n">
        <x:v>13</x:v>
      </x:c>
      <x:c r="D537" s="71" t="str"/>
      <x:c r="E537" s="51" t="str">
        <x:v>CM</x:v>
      </x:c>
      <x:c r="F537" s="51" t="str">
        <x:v>Midfield</x:v>
      </x:c>
      <x:c r="G537" s="51" t="str">
        <x:v>Rotation</x:v>
      </x:c>
      <x:c r="H537" s="55" t="n">
        <x:v>0.35</x:v>
      </x:c>
      <x:c r="I537" s="51" t="str"/>
      <x:c r="J537" s="72" t="str"/>
      <x:c r="K537" s="72" t="str"/>
      <x:c r="L537" s="72" t="str"/>
      <x:c r="M537" s="72" t="str"/>
      <x:c r="N537" s="72" t="str"/>
      <x:c r="O537" s="72" t="str"/>
      <x:c r="P537" s="72" t="str">
        <x:v>Available</x:v>
      </x:c>
      <x:c r="Q537" s="72" t="n">
        <x:v>0</x:v>
      </x:c>
      <x:c r="R537" s="55" t="str">
        <x:f>IF($D537="","",ROUND(MAX(0,MIN(100,0.35*$J537+0.2*$K537+0.15*$L537+0.15*$M537+0.1*$N537+0.05*$O537-IF(OR($P537="Out",$P537="Suspended"),$Q537,IF($P537="Doubtful",$Q537*0.5,IF($P537="Limited",$Q537*0.25,0))))),2))</x:f>
      </x:c>
      <x:c r="S537" s="55" t="n">
        <x:f>IF($D537="",0,ROUND(IF(OR($P537="Out",$P537="Suspended"),$Q537*$H537,IF($P537="Doubtful",$Q537*$H537*0.5,IF($P537="Limited",$Q537*$H537*0.25,0))),2))</x:f>
        <x:v>0</x:v>
      </x:c>
      <x:c r="T537" s="55" t="str"/>
      <x:c r="U537" s="51" t="str"/>
    </x:row>
    <x:row r="538">
      <x:c r="A538" s="51" t="str">
        <x:v>Japan</x:v>
      </x:c>
      <x:c r="B538" s="51" t="str">
        <x:v>F</x:v>
      </x:c>
      <x:c r="C538" s="51" t="n">
        <x:v>14</x:v>
      </x:c>
      <x:c r="D538" s="71" t="str"/>
      <x:c r="E538" s="51" t="str">
        <x:v>CM</x:v>
      </x:c>
      <x:c r="F538" s="51" t="str">
        <x:v>Midfield</x:v>
      </x:c>
      <x:c r="G538" s="51" t="str">
        <x:v>Rotation</x:v>
      </x:c>
      <x:c r="H538" s="55" t="n">
        <x:v>0.35</x:v>
      </x:c>
      <x:c r="I538" s="51" t="str"/>
      <x:c r="J538" s="72" t="str"/>
      <x:c r="K538" s="72" t="str"/>
      <x:c r="L538" s="72" t="str"/>
      <x:c r="M538" s="72" t="str"/>
      <x:c r="N538" s="72" t="str"/>
      <x:c r="O538" s="72" t="str"/>
      <x:c r="P538" s="72" t="str">
        <x:v>Available</x:v>
      </x:c>
      <x:c r="Q538" s="72" t="n">
        <x:v>0</x:v>
      </x:c>
      <x:c r="R538" s="55" t="str">
        <x:f>IF($D538="","",ROUND(MAX(0,MIN(100,0.35*$J538+0.2*$K538+0.15*$L538+0.15*$M538+0.1*$N538+0.05*$O538-IF(OR($P538="Out",$P538="Suspended"),$Q538,IF($P538="Doubtful",$Q538*0.5,IF($P538="Limited",$Q538*0.25,0))))),2))</x:f>
      </x:c>
      <x:c r="S538" s="55" t="n">
        <x:f>IF($D538="",0,ROUND(IF(OR($P538="Out",$P538="Suspended"),$Q538*$H538,IF($P538="Doubtful",$Q538*$H538*0.5,IF($P538="Limited",$Q538*$H538*0.25,0))),2))</x:f>
        <x:v>0</x:v>
      </x:c>
      <x:c r="T538" s="55" t="str"/>
      <x:c r="U538" s="51" t="str"/>
    </x:row>
    <x:row r="539">
      <x:c r="A539" s="51" t="str">
        <x:v>Japan</x:v>
      </x:c>
      <x:c r="B539" s="51" t="str">
        <x:v>F</x:v>
      </x:c>
      <x:c r="C539" s="51" t="n">
        <x:v>15</x:v>
      </x:c>
      <x:c r="D539" s="71" t="str"/>
      <x:c r="E539" s="51" t="str">
        <x:v>CM</x:v>
      </x:c>
      <x:c r="F539" s="51" t="str">
        <x:v>Midfield</x:v>
      </x:c>
      <x:c r="G539" s="51" t="str">
        <x:v>Rotation</x:v>
      </x:c>
      <x:c r="H539" s="55" t="n">
        <x:v>0.35</x:v>
      </x:c>
      <x:c r="I539" s="51" t="str"/>
      <x:c r="J539" s="72" t="str"/>
      <x:c r="K539" s="72" t="str"/>
      <x:c r="L539" s="72" t="str"/>
      <x:c r="M539" s="72" t="str"/>
      <x:c r="N539" s="72" t="str"/>
      <x:c r="O539" s="72" t="str"/>
      <x:c r="P539" s="72" t="str">
        <x:v>Available</x:v>
      </x:c>
      <x:c r="Q539" s="72" t="n">
        <x:v>0</x:v>
      </x:c>
      <x:c r="R539" s="55" t="str">
        <x:f>IF($D539="","",ROUND(MAX(0,MIN(100,0.35*$J539+0.2*$K539+0.15*$L539+0.15*$M539+0.1*$N539+0.05*$O539-IF(OR($P539="Out",$P539="Suspended"),$Q539,IF($P539="Doubtful",$Q539*0.5,IF($P539="Limited",$Q539*0.25,0))))),2))</x:f>
      </x:c>
      <x:c r="S539" s="55" t="n">
        <x:f>IF($D539="",0,ROUND(IF(OR($P539="Out",$P539="Suspended"),$Q539*$H539,IF($P539="Doubtful",$Q539*$H539*0.5,IF($P539="Limited",$Q539*$H539*0.25,0))),2))</x:f>
        <x:v>0</x:v>
      </x:c>
      <x:c r="T539" s="55" t="str"/>
      <x:c r="U539" s="51" t="str"/>
    </x:row>
    <x:row r="540">
      <x:c r="A540" s="51" t="str">
        <x:v>Japan</x:v>
      </x:c>
      <x:c r="B540" s="51" t="str">
        <x:v>F</x:v>
      </x:c>
      <x:c r="C540" s="51" t="n">
        <x:v>16</x:v>
      </x:c>
      <x:c r="D540" s="71" t="str"/>
      <x:c r="E540" s="51" t="str">
        <x:v>AM</x:v>
      </x:c>
      <x:c r="F540" s="51" t="str">
        <x:v>Attack</x:v>
      </x:c>
      <x:c r="G540" s="51" t="str">
        <x:v>Rotation</x:v>
      </x:c>
      <x:c r="H540" s="55" t="n">
        <x:v>0.35</x:v>
      </x:c>
      <x:c r="I540" s="51" t="str"/>
      <x:c r="J540" s="72" t="str"/>
      <x:c r="K540" s="72" t="str"/>
      <x:c r="L540" s="72" t="str"/>
      <x:c r="M540" s="72" t="str"/>
      <x:c r="N540" s="72" t="str"/>
      <x:c r="O540" s="72" t="str"/>
      <x:c r="P540" s="72" t="str">
        <x:v>Available</x:v>
      </x:c>
      <x:c r="Q540" s="72" t="n">
        <x:v>0</x:v>
      </x:c>
      <x:c r="R540" s="55" t="str">
        <x:f>IF($D540="","",ROUND(MAX(0,MIN(100,0.35*$J540+0.2*$K540+0.15*$L540+0.15*$M540+0.1*$N540+0.05*$O540-IF(OR($P540="Out",$P540="Suspended"),$Q540,IF($P540="Doubtful",$Q540*0.5,IF($P540="Limited",$Q540*0.25,0))))),2))</x:f>
      </x:c>
      <x:c r="S540" s="55" t="n">
        <x:f>IF($D540="",0,ROUND(IF(OR($P540="Out",$P540="Suspended"),$Q540*$H540,IF($P540="Doubtful",$Q540*$H540*0.5,IF($P540="Limited",$Q540*$H540*0.25,0))),2))</x:f>
        <x:v>0</x:v>
      </x:c>
      <x:c r="T540" s="55" t="str"/>
      <x:c r="U540" s="51" t="str"/>
    </x:row>
    <x:row r="541">
      <x:c r="A541" s="51" t="str">
        <x:v>Japan</x:v>
      </x:c>
      <x:c r="B541" s="51" t="str">
        <x:v>F</x:v>
      </x:c>
      <x:c r="C541" s="51" t="n">
        <x:v>17</x:v>
      </x:c>
      <x:c r="D541" s="71" t="str"/>
      <x:c r="E541" s="51" t="str">
        <x:v>AM</x:v>
      </x:c>
      <x:c r="F541" s="51" t="str">
        <x:v>Attack</x:v>
      </x:c>
      <x:c r="G541" s="51" t="str">
        <x:v>Rotation</x:v>
      </x:c>
      <x:c r="H541" s="55" t="n">
        <x:v>0.35</x:v>
      </x:c>
      <x:c r="I541" s="51" t="str"/>
      <x:c r="J541" s="72" t="str"/>
      <x:c r="K541" s="72" t="str"/>
      <x:c r="L541" s="72" t="str"/>
      <x:c r="M541" s="72" t="str"/>
      <x:c r="N541" s="72" t="str"/>
      <x:c r="O541" s="72" t="str"/>
      <x:c r="P541" s="72" t="str">
        <x:v>Available</x:v>
      </x:c>
      <x:c r="Q541" s="72" t="n">
        <x:v>0</x:v>
      </x:c>
      <x:c r="R541" s="55" t="str">
        <x:f>IF($D541="","",ROUND(MAX(0,MIN(100,0.35*$J541+0.2*$K541+0.15*$L541+0.15*$M541+0.1*$N541+0.05*$O541-IF(OR($P541="Out",$P541="Suspended"),$Q541,IF($P541="Doubtful",$Q541*0.5,IF($P541="Limited",$Q541*0.25,0))))),2))</x:f>
      </x:c>
      <x:c r="S541" s="55" t="n">
        <x:f>IF($D541="",0,ROUND(IF(OR($P541="Out",$P541="Suspended"),$Q541*$H541,IF($P541="Doubtful",$Q541*$H541*0.5,IF($P541="Limited",$Q541*$H541*0.25,0))),2))</x:f>
        <x:v>0</x:v>
      </x:c>
      <x:c r="T541" s="55" t="str"/>
      <x:c r="U541" s="51" t="str"/>
    </x:row>
    <x:row r="542">
      <x:c r="A542" s="51" t="str">
        <x:v>Japan</x:v>
      </x:c>
      <x:c r="B542" s="51" t="str">
        <x:v>F</x:v>
      </x:c>
      <x:c r="C542" s="51" t="n">
        <x:v>18</x:v>
      </x:c>
      <x:c r="D542" s="71" t="str"/>
      <x:c r="E542" s="51" t="str">
        <x:v>AM</x:v>
      </x:c>
      <x:c r="F542" s="51" t="str">
        <x:v>Attack</x:v>
      </x:c>
      <x:c r="G542" s="51" t="str">
        <x:v>Rotation</x:v>
      </x:c>
      <x:c r="H542" s="55" t="n">
        <x:v>0.35</x:v>
      </x:c>
      <x:c r="I542" s="51" t="str"/>
      <x:c r="J542" s="72" t="str"/>
      <x:c r="K542" s="72" t="str"/>
      <x:c r="L542" s="72" t="str"/>
      <x:c r="M542" s="72" t="str"/>
      <x:c r="N542" s="72" t="str"/>
      <x:c r="O542" s="72" t="str"/>
      <x:c r="P542" s="72" t="str">
        <x:v>Available</x:v>
      </x:c>
      <x:c r="Q542" s="72" t="n">
        <x:v>0</x:v>
      </x:c>
      <x:c r="R542" s="55" t="str">
        <x:f>IF($D542="","",ROUND(MAX(0,MIN(100,0.35*$J542+0.2*$K542+0.15*$L542+0.15*$M542+0.1*$N542+0.05*$O542-IF(OR($P542="Out",$P542="Suspended"),$Q542,IF($P542="Doubtful",$Q542*0.5,IF($P542="Limited",$Q542*0.25,0))))),2))</x:f>
      </x:c>
      <x:c r="S542" s="55" t="n">
        <x:f>IF($D542="",0,ROUND(IF(OR($P542="Out",$P542="Suspended"),$Q542*$H542,IF($P542="Doubtful",$Q542*$H542*0.5,IF($P542="Limited",$Q542*$H542*0.25,0))),2))</x:f>
        <x:v>0</x:v>
      </x:c>
      <x:c r="T542" s="55" t="str"/>
      <x:c r="U542" s="51" t="str"/>
    </x:row>
    <x:row r="543">
      <x:c r="A543" s="51" t="str">
        <x:v>Japan</x:v>
      </x:c>
      <x:c r="B543" s="51" t="str">
        <x:v>F</x:v>
      </x:c>
      <x:c r="C543" s="51" t="n">
        <x:v>19</x:v>
      </x:c>
      <x:c r="D543" s="71" t="str"/>
      <x:c r="E543" s="51" t="str">
        <x:v>AM</x:v>
      </x:c>
      <x:c r="F543" s="51" t="str">
        <x:v>Attack</x:v>
      </x:c>
      <x:c r="G543" s="51" t="str">
        <x:v>Rotation</x:v>
      </x:c>
      <x:c r="H543" s="55" t="n">
        <x:v>0.35</x:v>
      </x:c>
      <x:c r="I543" s="51" t="str"/>
      <x:c r="J543" s="72" t="str"/>
      <x:c r="K543" s="72" t="str"/>
      <x:c r="L543" s="72" t="str"/>
      <x:c r="M543" s="72" t="str"/>
      <x:c r="N543" s="72" t="str"/>
      <x:c r="O543" s="72" t="str"/>
      <x:c r="P543" s="72" t="str">
        <x:v>Available</x:v>
      </x:c>
      <x:c r="Q543" s="72" t="n">
        <x:v>0</x:v>
      </x:c>
      <x:c r="R543" s="55" t="str">
        <x:f>IF($D543="","",ROUND(MAX(0,MIN(100,0.35*$J543+0.2*$K543+0.15*$L543+0.15*$M543+0.1*$N543+0.05*$O543-IF(OR($P543="Out",$P543="Suspended"),$Q543,IF($P543="Doubtful",$Q543*0.5,IF($P543="Limited",$Q543*0.25,0))))),2))</x:f>
      </x:c>
      <x:c r="S543" s="55" t="n">
        <x:f>IF($D543="",0,ROUND(IF(OR($P543="Out",$P543="Suspended"),$Q543*$H543,IF($P543="Doubtful",$Q543*$H543*0.5,IF($P543="Limited",$Q543*$H543*0.25,0))),2))</x:f>
        <x:v>0</x:v>
      </x:c>
      <x:c r="T543" s="55" t="str"/>
      <x:c r="U543" s="51" t="str"/>
    </x:row>
    <x:row r="544">
      <x:c r="A544" s="51" t="str">
        <x:v>Japan</x:v>
      </x:c>
      <x:c r="B544" s="51" t="str">
        <x:v>F</x:v>
      </x:c>
      <x:c r="C544" s="51" t="n">
        <x:v>20</x:v>
      </x:c>
      <x:c r="D544" s="71" t="str"/>
      <x:c r="E544" s="51" t="str">
        <x:v>Winger</x:v>
      </x:c>
      <x:c r="F544" s="51" t="str">
        <x:v>Attack</x:v>
      </x:c>
      <x:c r="G544" s="51" t="str">
        <x:v>Rotation</x:v>
      </x:c>
      <x:c r="H544" s="55" t="n">
        <x:v>0.35</x:v>
      </x:c>
      <x:c r="I544" s="51" t="str"/>
      <x:c r="J544" s="72" t="str"/>
      <x:c r="K544" s="72" t="str"/>
      <x:c r="L544" s="72" t="str"/>
      <x:c r="M544" s="72" t="str"/>
      <x:c r="N544" s="72" t="str"/>
      <x:c r="O544" s="72" t="str"/>
      <x:c r="P544" s="72" t="str">
        <x:v>Available</x:v>
      </x:c>
      <x:c r="Q544" s="72" t="n">
        <x:v>0</x:v>
      </x:c>
      <x:c r="R544" s="55" t="str">
        <x:f>IF($D544="","",ROUND(MAX(0,MIN(100,0.35*$J544+0.2*$K544+0.15*$L544+0.15*$M544+0.1*$N544+0.05*$O544-IF(OR($P544="Out",$P544="Suspended"),$Q544,IF($P544="Doubtful",$Q544*0.5,IF($P544="Limited",$Q544*0.25,0))))),2))</x:f>
      </x:c>
      <x:c r="S544" s="55" t="n">
        <x:f>IF($D544="",0,ROUND(IF(OR($P544="Out",$P544="Suspended"),$Q544*$H544,IF($P544="Doubtful",$Q544*$H544*0.5,IF($P544="Limited",$Q544*$H544*0.25,0))),2))</x:f>
        <x:v>0</x:v>
      </x:c>
      <x:c r="T544" s="55" t="str"/>
      <x:c r="U544" s="51" t="str"/>
    </x:row>
    <x:row r="545">
      <x:c r="A545" s="51" t="str">
        <x:v>Japan</x:v>
      </x:c>
      <x:c r="B545" s="51" t="str">
        <x:v>F</x:v>
      </x:c>
      <x:c r="C545" s="51" t="n">
        <x:v>21</x:v>
      </x:c>
      <x:c r="D545" s="71" t="str"/>
      <x:c r="E545" s="51" t="str">
        <x:v>Winger</x:v>
      </x:c>
      <x:c r="F545" s="51" t="str">
        <x:v>Attack</x:v>
      </x:c>
      <x:c r="G545" s="51" t="str">
        <x:v>Depth</x:v>
      </x:c>
      <x:c r="H545" s="55" t="n">
        <x:v>0.1</x:v>
      </x:c>
      <x:c r="I545" s="51" t="str"/>
      <x:c r="J545" s="72" t="str"/>
      <x:c r="K545" s="72" t="str"/>
      <x:c r="L545" s="72" t="str"/>
      <x:c r="M545" s="72" t="str"/>
      <x:c r="N545" s="72" t="str"/>
      <x:c r="O545" s="72" t="str"/>
      <x:c r="P545" s="72" t="str">
        <x:v>Available</x:v>
      </x:c>
      <x:c r="Q545" s="72" t="n">
        <x:v>0</x:v>
      </x:c>
      <x:c r="R545" s="55" t="str">
        <x:f>IF($D545="","",ROUND(MAX(0,MIN(100,0.35*$J545+0.2*$K545+0.15*$L545+0.15*$M545+0.1*$N545+0.05*$O545-IF(OR($P545="Out",$P545="Suspended"),$Q545,IF($P545="Doubtful",$Q545*0.5,IF($P545="Limited",$Q545*0.25,0))))),2))</x:f>
      </x:c>
      <x:c r="S545" s="55" t="n">
        <x:f>IF($D545="",0,ROUND(IF(OR($P545="Out",$P545="Suspended"),$Q545*$H545,IF($P545="Doubtful",$Q545*$H545*0.5,IF($P545="Limited",$Q545*$H545*0.25,0))),2))</x:f>
        <x:v>0</x:v>
      </x:c>
      <x:c r="T545" s="55" t="str"/>
      <x:c r="U545" s="51" t="str"/>
    </x:row>
    <x:row r="546">
      <x:c r="A546" s="51" t="str">
        <x:v>Japan</x:v>
      </x:c>
      <x:c r="B546" s="51" t="str">
        <x:v>F</x:v>
      </x:c>
      <x:c r="C546" s="51" t="n">
        <x:v>22</x:v>
      </x:c>
      <x:c r="D546" s="71" t="str"/>
      <x:c r="E546" s="51" t="str">
        <x:v>Winger</x:v>
      </x:c>
      <x:c r="F546" s="51" t="str">
        <x:v>Attack</x:v>
      </x:c>
      <x:c r="G546" s="51" t="str">
        <x:v>Depth</x:v>
      </x:c>
      <x:c r="H546" s="55" t="n">
        <x:v>0.1</x:v>
      </x:c>
      <x:c r="I546" s="51" t="str"/>
      <x:c r="J546" s="72" t="str"/>
      <x:c r="K546" s="72" t="str"/>
      <x:c r="L546" s="72" t="str"/>
      <x:c r="M546" s="72" t="str"/>
      <x:c r="N546" s="72" t="str"/>
      <x:c r="O546" s="72" t="str"/>
      <x:c r="P546" s="72" t="str">
        <x:v>Available</x:v>
      </x:c>
      <x:c r="Q546" s="72" t="n">
        <x:v>0</x:v>
      </x:c>
      <x:c r="R546" s="55" t="str">
        <x:f>IF($D546="","",ROUND(MAX(0,MIN(100,0.35*$J546+0.2*$K546+0.15*$L546+0.15*$M546+0.1*$N546+0.05*$O546-IF(OR($P546="Out",$P546="Suspended"),$Q546,IF($P546="Doubtful",$Q546*0.5,IF($P546="Limited",$Q546*0.25,0))))),2))</x:f>
      </x:c>
      <x:c r="S546" s="55" t="n">
        <x:f>IF($D546="",0,ROUND(IF(OR($P546="Out",$P546="Suspended"),$Q546*$H546,IF($P546="Doubtful",$Q546*$H546*0.5,IF($P546="Limited",$Q546*$H546*0.25,0))),2))</x:f>
        <x:v>0</x:v>
      </x:c>
      <x:c r="T546" s="55" t="str"/>
      <x:c r="U546" s="51" t="str"/>
    </x:row>
    <x:row r="547">
      <x:c r="A547" s="51" t="str">
        <x:v>Japan</x:v>
      </x:c>
      <x:c r="B547" s="51" t="str">
        <x:v>F</x:v>
      </x:c>
      <x:c r="C547" s="51" t="n">
        <x:v>23</x:v>
      </x:c>
      <x:c r="D547" s="71" t="str"/>
      <x:c r="E547" s="51" t="str">
        <x:v>Winger</x:v>
      </x:c>
      <x:c r="F547" s="51" t="str">
        <x:v>Attack</x:v>
      </x:c>
      <x:c r="G547" s="51" t="str">
        <x:v>Depth</x:v>
      </x:c>
      <x:c r="H547" s="55" t="n">
        <x:v>0.1</x:v>
      </x:c>
      <x:c r="I547" s="51" t="str"/>
      <x:c r="J547" s="72" t="str"/>
      <x:c r="K547" s="72" t="str"/>
      <x:c r="L547" s="72" t="str"/>
      <x:c r="M547" s="72" t="str"/>
      <x:c r="N547" s="72" t="str"/>
      <x:c r="O547" s="72" t="str"/>
      <x:c r="P547" s="72" t="str">
        <x:v>Available</x:v>
      </x:c>
      <x:c r="Q547" s="72" t="n">
        <x:v>0</x:v>
      </x:c>
      <x:c r="R547" s="55" t="str">
        <x:f>IF($D547="","",ROUND(MAX(0,MIN(100,0.35*$J547+0.2*$K547+0.15*$L547+0.15*$M547+0.1*$N547+0.05*$O547-IF(OR($P547="Out",$P547="Suspended"),$Q547,IF($P547="Doubtful",$Q547*0.5,IF($P547="Limited",$Q547*0.25,0))))),2))</x:f>
      </x:c>
      <x:c r="S547" s="55" t="n">
        <x:f>IF($D547="",0,ROUND(IF(OR($P547="Out",$P547="Suspended"),$Q547*$H547,IF($P547="Doubtful",$Q547*$H547*0.5,IF($P547="Limited",$Q547*$H547*0.25,0))),2))</x:f>
        <x:v>0</x:v>
      </x:c>
      <x:c r="T547" s="55" t="str"/>
      <x:c r="U547" s="51" t="str"/>
    </x:row>
    <x:row r="548">
      <x:c r="A548" s="51" t="str">
        <x:v>Japan</x:v>
      </x:c>
      <x:c r="B548" s="51" t="str">
        <x:v>F</x:v>
      </x:c>
      <x:c r="C548" s="51" t="n">
        <x:v>24</x:v>
      </x:c>
      <x:c r="D548" s="71" t="str"/>
      <x:c r="E548" s="51" t="str">
        <x:v>ST</x:v>
      </x:c>
      <x:c r="F548" s="51" t="str">
        <x:v>Attack</x:v>
      </x:c>
      <x:c r="G548" s="51" t="str">
        <x:v>Depth</x:v>
      </x:c>
      <x:c r="H548" s="55" t="n">
        <x:v>0.1</x:v>
      </x:c>
      <x:c r="I548" s="51" t="str"/>
      <x:c r="J548" s="72" t="str"/>
      <x:c r="K548" s="72" t="str"/>
      <x:c r="L548" s="72" t="str"/>
      <x:c r="M548" s="72" t="str"/>
      <x:c r="N548" s="72" t="str"/>
      <x:c r="O548" s="72" t="str"/>
      <x:c r="P548" s="72" t="str">
        <x:v>Available</x:v>
      </x:c>
      <x:c r="Q548" s="72" t="n">
        <x:v>0</x:v>
      </x:c>
      <x:c r="R548" s="55" t="str">
        <x:f>IF($D548="","",ROUND(MAX(0,MIN(100,0.35*$J548+0.2*$K548+0.15*$L548+0.15*$M548+0.1*$N548+0.05*$O548-IF(OR($P548="Out",$P548="Suspended"),$Q548,IF($P548="Doubtful",$Q548*0.5,IF($P548="Limited",$Q548*0.25,0))))),2))</x:f>
      </x:c>
      <x:c r="S548" s="55" t="n">
        <x:f>IF($D548="",0,ROUND(IF(OR($P548="Out",$P548="Suspended"),$Q548*$H548,IF($P548="Doubtful",$Q548*$H548*0.5,IF($P548="Limited",$Q548*$H548*0.25,0))),2))</x:f>
        <x:v>0</x:v>
      </x:c>
      <x:c r="T548" s="55" t="str"/>
      <x:c r="U548" s="51" t="str"/>
    </x:row>
    <x:row r="549">
      <x:c r="A549" s="51" t="str">
        <x:v>Japan</x:v>
      </x:c>
      <x:c r="B549" s="51" t="str">
        <x:v>F</x:v>
      </x:c>
      <x:c r="C549" s="51" t="n">
        <x:v>25</x:v>
      </x:c>
      <x:c r="D549" s="71" t="str"/>
      <x:c r="E549" s="51" t="str">
        <x:v>ST</x:v>
      </x:c>
      <x:c r="F549" s="51" t="str">
        <x:v>Attack</x:v>
      </x:c>
      <x:c r="G549" s="51" t="str">
        <x:v>Depth</x:v>
      </x:c>
      <x:c r="H549" s="55" t="n">
        <x:v>0.1</x:v>
      </x:c>
      <x:c r="I549" s="51" t="str"/>
      <x:c r="J549" s="72" t="str"/>
      <x:c r="K549" s="72" t="str"/>
      <x:c r="L549" s="72" t="str"/>
      <x:c r="M549" s="72" t="str"/>
      <x:c r="N549" s="72" t="str"/>
      <x:c r="O549" s="72" t="str"/>
      <x:c r="P549" s="72" t="str">
        <x:v>Available</x:v>
      </x:c>
      <x:c r="Q549" s="72" t="n">
        <x:v>0</x:v>
      </x:c>
      <x:c r="R549" s="55" t="str">
        <x:f>IF($D549="","",ROUND(MAX(0,MIN(100,0.35*$J549+0.2*$K549+0.15*$L549+0.15*$M549+0.1*$N549+0.05*$O549-IF(OR($P549="Out",$P549="Suspended"),$Q549,IF($P549="Doubtful",$Q549*0.5,IF($P549="Limited",$Q549*0.25,0))))),2))</x:f>
      </x:c>
      <x:c r="S549" s="55" t="n">
        <x:f>IF($D549="",0,ROUND(IF(OR($P549="Out",$P549="Suspended"),$Q549*$H549,IF($P549="Doubtful",$Q549*$H549*0.5,IF($P549="Limited",$Q549*$H549*0.25,0))),2))</x:f>
        <x:v>0</x:v>
      </x:c>
      <x:c r="T549" s="55" t="str"/>
      <x:c r="U549" s="51" t="str"/>
    </x:row>
    <x:row r="550">
      <x:c r="A550" s="51" t="str">
        <x:v>Japan</x:v>
      </x:c>
      <x:c r="B550" s="51" t="str">
        <x:v>F</x:v>
      </x:c>
      <x:c r="C550" s="51" t="n">
        <x:v>26</x:v>
      </x:c>
      <x:c r="D550" s="71" t="str"/>
      <x:c r="E550" s="51" t="str">
        <x:v>ST</x:v>
      </x:c>
      <x:c r="F550" s="51" t="str">
        <x:v>Attack</x:v>
      </x:c>
      <x:c r="G550" s="51" t="str">
        <x:v>Depth</x:v>
      </x:c>
      <x:c r="H550" s="55" t="n">
        <x:v>0.1</x:v>
      </x:c>
      <x:c r="I550" s="51" t="str"/>
      <x:c r="J550" s="72" t="str"/>
      <x:c r="K550" s="72" t="str"/>
      <x:c r="L550" s="72" t="str"/>
      <x:c r="M550" s="72" t="str"/>
      <x:c r="N550" s="72" t="str"/>
      <x:c r="O550" s="72" t="str"/>
      <x:c r="P550" s="72" t="str">
        <x:v>Available</x:v>
      </x:c>
      <x:c r="Q550" s="72" t="n">
        <x:v>0</x:v>
      </x:c>
      <x:c r="R550" s="55" t="str">
        <x:f>IF($D550="","",ROUND(MAX(0,MIN(100,0.35*$J550+0.2*$K550+0.15*$L550+0.15*$M550+0.1*$N550+0.05*$O550-IF(OR($P550="Out",$P550="Suspended"),$Q550,IF($P550="Doubtful",$Q550*0.5,IF($P550="Limited",$Q550*0.25,0))))),2))</x:f>
      </x:c>
      <x:c r="S550" s="55" t="n">
        <x:f>IF($D550="",0,ROUND(IF(OR($P550="Out",$P550="Suspended"),$Q550*$H550,IF($P550="Doubtful",$Q550*$H550*0.5,IF($P550="Limited",$Q550*$H550*0.25,0))),2))</x:f>
        <x:v>0</x:v>
      </x:c>
      <x:c r="T550" s="55" t="str"/>
      <x:c r="U550" s="51" t="str"/>
    </x:row>
    <x:row r="551">
      <x:c r="A551" s="51" t="str">
        <x:v>Netherlands</x:v>
      </x:c>
      <x:c r="B551" s="51" t="str">
        <x:v>F</x:v>
      </x:c>
      <x:c r="C551" s="51" t="n">
        <x:v>1</x:v>
      </x:c>
      <x:c r="D551" s="71" t="str"/>
      <x:c r="E551" s="51" t="str">
        <x:v>GK</x:v>
      </x:c>
      <x:c r="F551" s="51" t="str">
        <x:v>GK</x:v>
      </x:c>
      <x:c r="G551" s="51" t="str">
        <x:v>Starter</x:v>
      </x:c>
      <x:c r="H551" s="55" t="n">
        <x:v>1</x:v>
      </x:c>
      <x:c r="I551" s="51" t="str"/>
      <x:c r="J551" s="72" t="str"/>
      <x:c r="K551" s="72" t="str"/>
      <x:c r="L551" s="72" t="str"/>
      <x:c r="M551" s="72" t="str"/>
      <x:c r="N551" s="72" t="str"/>
      <x:c r="O551" s="72" t="str"/>
      <x:c r="P551" s="72" t="str">
        <x:v>Available</x:v>
      </x:c>
      <x:c r="Q551" s="72" t="n">
        <x:v>0</x:v>
      </x:c>
      <x:c r="R551" s="55" t="str">
        <x:f>IF($D551="","",ROUND(MAX(0,MIN(100,0.35*$J551+0.2*$K551+0.15*$L551+0.15*$M551+0.1*$N551+0.05*$O551-IF(OR($P551="Out",$P551="Suspended"),$Q551,IF($P551="Doubtful",$Q551*0.5,IF($P551="Limited",$Q551*0.25,0))))),2))</x:f>
      </x:c>
      <x:c r="S551" s="55" t="n">
        <x:f>IF($D551="",0,ROUND(IF(OR($P551="Out",$P551="Suspended"),$Q551*$H551,IF($P551="Doubtful",$Q551*$H551*0.5,IF($P551="Limited",$Q551*$H551*0.25,0))),2))</x:f>
        <x:v>0</x:v>
      </x:c>
      <x:c r="T551" s="55" t="str"/>
      <x:c r="U551" s="51" t="str"/>
    </x:row>
    <x:row r="552">
      <x:c r="A552" s="51" t="str">
        <x:v>Netherlands</x:v>
      </x:c>
      <x:c r="B552" s="51" t="str">
        <x:v>F</x:v>
      </x:c>
      <x:c r="C552" s="51" t="n">
        <x:v>2</x:v>
      </x:c>
      <x:c r="D552" s="71" t="str"/>
      <x:c r="E552" s="51" t="str">
        <x:v>GK</x:v>
      </x:c>
      <x:c r="F552" s="51" t="str">
        <x:v>GK</x:v>
      </x:c>
      <x:c r="G552" s="51" t="str">
        <x:v>Starter</x:v>
      </x:c>
      <x:c r="H552" s="55" t="n">
        <x:v>1</x:v>
      </x:c>
      <x:c r="I552" s="51" t="str"/>
      <x:c r="J552" s="72" t="str"/>
      <x:c r="K552" s="72" t="str"/>
      <x:c r="L552" s="72" t="str"/>
      <x:c r="M552" s="72" t="str"/>
      <x:c r="N552" s="72" t="str"/>
      <x:c r="O552" s="72" t="str"/>
      <x:c r="P552" s="72" t="str">
        <x:v>Available</x:v>
      </x:c>
      <x:c r="Q552" s="72" t="n">
        <x:v>0</x:v>
      </x:c>
      <x:c r="R552" s="55" t="str">
        <x:f>IF($D552="","",ROUND(MAX(0,MIN(100,0.35*$J552+0.2*$K552+0.15*$L552+0.15*$M552+0.1*$N552+0.05*$O552-IF(OR($P552="Out",$P552="Suspended"),$Q552,IF($P552="Doubtful",$Q552*0.5,IF($P552="Limited",$Q552*0.25,0))))),2))</x:f>
      </x:c>
      <x:c r="S552" s="55" t="n">
        <x:f>IF($D552="",0,ROUND(IF(OR($P552="Out",$P552="Suspended"),$Q552*$H552,IF($P552="Doubtful",$Q552*$H552*0.5,IF($P552="Limited",$Q552*$H552*0.25,0))),2))</x:f>
        <x:v>0</x:v>
      </x:c>
      <x:c r="T552" s="55" t="str"/>
      <x:c r="U552" s="51" t="str"/>
    </x:row>
    <x:row r="553">
      <x:c r="A553" s="51" t="str">
        <x:v>Netherlands</x:v>
      </x:c>
      <x:c r="B553" s="51" t="str">
        <x:v>F</x:v>
      </x:c>
      <x:c r="C553" s="51" t="n">
        <x:v>3</x:v>
      </x:c>
      <x:c r="D553" s="71" t="str"/>
      <x:c r="E553" s="51" t="str">
        <x:v>GK</x:v>
      </x:c>
      <x:c r="F553" s="51" t="str">
        <x:v>GK</x:v>
      </x:c>
      <x:c r="G553" s="51" t="str">
        <x:v>Starter</x:v>
      </x:c>
      <x:c r="H553" s="55" t="n">
        <x:v>1</x:v>
      </x:c>
      <x:c r="I553" s="51" t="str"/>
      <x:c r="J553" s="72" t="str"/>
      <x:c r="K553" s="72" t="str"/>
      <x:c r="L553" s="72" t="str"/>
      <x:c r="M553" s="72" t="str"/>
      <x:c r="N553" s="72" t="str"/>
      <x:c r="O553" s="72" t="str"/>
      <x:c r="P553" s="72" t="str">
        <x:v>Available</x:v>
      </x:c>
      <x:c r="Q553" s="72" t="n">
        <x:v>0</x:v>
      </x:c>
      <x:c r="R553" s="55" t="str">
        <x:f>IF($D553="","",ROUND(MAX(0,MIN(100,0.35*$J553+0.2*$K553+0.15*$L553+0.15*$M553+0.1*$N553+0.05*$O553-IF(OR($P553="Out",$P553="Suspended"),$Q553,IF($P553="Doubtful",$Q553*0.5,IF($P553="Limited",$Q553*0.25,0))))),2))</x:f>
      </x:c>
      <x:c r="S553" s="55" t="n">
        <x:f>IF($D553="",0,ROUND(IF(OR($P553="Out",$P553="Suspended"),$Q553*$H553,IF($P553="Doubtful",$Q553*$H553*0.5,IF($P553="Limited",$Q553*$H553*0.25,0))),2))</x:f>
        <x:v>0</x:v>
      </x:c>
      <x:c r="T553" s="55" t="str"/>
      <x:c r="U553" s="51" t="str"/>
    </x:row>
    <x:row r="554">
      <x:c r="A554" s="51" t="str">
        <x:v>Netherlands</x:v>
      </x:c>
      <x:c r="B554" s="51" t="str">
        <x:v>F</x:v>
      </x:c>
      <x:c r="C554" s="51" t="n">
        <x:v>4</x:v>
      </x:c>
      <x:c r="D554" s="71" t="str"/>
      <x:c r="E554" s="51" t="str">
        <x:v>CB</x:v>
      </x:c>
      <x:c r="F554" s="51" t="str">
        <x:v>Defence</x:v>
      </x:c>
      <x:c r="G554" s="51" t="str">
        <x:v>Starter</x:v>
      </x:c>
      <x:c r="H554" s="55" t="n">
        <x:v>1</x:v>
      </x:c>
      <x:c r="I554" s="51" t="str"/>
      <x:c r="J554" s="72" t="str"/>
      <x:c r="K554" s="72" t="str"/>
      <x:c r="L554" s="72" t="str"/>
      <x:c r="M554" s="72" t="str"/>
      <x:c r="N554" s="72" t="str"/>
      <x:c r="O554" s="72" t="str"/>
      <x:c r="P554" s="72" t="str">
        <x:v>Available</x:v>
      </x:c>
      <x:c r="Q554" s="72" t="n">
        <x:v>0</x:v>
      </x:c>
      <x:c r="R554" s="55" t="str">
        <x:f>IF($D554="","",ROUND(MAX(0,MIN(100,0.35*$J554+0.2*$K554+0.15*$L554+0.15*$M554+0.1*$N554+0.05*$O554-IF(OR($P554="Out",$P554="Suspended"),$Q554,IF($P554="Doubtful",$Q554*0.5,IF($P554="Limited",$Q554*0.25,0))))),2))</x:f>
      </x:c>
      <x:c r="S554" s="55" t="n">
        <x:f>IF($D554="",0,ROUND(IF(OR($P554="Out",$P554="Suspended"),$Q554*$H554,IF($P554="Doubtful",$Q554*$H554*0.5,IF($P554="Limited",$Q554*$H554*0.25,0))),2))</x:f>
        <x:v>0</x:v>
      </x:c>
      <x:c r="T554" s="55" t="str"/>
      <x:c r="U554" s="51" t="str"/>
    </x:row>
    <x:row r="555">
      <x:c r="A555" s="51" t="str">
        <x:v>Netherlands</x:v>
      </x:c>
      <x:c r="B555" s="51" t="str">
        <x:v>F</x:v>
      </x:c>
      <x:c r="C555" s="51" t="n">
        <x:v>5</x:v>
      </x:c>
      <x:c r="D555" s="71" t="str"/>
      <x:c r="E555" s="51" t="str">
        <x:v>CB</x:v>
      </x:c>
      <x:c r="F555" s="51" t="str">
        <x:v>Defence</x:v>
      </x:c>
      <x:c r="G555" s="51" t="str">
        <x:v>Starter</x:v>
      </x:c>
      <x:c r="H555" s="55" t="n">
        <x:v>1</x:v>
      </x:c>
      <x:c r="I555" s="51" t="str"/>
      <x:c r="J555" s="72" t="str"/>
      <x:c r="K555" s="72" t="str"/>
      <x:c r="L555" s="72" t="str"/>
      <x:c r="M555" s="72" t="str"/>
      <x:c r="N555" s="72" t="str"/>
      <x:c r="O555" s="72" t="str"/>
      <x:c r="P555" s="72" t="str">
        <x:v>Available</x:v>
      </x:c>
      <x:c r="Q555" s="72" t="n">
        <x:v>0</x:v>
      </x:c>
      <x:c r="R555" s="55" t="str">
        <x:f>IF($D555="","",ROUND(MAX(0,MIN(100,0.35*$J555+0.2*$K555+0.15*$L555+0.15*$M555+0.1*$N555+0.05*$O555-IF(OR($P555="Out",$P555="Suspended"),$Q555,IF($P555="Doubtful",$Q555*0.5,IF($P555="Limited",$Q555*0.25,0))))),2))</x:f>
      </x:c>
      <x:c r="S555" s="55" t="n">
        <x:f>IF($D555="",0,ROUND(IF(OR($P555="Out",$P555="Suspended"),$Q555*$H555,IF($P555="Doubtful",$Q555*$H555*0.5,IF($P555="Limited",$Q555*$H555*0.25,0))),2))</x:f>
        <x:v>0</x:v>
      </x:c>
      <x:c r="T555" s="55" t="str"/>
      <x:c r="U555" s="51" t="str"/>
    </x:row>
    <x:row r="556">
      <x:c r="A556" s="51" t="str">
        <x:v>Netherlands</x:v>
      </x:c>
      <x:c r="B556" s="51" t="str">
        <x:v>F</x:v>
      </x:c>
      <x:c r="C556" s="51" t="n">
        <x:v>6</x:v>
      </x:c>
      <x:c r="D556" s="71" t="str"/>
      <x:c r="E556" s="51" t="str">
        <x:v>CB</x:v>
      </x:c>
      <x:c r="F556" s="51" t="str">
        <x:v>Defence</x:v>
      </x:c>
      <x:c r="G556" s="51" t="str">
        <x:v>Starter</x:v>
      </x:c>
      <x:c r="H556" s="55" t="n">
        <x:v>1</x:v>
      </x:c>
      <x:c r="I556" s="51" t="str"/>
      <x:c r="J556" s="72" t="str"/>
      <x:c r="K556" s="72" t="str"/>
      <x:c r="L556" s="72" t="str"/>
      <x:c r="M556" s="72" t="str"/>
      <x:c r="N556" s="72" t="str"/>
      <x:c r="O556" s="72" t="str"/>
      <x:c r="P556" s="72" t="str">
        <x:v>Available</x:v>
      </x:c>
      <x:c r="Q556" s="72" t="n">
        <x:v>0</x:v>
      </x:c>
      <x:c r="R556" s="55" t="str">
        <x:f>IF($D556="","",ROUND(MAX(0,MIN(100,0.35*$J556+0.2*$K556+0.15*$L556+0.15*$M556+0.1*$N556+0.05*$O556-IF(OR($P556="Out",$P556="Suspended"),$Q556,IF($P556="Doubtful",$Q556*0.5,IF($P556="Limited",$Q556*0.25,0))))),2))</x:f>
      </x:c>
      <x:c r="S556" s="55" t="n">
        <x:f>IF($D556="",0,ROUND(IF(OR($P556="Out",$P556="Suspended"),$Q556*$H556,IF($P556="Doubtful",$Q556*$H556*0.5,IF($P556="Limited",$Q556*$H556*0.25,0))),2))</x:f>
        <x:v>0</x:v>
      </x:c>
      <x:c r="T556" s="55" t="str"/>
      <x:c r="U556" s="51" t="str"/>
    </x:row>
    <x:row r="557">
      <x:c r="A557" s="51" t="str">
        <x:v>Netherlands</x:v>
      </x:c>
      <x:c r="B557" s="51" t="str">
        <x:v>F</x:v>
      </x:c>
      <x:c r="C557" s="51" t="n">
        <x:v>7</x:v>
      </x:c>
      <x:c r="D557" s="71" t="str"/>
      <x:c r="E557" s="51" t="str">
        <x:v>FB</x:v>
      </x:c>
      <x:c r="F557" s="51" t="str">
        <x:v>Defence</x:v>
      </x:c>
      <x:c r="G557" s="51" t="str">
        <x:v>Starter</x:v>
      </x:c>
      <x:c r="H557" s="55" t="n">
        <x:v>1</x:v>
      </x:c>
      <x:c r="I557" s="51" t="str"/>
      <x:c r="J557" s="72" t="str"/>
      <x:c r="K557" s="72" t="str"/>
      <x:c r="L557" s="72" t="str"/>
      <x:c r="M557" s="72" t="str"/>
      <x:c r="N557" s="72" t="str"/>
      <x:c r="O557" s="72" t="str"/>
      <x:c r="P557" s="72" t="str">
        <x:v>Available</x:v>
      </x:c>
      <x:c r="Q557" s="72" t="n">
        <x:v>0</x:v>
      </x:c>
      <x:c r="R557" s="55" t="str">
        <x:f>IF($D557="","",ROUND(MAX(0,MIN(100,0.35*$J557+0.2*$K557+0.15*$L557+0.15*$M557+0.1*$N557+0.05*$O557-IF(OR($P557="Out",$P557="Suspended"),$Q557,IF($P557="Doubtful",$Q557*0.5,IF($P557="Limited",$Q557*0.25,0))))),2))</x:f>
      </x:c>
      <x:c r="S557" s="55" t="n">
        <x:f>IF($D557="",0,ROUND(IF(OR($P557="Out",$P557="Suspended"),$Q557*$H557,IF($P557="Doubtful",$Q557*$H557*0.5,IF($P557="Limited",$Q557*$H557*0.25,0))),2))</x:f>
        <x:v>0</x:v>
      </x:c>
      <x:c r="T557" s="55" t="str"/>
      <x:c r="U557" s="51" t="str"/>
    </x:row>
    <x:row r="558">
      <x:c r="A558" s="51" t="str">
        <x:v>Netherlands</x:v>
      </x:c>
      <x:c r="B558" s="51" t="str">
        <x:v>F</x:v>
      </x:c>
      <x:c r="C558" s="51" t="n">
        <x:v>8</x:v>
      </x:c>
      <x:c r="D558" s="71" t="str"/>
      <x:c r="E558" s="51" t="str">
        <x:v>FB</x:v>
      </x:c>
      <x:c r="F558" s="51" t="str">
        <x:v>Defence</x:v>
      </x:c>
      <x:c r="G558" s="51" t="str">
        <x:v>Starter</x:v>
      </x:c>
      <x:c r="H558" s="55" t="n">
        <x:v>1</x:v>
      </x:c>
      <x:c r="I558" s="51" t="str"/>
      <x:c r="J558" s="72" t="str"/>
      <x:c r="K558" s="72" t="str"/>
      <x:c r="L558" s="72" t="str"/>
      <x:c r="M558" s="72" t="str"/>
      <x:c r="N558" s="72" t="str"/>
      <x:c r="O558" s="72" t="str"/>
      <x:c r="P558" s="72" t="str">
        <x:v>Available</x:v>
      </x:c>
      <x:c r="Q558" s="72" t="n">
        <x:v>0</x:v>
      </x:c>
      <x:c r="R558" s="55" t="str">
        <x:f>IF($D558="","",ROUND(MAX(0,MIN(100,0.35*$J558+0.2*$K558+0.15*$L558+0.15*$M558+0.1*$N558+0.05*$O558-IF(OR($P558="Out",$P558="Suspended"),$Q558,IF($P558="Doubtful",$Q558*0.5,IF($P558="Limited",$Q558*0.25,0))))),2))</x:f>
      </x:c>
      <x:c r="S558" s="55" t="n">
        <x:f>IF($D558="",0,ROUND(IF(OR($P558="Out",$P558="Suspended"),$Q558*$H558,IF($P558="Doubtful",$Q558*$H558*0.5,IF($P558="Limited",$Q558*$H558*0.25,0))),2))</x:f>
        <x:v>0</x:v>
      </x:c>
      <x:c r="T558" s="55" t="str"/>
      <x:c r="U558" s="51" t="str"/>
    </x:row>
    <x:row r="559">
      <x:c r="A559" s="51" t="str">
        <x:v>Netherlands</x:v>
      </x:c>
      <x:c r="B559" s="51" t="str">
        <x:v>F</x:v>
      </x:c>
      <x:c r="C559" s="51" t="n">
        <x:v>9</x:v>
      </x:c>
      <x:c r="D559" s="71" t="str"/>
      <x:c r="E559" s="51" t="str">
        <x:v>DM</x:v>
      </x:c>
      <x:c r="F559" s="51" t="str">
        <x:v>Midfield</x:v>
      </x:c>
      <x:c r="G559" s="51" t="str">
        <x:v>Starter</x:v>
      </x:c>
      <x:c r="H559" s="55" t="n">
        <x:v>1</x:v>
      </x:c>
      <x:c r="I559" s="51" t="str"/>
      <x:c r="J559" s="72" t="str"/>
      <x:c r="K559" s="72" t="str"/>
      <x:c r="L559" s="72" t="str"/>
      <x:c r="M559" s="72" t="str"/>
      <x:c r="N559" s="72" t="str"/>
      <x:c r="O559" s="72" t="str"/>
      <x:c r="P559" s="72" t="str">
        <x:v>Available</x:v>
      </x:c>
      <x:c r="Q559" s="72" t="n">
        <x:v>0</x:v>
      </x:c>
      <x:c r="R559" s="55" t="str">
        <x:f>IF($D559="","",ROUND(MAX(0,MIN(100,0.35*$J559+0.2*$K559+0.15*$L559+0.15*$M559+0.1*$N559+0.05*$O559-IF(OR($P559="Out",$P559="Suspended"),$Q559,IF($P559="Doubtful",$Q559*0.5,IF($P559="Limited",$Q559*0.25,0))))),2))</x:f>
      </x:c>
      <x:c r="S559" s="55" t="n">
        <x:f>IF($D559="",0,ROUND(IF(OR($P559="Out",$P559="Suspended"),$Q559*$H559,IF($P559="Doubtful",$Q559*$H559*0.5,IF($P559="Limited",$Q559*$H559*0.25,0))),2))</x:f>
        <x:v>0</x:v>
      </x:c>
      <x:c r="T559" s="55" t="str"/>
      <x:c r="U559" s="51" t="str"/>
    </x:row>
    <x:row r="560">
      <x:c r="A560" s="51" t="str">
        <x:v>Netherlands</x:v>
      </x:c>
      <x:c r="B560" s="51" t="str">
        <x:v>F</x:v>
      </x:c>
      <x:c r="C560" s="51" t="n">
        <x:v>10</x:v>
      </x:c>
      <x:c r="D560" s="71" t="str"/>
      <x:c r="E560" s="51" t="str">
        <x:v>DM</x:v>
      </x:c>
      <x:c r="F560" s="51" t="str">
        <x:v>Midfield</x:v>
      </x:c>
      <x:c r="G560" s="51" t="str">
        <x:v>Starter</x:v>
      </x:c>
      <x:c r="H560" s="55" t="n">
        <x:v>1</x:v>
      </x:c>
      <x:c r="I560" s="51" t="str"/>
      <x:c r="J560" s="72" t="str"/>
      <x:c r="K560" s="72" t="str"/>
      <x:c r="L560" s="72" t="str"/>
      <x:c r="M560" s="72" t="str"/>
      <x:c r="N560" s="72" t="str"/>
      <x:c r="O560" s="72" t="str"/>
      <x:c r="P560" s="72" t="str">
        <x:v>Available</x:v>
      </x:c>
      <x:c r="Q560" s="72" t="n">
        <x:v>0</x:v>
      </x:c>
      <x:c r="R560" s="55" t="str">
        <x:f>IF($D560="","",ROUND(MAX(0,MIN(100,0.35*$J560+0.2*$K560+0.15*$L560+0.15*$M560+0.1*$N560+0.05*$O560-IF(OR($P560="Out",$P560="Suspended"),$Q560,IF($P560="Doubtful",$Q560*0.5,IF($P560="Limited",$Q560*0.25,0))))),2))</x:f>
      </x:c>
      <x:c r="S560" s="55" t="n">
        <x:f>IF($D560="",0,ROUND(IF(OR($P560="Out",$P560="Suspended"),$Q560*$H560,IF($P560="Doubtful",$Q560*$H560*0.5,IF($P560="Limited",$Q560*$H560*0.25,0))),2))</x:f>
        <x:v>0</x:v>
      </x:c>
      <x:c r="T560" s="55" t="str"/>
      <x:c r="U560" s="51" t="str"/>
    </x:row>
    <x:row r="561">
      <x:c r="A561" s="51" t="str">
        <x:v>Netherlands</x:v>
      </x:c>
      <x:c r="B561" s="51" t="str">
        <x:v>F</x:v>
      </x:c>
      <x:c r="C561" s="51" t="n">
        <x:v>11</x:v>
      </x:c>
      <x:c r="D561" s="71" t="str"/>
      <x:c r="E561" s="51" t="str">
        <x:v>DM</x:v>
      </x:c>
      <x:c r="F561" s="51" t="str">
        <x:v>Midfield</x:v>
      </x:c>
      <x:c r="G561" s="51" t="str">
        <x:v>Starter</x:v>
      </x:c>
      <x:c r="H561" s="55" t="n">
        <x:v>1</x:v>
      </x:c>
      <x:c r="I561" s="51" t="str"/>
      <x:c r="J561" s="72" t="str"/>
      <x:c r="K561" s="72" t="str"/>
      <x:c r="L561" s="72" t="str"/>
      <x:c r="M561" s="72" t="str"/>
      <x:c r="N561" s="72" t="str"/>
      <x:c r="O561" s="72" t="str"/>
      <x:c r="P561" s="72" t="str">
        <x:v>Available</x:v>
      </x:c>
      <x:c r="Q561" s="72" t="n">
        <x:v>0</x:v>
      </x:c>
      <x:c r="R561" s="55" t="str">
        <x:f>IF($D561="","",ROUND(MAX(0,MIN(100,0.35*$J561+0.2*$K561+0.15*$L561+0.15*$M561+0.1*$N561+0.05*$O561-IF(OR($P561="Out",$P561="Suspended"),$Q561,IF($P561="Doubtful",$Q561*0.5,IF($P561="Limited",$Q561*0.25,0))))),2))</x:f>
      </x:c>
      <x:c r="S561" s="55" t="n">
        <x:f>IF($D561="",0,ROUND(IF(OR($P561="Out",$P561="Suspended"),$Q561*$H561,IF($P561="Doubtful",$Q561*$H561*0.5,IF($P561="Limited",$Q561*$H561*0.25,0))),2))</x:f>
        <x:v>0</x:v>
      </x:c>
      <x:c r="T561" s="55" t="str"/>
      <x:c r="U561" s="51" t="str"/>
    </x:row>
    <x:row r="562">
      <x:c r="A562" s="51" t="str">
        <x:v>Netherlands</x:v>
      </x:c>
      <x:c r="B562" s="51" t="str">
        <x:v>F</x:v>
      </x:c>
      <x:c r="C562" s="51" t="n">
        <x:v>12</x:v>
      </x:c>
      <x:c r="D562" s="71" t="str"/>
      <x:c r="E562" s="51" t="str">
        <x:v>CM</x:v>
      </x:c>
      <x:c r="F562" s="51" t="str">
        <x:v>Midfield</x:v>
      </x:c>
      <x:c r="G562" s="51" t="str">
        <x:v>Rotation</x:v>
      </x:c>
      <x:c r="H562" s="55" t="n">
        <x:v>0.35</x:v>
      </x:c>
      <x:c r="I562" s="51" t="str"/>
      <x:c r="J562" s="72" t="str"/>
      <x:c r="K562" s="72" t="str"/>
      <x:c r="L562" s="72" t="str"/>
      <x:c r="M562" s="72" t="str"/>
      <x:c r="N562" s="72" t="str"/>
      <x:c r="O562" s="72" t="str"/>
      <x:c r="P562" s="72" t="str">
        <x:v>Available</x:v>
      </x:c>
      <x:c r="Q562" s="72" t="n">
        <x:v>0</x:v>
      </x:c>
      <x:c r="R562" s="55" t="str">
        <x:f>IF($D562="","",ROUND(MAX(0,MIN(100,0.35*$J562+0.2*$K562+0.15*$L562+0.15*$M562+0.1*$N562+0.05*$O562-IF(OR($P562="Out",$P562="Suspended"),$Q562,IF($P562="Doubtful",$Q562*0.5,IF($P562="Limited",$Q562*0.25,0))))),2))</x:f>
      </x:c>
      <x:c r="S562" s="55" t="n">
        <x:f>IF($D562="",0,ROUND(IF(OR($P562="Out",$P562="Suspended"),$Q562*$H562,IF($P562="Doubtful",$Q562*$H562*0.5,IF($P562="Limited",$Q562*$H562*0.25,0))),2))</x:f>
        <x:v>0</x:v>
      </x:c>
      <x:c r="T562" s="55" t="str"/>
      <x:c r="U562" s="51" t="str"/>
    </x:row>
    <x:row r="563">
      <x:c r="A563" s="51" t="str">
        <x:v>Netherlands</x:v>
      </x:c>
      <x:c r="B563" s="51" t="str">
        <x:v>F</x:v>
      </x:c>
      <x:c r="C563" s="51" t="n">
        <x:v>13</x:v>
      </x:c>
      <x:c r="D563" s="71" t="str"/>
      <x:c r="E563" s="51" t="str">
        <x:v>CM</x:v>
      </x:c>
      <x:c r="F563" s="51" t="str">
        <x:v>Midfield</x:v>
      </x:c>
      <x:c r="G563" s="51" t="str">
        <x:v>Rotation</x:v>
      </x:c>
      <x:c r="H563" s="55" t="n">
        <x:v>0.35</x:v>
      </x:c>
      <x:c r="I563" s="51" t="str"/>
      <x:c r="J563" s="72" t="str"/>
      <x:c r="K563" s="72" t="str"/>
      <x:c r="L563" s="72" t="str"/>
      <x:c r="M563" s="72" t="str"/>
      <x:c r="N563" s="72" t="str"/>
      <x:c r="O563" s="72" t="str"/>
      <x:c r="P563" s="72" t="str">
        <x:v>Available</x:v>
      </x:c>
      <x:c r="Q563" s="72" t="n">
        <x:v>0</x:v>
      </x:c>
      <x:c r="R563" s="55" t="str">
        <x:f>IF($D563="","",ROUND(MAX(0,MIN(100,0.35*$J563+0.2*$K563+0.15*$L563+0.15*$M563+0.1*$N563+0.05*$O563-IF(OR($P563="Out",$P563="Suspended"),$Q563,IF($P563="Doubtful",$Q563*0.5,IF($P563="Limited",$Q563*0.25,0))))),2))</x:f>
      </x:c>
      <x:c r="S563" s="55" t="n">
        <x:f>IF($D563="",0,ROUND(IF(OR($P563="Out",$P563="Suspended"),$Q563*$H563,IF($P563="Doubtful",$Q563*$H563*0.5,IF($P563="Limited",$Q563*$H563*0.25,0))),2))</x:f>
        <x:v>0</x:v>
      </x:c>
      <x:c r="T563" s="55" t="str"/>
      <x:c r="U563" s="51" t="str"/>
    </x:row>
    <x:row r="564">
      <x:c r="A564" s="51" t="str">
        <x:v>Netherlands</x:v>
      </x:c>
      <x:c r="B564" s="51" t="str">
        <x:v>F</x:v>
      </x:c>
      <x:c r="C564" s="51" t="n">
        <x:v>14</x:v>
      </x:c>
      <x:c r="D564" s="71" t="str"/>
      <x:c r="E564" s="51" t="str">
        <x:v>CM</x:v>
      </x:c>
      <x:c r="F564" s="51" t="str">
        <x:v>Midfield</x:v>
      </x:c>
      <x:c r="G564" s="51" t="str">
        <x:v>Rotation</x:v>
      </x:c>
      <x:c r="H564" s="55" t="n">
        <x:v>0.35</x:v>
      </x:c>
      <x:c r="I564" s="51" t="str"/>
      <x:c r="J564" s="72" t="str"/>
      <x:c r="K564" s="72" t="str"/>
      <x:c r="L564" s="72" t="str"/>
      <x:c r="M564" s="72" t="str"/>
      <x:c r="N564" s="72" t="str"/>
      <x:c r="O564" s="72" t="str"/>
      <x:c r="P564" s="72" t="str">
        <x:v>Available</x:v>
      </x:c>
      <x:c r="Q564" s="72" t="n">
        <x:v>0</x:v>
      </x:c>
      <x:c r="R564" s="55" t="str">
        <x:f>IF($D564="","",ROUND(MAX(0,MIN(100,0.35*$J564+0.2*$K564+0.15*$L564+0.15*$M564+0.1*$N564+0.05*$O564-IF(OR($P564="Out",$P564="Suspended"),$Q564,IF($P564="Doubtful",$Q564*0.5,IF($P564="Limited",$Q564*0.25,0))))),2))</x:f>
      </x:c>
      <x:c r="S564" s="55" t="n">
        <x:f>IF($D564="",0,ROUND(IF(OR($P564="Out",$P564="Suspended"),$Q564*$H564,IF($P564="Doubtful",$Q564*$H564*0.5,IF($P564="Limited",$Q564*$H564*0.25,0))),2))</x:f>
        <x:v>0</x:v>
      </x:c>
      <x:c r="T564" s="55" t="str"/>
      <x:c r="U564" s="51" t="str"/>
    </x:row>
    <x:row r="565">
      <x:c r="A565" s="51" t="str">
        <x:v>Netherlands</x:v>
      </x:c>
      <x:c r="B565" s="51" t="str">
        <x:v>F</x:v>
      </x:c>
      <x:c r="C565" s="51" t="n">
        <x:v>15</x:v>
      </x:c>
      <x:c r="D565" s="71" t="str"/>
      <x:c r="E565" s="51" t="str">
        <x:v>CM</x:v>
      </x:c>
      <x:c r="F565" s="51" t="str">
        <x:v>Midfield</x:v>
      </x:c>
      <x:c r="G565" s="51" t="str">
        <x:v>Rotation</x:v>
      </x:c>
      <x:c r="H565" s="55" t="n">
        <x:v>0.35</x:v>
      </x:c>
      <x:c r="I565" s="51" t="str"/>
      <x:c r="J565" s="72" t="str"/>
      <x:c r="K565" s="72" t="str"/>
      <x:c r="L565" s="72" t="str"/>
      <x:c r="M565" s="72" t="str"/>
      <x:c r="N565" s="72" t="str"/>
      <x:c r="O565" s="72" t="str"/>
      <x:c r="P565" s="72" t="str">
        <x:v>Available</x:v>
      </x:c>
      <x:c r="Q565" s="72" t="n">
        <x:v>0</x:v>
      </x:c>
      <x:c r="R565" s="55" t="str">
        <x:f>IF($D565="","",ROUND(MAX(0,MIN(100,0.35*$J565+0.2*$K565+0.15*$L565+0.15*$M565+0.1*$N565+0.05*$O565-IF(OR($P565="Out",$P565="Suspended"),$Q565,IF($P565="Doubtful",$Q565*0.5,IF($P565="Limited",$Q565*0.25,0))))),2))</x:f>
      </x:c>
      <x:c r="S565" s="55" t="n">
        <x:f>IF($D565="",0,ROUND(IF(OR($P565="Out",$P565="Suspended"),$Q565*$H565,IF($P565="Doubtful",$Q565*$H565*0.5,IF($P565="Limited",$Q565*$H565*0.25,0))),2))</x:f>
        <x:v>0</x:v>
      </x:c>
      <x:c r="T565" s="55" t="str"/>
      <x:c r="U565" s="51" t="str"/>
    </x:row>
    <x:row r="566">
      <x:c r="A566" s="51" t="str">
        <x:v>Netherlands</x:v>
      </x:c>
      <x:c r="B566" s="51" t="str">
        <x:v>F</x:v>
      </x:c>
      <x:c r="C566" s="51" t="n">
        <x:v>16</x:v>
      </x:c>
      <x:c r="D566" s="71" t="str"/>
      <x:c r="E566" s="51" t="str">
        <x:v>AM</x:v>
      </x:c>
      <x:c r="F566" s="51" t="str">
        <x:v>Attack</x:v>
      </x:c>
      <x:c r="G566" s="51" t="str">
        <x:v>Rotation</x:v>
      </x:c>
      <x:c r="H566" s="55" t="n">
        <x:v>0.35</x:v>
      </x:c>
      <x:c r="I566" s="51" t="str"/>
      <x:c r="J566" s="72" t="str"/>
      <x:c r="K566" s="72" t="str"/>
      <x:c r="L566" s="72" t="str"/>
      <x:c r="M566" s="72" t="str"/>
      <x:c r="N566" s="72" t="str"/>
      <x:c r="O566" s="72" t="str"/>
      <x:c r="P566" s="72" t="str">
        <x:v>Available</x:v>
      </x:c>
      <x:c r="Q566" s="72" t="n">
        <x:v>0</x:v>
      </x:c>
      <x:c r="R566" s="55" t="str">
        <x:f>IF($D566="","",ROUND(MAX(0,MIN(100,0.35*$J566+0.2*$K566+0.15*$L566+0.15*$M566+0.1*$N566+0.05*$O566-IF(OR($P566="Out",$P566="Suspended"),$Q566,IF($P566="Doubtful",$Q566*0.5,IF($P566="Limited",$Q566*0.25,0))))),2))</x:f>
      </x:c>
      <x:c r="S566" s="55" t="n">
        <x:f>IF($D566="",0,ROUND(IF(OR($P566="Out",$P566="Suspended"),$Q566*$H566,IF($P566="Doubtful",$Q566*$H566*0.5,IF($P566="Limited",$Q566*$H566*0.25,0))),2))</x:f>
        <x:v>0</x:v>
      </x:c>
      <x:c r="T566" s="55" t="str"/>
      <x:c r="U566" s="51" t="str"/>
    </x:row>
    <x:row r="567">
      <x:c r="A567" s="51" t="str">
        <x:v>Netherlands</x:v>
      </x:c>
      <x:c r="B567" s="51" t="str">
        <x:v>F</x:v>
      </x:c>
      <x:c r="C567" s="51" t="n">
        <x:v>17</x:v>
      </x:c>
      <x:c r="D567" s="71" t="str"/>
      <x:c r="E567" s="51" t="str">
        <x:v>AM</x:v>
      </x:c>
      <x:c r="F567" s="51" t="str">
        <x:v>Attack</x:v>
      </x:c>
      <x:c r="G567" s="51" t="str">
        <x:v>Rotation</x:v>
      </x:c>
      <x:c r="H567" s="55" t="n">
        <x:v>0.35</x:v>
      </x:c>
      <x:c r="I567" s="51" t="str"/>
      <x:c r="J567" s="72" t="str"/>
      <x:c r="K567" s="72" t="str"/>
      <x:c r="L567" s="72" t="str"/>
      <x:c r="M567" s="72" t="str"/>
      <x:c r="N567" s="72" t="str"/>
      <x:c r="O567" s="72" t="str"/>
      <x:c r="P567" s="72" t="str">
        <x:v>Available</x:v>
      </x:c>
      <x:c r="Q567" s="72" t="n">
        <x:v>0</x:v>
      </x:c>
      <x:c r="R567" s="55" t="str">
        <x:f>IF($D567="","",ROUND(MAX(0,MIN(100,0.35*$J567+0.2*$K567+0.15*$L567+0.15*$M567+0.1*$N567+0.05*$O567-IF(OR($P567="Out",$P567="Suspended"),$Q567,IF($P567="Doubtful",$Q567*0.5,IF($P567="Limited",$Q567*0.25,0))))),2))</x:f>
      </x:c>
      <x:c r="S567" s="55" t="n">
        <x:f>IF($D567="",0,ROUND(IF(OR($P567="Out",$P567="Suspended"),$Q567*$H567,IF($P567="Doubtful",$Q567*$H567*0.5,IF($P567="Limited",$Q567*$H567*0.25,0))),2))</x:f>
        <x:v>0</x:v>
      </x:c>
      <x:c r="T567" s="55" t="str"/>
      <x:c r="U567" s="51" t="str"/>
    </x:row>
    <x:row r="568">
      <x:c r="A568" s="51" t="str">
        <x:v>Netherlands</x:v>
      </x:c>
      <x:c r="B568" s="51" t="str">
        <x:v>F</x:v>
      </x:c>
      <x:c r="C568" s="51" t="n">
        <x:v>18</x:v>
      </x:c>
      <x:c r="D568" s="71" t="str"/>
      <x:c r="E568" s="51" t="str">
        <x:v>AM</x:v>
      </x:c>
      <x:c r="F568" s="51" t="str">
        <x:v>Attack</x:v>
      </x:c>
      <x:c r="G568" s="51" t="str">
        <x:v>Rotation</x:v>
      </x:c>
      <x:c r="H568" s="55" t="n">
        <x:v>0.35</x:v>
      </x:c>
      <x:c r="I568" s="51" t="str"/>
      <x:c r="J568" s="72" t="str"/>
      <x:c r="K568" s="72" t="str"/>
      <x:c r="L568" s="72" t="str"/>
      <x:c r="M568" s="72" t="str"/>
      <x:c r="N568" s="72" t="str"/>
      <x:c r="O568" s="72" t="str"/>
      <x:c r="P568" s="72" t="str">
        <x:v>Available</x:v>
      </x:c>
      <x:c r="Q568" s="72" t="n">
        <x:v>0</x:v>
      </x:c>
      <x:c r="R568" s="55" t="str">
        <x:f>IF($D568="","",ROUND(MAX(0,MIN(100,0.35*$J568+0.2*$K568+0.15*$L568+0.15*$M568+0.1*$N568+0.05*$O568-IF(OR($P568="Out",$P568="Suspended"),$Q568,IF($P568="Doubtful",$Q568*0.5,IF($P568="Limited",$Q568*0.25,0))))),2))</x:f>
      </x:c>
      <x:c r="S568" s="55" t="n">
        <x:f>IF($D568="",0,ROUND(IF(OR($P568="Out",$P568="Suspended"),$Q568*$H568,IF($P568="Doubtful",$Q568*$H568*0.5,IF($P568="Limited",$Q568*$H568*0.25,0))),2))</x:f>
        <x:v>0</x:v>
      </x:c>
      <x:c r="T568" s="55" t="str"/>
      <x:c r="U568" s="51" t="str"/>
    </x:row>
    <x:row r="569">
      <x:c r="A569" s="51" t="str">
        <x:v>Netherlands</x:v>
      </x:c>
      <x:c r="B569" s="51" t="str">
        <x:v>F</x:v>
      </x:c>
      <x:c r="C569" s="51" t="n">
        <x:v>19</x:v>
      </x:c>
      <x:c r="D569" s="71" t="str"/>
      <x:c r="E569" s="51" t="str">
        <x:v>AM</x:v>
      </x:c>
      <x:c r="F569" s="51" t="str">
        <x:v>Attack</x:v>
      </x:c>
      <x:c r="G569" s="51" t="str">
        <x:v>Rotation</x:v>
      </x:c>
      <x:c r="H569" s="55" t="n">
        <x:v>0.35</x:v>
      </x:c>
      <x:c r="I569" s="51" t="str"/>
      <x:c r="J569" s="72" t="str"/>
      <x:c r="K569" s="72" t="str"/>
      <x:c r="L569" s="72" t="str"/>
      <x:c r="M569" s="72" t="str"/>
      <x:c r="N569" s="72" t="str"/>
      <x:c r="O569" s="72" t="str"/>
      <x:c r="P569" s="72" t="str">
        <x:v>Available</x:v>
      </x:c>
      <x:c r="Q569" s="72" t="n">
        <x:v>0</x:v>
      </x:c>
      <x:c r="R569" s="55" t="str">
        <x:f>IF($D569="","",ROUND(MAX(0,MIN(100,0.35*$J569+0.2*$K569+0.15*$L569+0.15*$M569+0.1*$N569+0.05*$O569-IF(OR($P569="Out",$P569="Suspended"),$Q569,IF($P569="Doubtful",$Q569*0.5,IF($P569="Limited",$Q569*0.25,0))))),2))</x:f>
      </x:c>
      <x:c r="S569" s="55" t="n">
        <x:f>IF($D569="",0,ROUND(IF(OR($P569="Out",$P569="Suspended"),$Q569*$H569,IF($P569="Doubtful",$Q569*$H569*0.5,IF($P569="Limited",$Q569*$H569*0.25,0))),2))</x:f>
        <x:v>0</x:v>
      </x:c>
      <x:c r="T569" s="55" t="str"/>
      <x:c r="U569" s="51" t="str"/>
    </x:row>
    <x:row r="570">
      <x:c r="A570" s="51" t="str">
        <x:v>Netherlands</x:v>
      </x:c>
      <x:c r="B570" s="51" t="str">
        <x:v>F</x:v>
      </x:c>
      <x:c r="C570" s="51" t="n">
        <x:v>20</x:v>
      </x:c>
      <x:c r="D570" s="71" t="str"/>
      <x:c r="E570" s="51" t="str">
        <x:v>Winger</x:v>
      </x:c>
      <x:c r="F570" s="51" t="str">
        <x:v>Attack</x:v>
      </x:c>
      <x:c r="G570" s="51" t="str">
        <x:v>Rotation</x:v>
      </x:c>
      <x:c r="H570" s="55" t="n">
        <x:v>0.35</x:v>
      </x:c>
      <x:c r="I570" s="51" t="str"/>
      <x:c r="J570" s="72" t="str"/>
      <x:c r="K570" s="72" t="str"/>
      <x:c r="L570" s="72" t="str"/>
      <x:c r="M570" s="72" t="str"/>
      <x:c r="N570" s="72" t="str"/>
      <x:c r="O570" s="72" t="str"/>
      <x:c r="P570" s="72" t="str">
        <x:v>Available</x:v>
      </x:c>
      <x:c r="Q570" s="72" t="n">
        <x:v>0</x:v>
      </x:c>
      <x:c r="R570" s="55" t="str">
        <x:f>IF($D570="","",ROUND(MAX(0,MIN(100,0.35*$J570+0.2*$K570+0.15*$L570+0.15*$M570+0.1*$N570+0.05*$O570-IF(OR($P570="Out",$P570="Suspended"),$Q570,IF($P570="Doubtful",$Q570*0.5,IF($P570="Limited",$Q570*0.25,0))))),2))</x:f>
      </x:c>
      <x:c r="S570" s="55" t="n">
        <x:f>IF($D570="",0,ROUND(IF(OR($P570="Out",$P570="Suspended"),$Q570*$H570,IF($P570="Doubtful",$Q570*$H570*0.5,IF($P570="Limited",$Q570*$H570*0.25,0))),2))</x:f>
        <x:v>0</x:v>
      </x:c>
      <x:c r="T570" s="55" t="str"/>
      <x:c r="U570" s="51" t="str"/>
    </x:row>
    <x:row r="571">
      <x:c r="A571" s="51" t="str">
        <x:v>Netherlands</x:v>
      </x:c>
      <x:c r="B571" s="51" t="str">
        <x:v>F</x:v>
      </x:c>
      <x:c r="C571" s="51" t="n">
        <x:v>21</x:v>
      </x:c>
      <x:c r="D571" s="71" t="str"/>
      <x:c r="E571" s="51" t="str">
        <x:v>Winger</x:v>
      </x:c>
      <x:c r="F571" s="51" t="str">
        <x:v>Attack</x:v>
      </x:c>
      <x:c r="G571" s="51" t="str">
        <x:v>Depth</x:v>
      </x:c>
      <x:c r="H571" s="55" t="n">
        <x:v>0.1</x:v>
      </x:c>
      <x:c r="I571" s="51" t="str"/>
      <x:c r="J571" s="72" t="str"/>
      <x:c r="K571" s="72" t="str"/>
      <x:c r="L571" s="72" t="str"/>
      <x:c r="M571" s="72" t="str"/>
      <x:c r="N571" s="72" t="str"/>
      <x:c r="O571" s="72" t="str"/>
      <x:c r="P571" s="72" t="str">
        <x:v>Available</x:v>
      </x:c>
      <x:c r="Q571" s="72" t="n">
        <x:v>0</x:v>
      </x:c>
      <x:c r="R571" s="55" t="str">
        <x:f>IF($D571="","",ROUND(MAX(0,MIN(100,0.35*$J571+0.2*$K571+0.15*$L571+0.15*$M571+0.1*$N571+0.05*$O571-IF(OR($P571="Out",$P571="Suspended"),$Q571,IF($P571="Doubtful",$Q571*0.5,IF($P571="Limited",$Q571*0.25,0))))),2))</x:f>
      </x:c>
      <x:c r="S571" s="55" t="n">
        <x:f>IF($D571="",0,ROUND(IF(OR($P571="Out",$P571="Suspended"),$Q571*$H571,IF($P571="Doubtful",$Q571*$H571*0.5,IF($P571="Limited",$Q571*$H571*0.25,0))),2))</x:f>
        <x:v>0</x:v>
      </x:c>
      <x:c r="T571" s="55" t="str"/>
      <x:c r="U571" s="51" t="str"/>
    </x:row>
    <x:row r="572">
      <x:c r="A572" s="51" t="str">
        <x:v>Netherlands</x:v>
      </x:c>
      <x:c r="B572" s="51" t="str">
        <x:v>F</x:v>
      </x:c>
      <x:c r="C572" s="51" t="n">
        <x:v>22</x:v>
      </x:c>
      <x:c r="D572" s="71" t="str"/>
      <x:c r="E572" s="51" t="str">
        <x:v>Winger</x:v>
      </x:c>
      <x:c r="F572" s="51" t="str">
        <x:v>Attack</x:v>
      </x:c>
      <x:c r="G572" s="51" t="str">
        <x:v>Depth</x:v>
      </x:c>
      <x:c r="H572" s="55" t="n">
        <x:v>0.1</x:v>
      </x:c>
      <x:c r="I572" s="51" t="str"/>
      <x:c r="J572" s="72" t="str"/>
      <x:c r="K572" s="72" t="str"/>
      <x:c r="L572" s="72" t="str"/>
      <x:c r="M572" s="72" t="str"/>
      <x:c r="N572" s="72" t="str"/>
      <x:c r="O572" s="72" t="str"/>
      <x:c r="P572" s="72" t="str">
        <x:v>Available</x:v>
      </x:c>
      <x:c r="Q572" s="72" t="n">
        <x:v>0</x:v>
      </x:c>
      <x:c r="R572" s="55" t="str">
        <x:f>IF($D572="","",ROUND(MAX(0,MIN(100,0.35*$J572+0.2*$K572+0.15*$L572+0.15*$M572+0.1*$N572+0.05*$O572-IF(OR($P572="Out",$P572="Suspended"),$Q572,IF($P572="Doubtful",$Q572*0.5,IF($P572="Limited",$Q572*0.25,0))))),2))</x:f>
      </x:c>
      <x:c r="S572" s="55" t="n">
        <x:f>IF($D572="",0,ROUND(IF(OR($P572="Out",$P572="Suspended"),$Q572*$H572,IF($P572="Doubtful",$Q572*$H572*0.5,IF($P572="Limited",$Q572*$H572*0.25,0))),2))</x:f>
        <x:v>0</x:v>
      </x:c>
      <x:c r="T572" s="55" t="str"/>
      <x:c r="U572" s="51" t="str"/>
    </x:row>
    <x:row r="573">
      <x:c r="A573" s="51" t="str">
        <x:v>Netherlands</x:v>
      </x:c>
      <x:c r="B573" s="51" t="str">
        <x:v>F</x:v>
      </x:c>
      <x:c r="C573" s="51" t="n">
        <x:v>23</x:v>
      </x:c>
      <x:c r="D573" s="71" t="str"/>
      <x:c r="E573" s="51" t="str">
        <x:v>Winger</x:v>
      </x:c>
      <x:c r="F573" s="51" t="str">
        <x:v>Attack</x:v>
      </x:c>
      <x:c r="G573" s="51" t="str">
        <x:v>Depth</x:v>
      </x:c>
      <x:c r="H573" s="55" t="n">
        <x:v>0.1</x:v>
      </x:c>
      <x:c r="I573" s="51" t="str"/>
      <x:c r="J573" s="72" t="str"/>
      <x:c r="K573" s="72" t="str"/>
      <x:c r="L573" s="72" t="str"/>
      <x:c r="M573" s="72" t="str"/>
      <x:c r="N573" s="72" t="str"/>
      <x:c r="O573" s="72" t="str"/>
      <x:c r="P573" s="72" t="str">
        <x:v>Available</x:v>
      </x:c>
      <x:c r="Q573" s="72" t="n">
        <x:v>0</x:v>
      </x:c>
      <x:c r="R573" s="55" t="str">
        <x:f>IF($D573="","",ROUND(MAX(0,MIN(100,0.35*$J573+0.2*$K573+0.15*$L573+0.15*$M573+0.1*$N573+0.05*$O573-IF(OR($P573="Out",$P573="Suspended"),$Q573,IF($P573="Doubtful",$Q573*0.5,IF($P573="Limited",$Q573*0.25,0))))),2))</x:f>
      </x:c>
      <x:c r="S573" s="55" t="n">
        <x:f>IF($D573="",0,ROUND(IF(OR($P573="Out",$P573="Suspended"),$Q573*$H573,IF($P573="Doubtful",$Q573*$H573*0.5,IF($P573="Limited",$Q573*$H573*0.25,0))),2))</x:f>
        <x:v>0</x:v>
      </x:c>
      <x:c r="T573" s="55" t="str"/>
      <x:c r="U573" s="51" t="str"/>
    </x:row>
    <x:row r="574">
      <x:c r="A574" s="51" t="str">
        <x:v>Netherlands</x:v>
      </x:c>
      <x:c r="B574" s="51" t="str">
        <x:v>F</x:v>
      </x:c>
      <x:c r="C574" s="51" t="n">
        <x:v>24</x:v>
      </x:c>
      <x:c r="D574" s="71" t="str"/>
      <x:c r="E574" s="51" t="str">
        <x:v>ST</x:v>
      </x:c>
      <x:c r="F574" s="51" t="str">
        <x:v>Attack</x:v>
      </x:c>
      <x:c r="G574" s="51" t="str">
        <x:v>Depth</x:v>
      </x:c>
      <x:c r="H574" s="55" t="n">
        <x:v>0.1</x:v>
      </x:c>
      <x:c r="I574" s="51" t="str"/>
      <x:c r="J574" s="72" t="str"/>
      <x:c r="K574" s="72" t="str"/>
      <x:c r="L574" s="72" t="str"/>
      <x:c r="M574" s="72" t="str"/>
      <x:c r="N574" s="72" t="str"/>
      <x:c r="O574" s="72" t="str"/>
      <x:c r="P574" s="72" t="str">
        <x:v>Available</x:v>
      </x:c>
      <x:c r="Q574" s="72" t="n">
        <x:v>0</x:v>
      </x:c>
      <x:c r="R574" s="55" t="str">
        <x:f>IF($D574="","",ROUND(MAX(0,MIN(100,0.35*$J574+0.2*$K574+0.15*$L574+0.15*$M574+0.1*$N574+0.05*$O574-IF(OR($P574="Out",$P574="Suspended"),$Q574,IF($P574="Doubtful",$Q574*0.5,IF($P574="Limited",$Q574*0.25,0))))),2))</x:f>
      </x:c>
      <x:c r="S574" s="55" t="n">
        <x:f>IF($D574="",0,ROUND(IF(OR($P574="Out",$P574="Suspended"),$Q574*$H574,IF($P574="Doubtful",$Q574*$H574*0.5,IF($P574="Limited",$Q574*$H574*0.25,0))),2))</x:f>
        <x:v>0</x:v>
      </x:c>
      <x:c r="T574" s="55" t="str"/>
      <x:c r="U574" s="51" t="str"/>
    </x:row>
    <x:row r="575">
      <x:c r="A575" s="51" t="str">
        <x:v>Netherlands</x:v>
      </x:c>
      <x:c r="B575" s="51" t="str">
        <x:v>F</x:v>
      </x:c>
      <x:c r="C575" s="51" t="n">
        <x:v>25</x:v>
      </x:c>
      <x:c r="D575" s="71" t="str"/>
      <x:c r="E575" s="51" t="str">
        <x:v>ST</x:v>
      </x:c>
      <x:c r="F575" s="51" t="str">
        <x:v>Attack</x:v>
      </x:c>
      <x:c r="G575" s="51" t="str">
        <x:v>Depth</x:v>
      </x:c>
      <x:c r="H575" s="55" t="n">
        <x:v>0.1</x:v>
      </x:c>
      <x:c r="I575" s="51" t="str"/>
      <x:c r="J575" s="72" t="str"/>
      <x:c r="K575" s="72" t="str"/>
      <x:c r="L575" s="72" t="str"/>
      <x:c r="M575" s="72" t="str"/>
      <x:c r="N575" s="72" t="str"/>
      <x:c r="O575" s="72" t="str"/>
      <x:c r="P575" s="72" t="str">
        <x:v>Available</x:v>
      </x:c>
      <x:c r="Q575" s="72" t="n">
        <x:v>0</x:v>
      </x:c>
      <x:c r="R575" s="55" t="str">
        <x:f>IF($D575="","",ROUND(MAX(0,MIN(100,0.35*$J575+0.2*$K575+0.15*$L575+0.15*$M575+0.1*$N575+0.05*$O575-IF(OR($P575="Out",$P575="Suspended"),$Q575,IF($P575="Doubtful",$Q575*0.5,IF($P575="Limited",$Q575*0.25,0))))),2))</x:f>
      </x:c>
      <x:c r="S575" s="55" t="n">
        <x:f>IF($D575="",0,ROUND(IF(OR($P575="Out",$P575="Suspended"),$Q575*$H575,IF($P575="Doubtful",$Q575*$H575*0.5,IF($P575="Limited",$Q575*$H575*0.25,0))),2))</x:f>
        <x:v>0</x:v>
      </x:c>
      <x:c r="T575" s="55" t="str"/>
      <x:c r="U575" s="51" t="str"/>
    </x:row>
    <x:row r="576">
      <x:c r="A576" s="51" t="str">
        <x:v>Netherlands</x:v>
      </x:c>
      <x:c r="B576" s="51" t="str">
        <x:v>F</x:v>
      </x:c>
      <x:c r="C576" s="51" t="n">
        <x:v>26</x:v>
      </x:c>
      <x:c r="D576" s="71" t="str"/>
      <x:c r="E576" s="51" t="str">
        <x:v>ST</x:v>
      </x:c>
      <x:c r="F576" s="51" t="str">
        <x:v>Attack</x:v>
      </x:c>
      <x:c r="G576" s="51" t="str">
        <x:v>Depth</x:v>
      </x:c>
      <x:c r="H576" s="55" t="n">
        <x:v>0.1</x:v>
      </x:c>
      <x:c r="I576" s="51" t="str"/>
      <x:c r="J576" s="72" t="str"/>
      <x:c r="K576" s="72" t="str"/>
      <x:c r="L576" s="72" t="str"/>
      <x:c r="M576" s="72" t="str"/>
      <x:c r="N576" s="72" t="str"/>
      <x:c r="O576" s="72" t="str"/>
      <x:c r="P576" s="72" t="str">
        <x:v>Available</x:v>
      </x:c>
      <x:c r="Q576" s="72" t="n">
        <x:v>0</x:v>
      </x:c>
      <x:c r="R576" s="55" t="str">
        <x:f>IF($D576="","",ROUND(MAX(0,MIN(100,0.35*$J576+0.2*$K576+0.15*$L576+0.15*$M576+0.1*$N576+0.05*$O576-IF(OR($P576="Out",$P576="Suspended"),$Q576,IF($P576="Doubtful",$Q576*0.5,IF($P576="Limited",$Q576*0.25,0))))),2))</x:f>
      </x:c>
      <x:c r="S576" s="55" t="n">
        <x:f>IF($D576="",0,ROUND(IF(OR($P576="Out",$P576="Suspended"),$Q576*$H576,IF($P576="Doubtful",$Q576*$H576*0.5,IF($P576="Limited",$Q576*$H576*0.25,0))),2))</x:f>
        <x:v>0</x:v>
      </x:c>
      <x:c r="T576" s="55" t="str"/>
      <x:c r="U576" s="51" t="str"/>
    </x:row>
    <x:row r="577">
      <x:c r="A577" s="51" t="str">
        <x:v>Sweden</x:v>
      </x:c>
      <x:c r="B577" s="51" t="str">
        <x:v>F</x:v>
      </x:c>
      <x:c r="C577" s="51" t="n">
        <x:v>1</x:v>
      </x:c>
      <x:c r="D577" s="71" t="str"/>
      <x:c r="E577" s="51" t="str">
        <x:v>GK</x:v>
      </x:c>
      <x:c r="F577" s="51" t="str">
        <x:v>GK</x:v>
      </x:c>
      <x:c r="G577" s="51" t="str">
        <x:v>Starter</x:v>
      </x:c>
      <x:c r="H577" s="55" t="n">
        <x:v>1</x:v>
      </x:c>
      <x:c r="I577" s="51" t="str"/>
      <x:c r="J577" s="72" t="str"/>
      <x:c r="K577" s="72" t="str"/>
      <x:c r="L577" s="72" t="str"/>
      <x:c r="M577" s="72" t="str"/>
      <x:c r="N577" s="72" t="str"/>
      <x:c r="O577" s="72" t="str"/>
      <x:c r="P577" s="72" t="str">
        <x:v>Available</x:v>
      </x:c>
      <x:c r="Q577" s="72" t="n">
        <x:v>0</x:v>
      </x:c>
      <x:c r="R577" s="55" t="str">
        <x:f>IF($D577="","",ROUND(MAX(0,MIN(100,0.35*$J577+0.2*$K577+0.15*$L577+0.15*$M577+0.1*$N577+0.05*$O577-IF(OR($P577="Out",$P577="Suspended"),$Q577,IF($P577="Doubtful",$Q577*0.5,IF($P577="Limited",$Q577*0.25,0))))),2))</x:f>
      </x:c>
      <x:c r="S577" s="55" t="n">
        <x:f>IF($D577="",0,ROUND(IF(OR($P577="Out",$P577="Suspended"),$Q577*$H577,IF($P577="Doubtful",$Q577*$H577*0.5,IF($P577="Limited",$Q577*$H577*0.25,0))),2))</x:f>
        <x:v>0</x:v>
      </x:c>
      <x:c r="T577" s="55" t="str"/>
      <x:c r="U577" s="51" t="str"/>
    </x:row>
    <x:row r="578">
      <x:c r="A578" s="51" t="str">
        <x:v>Sweden</x:v>
      </x:c>
      <x:c r="B578" s="51" t="str">
        <x:v>F</x:v>
      </x:c>
      <x:c r="C578" s="51" t="n">
        <x:v>2</x:v>
      </x:c>
      <x:c r="D578" s="71" t="str"/>
      <x:c r="E578" s="51" t="str">
        <x:v>GK</x:v>
      </x:c>
      <x:c r="F578" s="51" t="str">
        <x:v>GK</x:v>
      </x:c>
      <x:c r="G578" s="51" t="str">
        <x:v>Starter</x:v>
      </x:c>
      <x:c r="H578" s="55" t="n">
        <x:v>1</x:v>
      </x:c>
      <x:c r="I578" s="51" t="str"/>
      <x:c r="J578" s="72" t="str"/>
      <x:c r="K578" s="72" t="str"/>
      <x:c r="L578" s="72" t="str"/>
      <x:c r="M578" s="72" t="str"/>
      <x:c r="N578" s="72" t="str"/>
      <x:c r="O578" s="72" t="str"/>
      <x:c r="P578" s="72" t="str">
        <x:v>Available</x:v>
      </x:c>
      <x:c r="Q578" s="72" t="n">
        <x:v>0</x:v>
      </x:c>
      <x:c r="R578" s="55" t="str">
        <x:f>IF($D578="","",ROUND(MAX(0,MIN(100,0.35*$J578+0.2*$K578+0.15*$L578+0.15*$M578+0.1*$N578+0.05*$O578-IF(OR($P578="Out",$P578="Suspended"),$Q578,IF($P578="Doubtful",$Q578*0.5,IF($P578="Limited",$Q578*0.25,0))))),2))</x:f>
      </x:c>
      <x:c r="S578" s="55" t="n">
        <x:f>IF($D578="",0,ROUND(IF(OR($P578="Out",$P578="Suspended"),$Q578*$H578,IF($P578="Doubtful",$Q578*$H578*0.5,IF($P578="Limited",$Q578*$H578*0.25,0))),2))</x:f>
        <x:v>0</x:v>
      </x:c>
      <x:c r="T578" s="55" t="str"/>
      <x:c r="U578" s="51" t="str"/>
    </x:row>
    <x:row r="579">
      <x:c r="A579" s="51" t="str">
        <x:v>Sweden</x:v>
      </x:c>
      <x:c r="B579" s="51" t="str">
        <x:v>F</x:v>
      </x:c>
      <x:c r="C579" s="51" t="n">
        <x:v>3</x:v>
      </x:c>
      <x:c r="D579" s="71" t="str"/>
      <x:c r="E579" s="51" t="str">
        <x:v>GK</x:v>
      </x:c>
      <x:c r="F579" s="51" t="str">
        <x:v>GK</x:v>
      </x:c>
      <x:c r="G579" s="51" t="str">
        <x:v>Starter</x:v>
      </x:c>
      <x:c r="H579" s="55" t="n">
        <x:v>1</x:v>
      </x:c>
      <x:c r="I579" s="51" t="str"/>
      <x:c r="J579" s="72" t="str"/>
      <x:c r="K579" s="72" t="str"/>
      <x:c r="L579" s="72" t="str"/>
      <x:c r="M579" s="72" t="str"/>
      <x:c r="N579" s="72" t="str"/>
      <x:c r="O579" s="72" t="str"/>
      <x:c r="P579" s="72" t="str">
        <x:v>Available</x:v>
      </x:c>
      <x:c r="Q579" s="72" t="n">
        <x:v>0</x:v>
      </x:c>
      <x:c r="R579" s="55" t="str">
        <x:f>IF($D579="","",ROUND(MAX(0,MIN(100,0.35*$J579+0.2*$K579+0.15*$L579+0.15*$M579+0.1*$N579+0.05*$O579-IF(OR($P579="Out",$P579="Suspended"),$Q579,IF($P579="Doubtful",$Q579*0.5,IF($P579="Limited",$Q579*0.25,0))))),2))</x:f>
      </x:c>
      <x:c r="S579" s="55" t="n">
        <x:f>IF($D579="",0,ROUND(IF(OR($P579="Out",$P579="Suspended"),$Q579*$H579,IF($P579="Doubtful",$Q579*$H579*0.5,IF($P579="Limited",$Q579*$H579*0.25,0))),2))</x:f>
        <x:v>0</x:v>
      </x:c>
      <x:c r="T579" s="55" t="str"/>
      <x:c r="U579" s="51" t="str"/>
    </x:row>
    <x:row r="580">
      <x:c r="A580" s="51" t="str">
        <x:v>Sweden</x:v>
      </x:c>
      <x:c r="B580" s="51" t="str">
        <x:v>F</x:v>
      </x:c>
      <x:c r="C580" s="51" t="n">
        <x:v>4</x:v>
      </x:c>
      <x:c r="D580" s="71" t="str"/>
      <x:c r="E580" s="51" t="str">
        <x:v>CB</x:v>
      </x:c>
      <x:c r="F580" s="51" t="str">
        <x:v>Defence</x:v>
      </x:c>
      <x:c r="G580" s="51" t="str">
        <x:v>Starter</x:v>
      </x:c>
      <x:c r="H580" s="55" t="n">
        <x:v>1</x:v>
      </x:c>
      <x:c r="I580" s="51" t="str"/>
      <x:c r="J580" s="72" t="str"/>
      <x:c r="K580" s="72" t="str"/>
      <x:c r="L580" s="72" t="str"/>
      <x:c r="M580" s="72" t="str"/>
      <x:c r="N580" s="72" t="str"/>
      <x:c r="O580" s="72" t="str"/>
      <x:c r="P580" s="72" t="str">
        <x:v>Available</x:v>
      </x:c>
      <x:c r="Q580" s="72" t="n">
        <x:v>0</x:v>
      </x:c>
      <x:c r="R580" s="55" t="str">
        <x:f>IF($D580="","",ROUND(MAX(0,MIN(100,0.35*$J580+0.2*$K580+0.15*$L580+0.15*$M580+0.1*$N580+0.05*$O580-IF(OR($P580="Out",$P580="Suspended"),$Q580,IF($P580="Doubtful",$Q580*0.5,IF($P580="Limited",$Q580*0.25,0))))),2))</x:f>
      </x:c>
      <x:c r="S580" s="55" t="n">
        <x:f>IF($D580="",0,ROUND(IF(OR($P580="Out",$P580="Suspended"),$Q580*$H580,IF($P580="Doubtful",$Q580*$H580*0.5,IF($P580="Limited",$Q580*$H580*0.25,0))),2))</x:f>
        <x:v>0</x:v>
      </x:c>
      <x:c r="T580" s="55" t="str"/>
      <x:c r="U580" s="51" t="str"/>
    </x:row>
    <x:row r="581">
      <x:c r="A581" s="51" t="str">
        <x:v>Sweden</x:v>
      </x:c>
      <x:c r="B581" s="51" t="str">
        <x:v>F</x:v>
      </x:c>
      <x:c r="C581" s="51" t="n">
        <x:v>5</x:v>
      </x:c>
      <x:c r="D581" s="71" t="str"/>
      <x:c r="E581" s="51" t="str">
        <x:v>CB</x:v>
      </x:c>
      <x:c r="F581" s="51" t="str">
        <x:v>Defence</x:v>
      </x:c>
      <x:c r="G581" s="51" t="str">
        <x:v>Starter</x:v>
      </x:c>
      <x:c r="H581" s="55" t="n">
        <x:v>1</x:v>
      </x:c>
      <x:c r="I581" s="51" t="str"/>
      <x:c r="J581" s="72" t="str"/>
      <x:c r="K581" s="72" t="str"/>
      <x:c r="L581" s="72" t="str"/>
      <x:c r="M581" s="72" t="str"/>
      <x:c r="N581" s="72" t="str"/>
      <x:c r="O581" s="72" t="str"/>
      <x:c r="P581" s="72" t="str">
        <x:v>Available</x:v>
      </x:c>
      <x:c r="Q581" s="72" t="n">
        <x:v>0</x:v>
      </x:c>
      <x:c r="R581" s="55" t="str">
        <x:f>IF($D581="","",ROUND(MAX(0,MIN(100,0.35*$J581+0.2*$K581+0.15*$L581+0.15*$M581+0.1*$N581+0.05*$O581-IF(OR($P581="Out",$P581="Suspended"),$Q581,IF($P581="Doubtful",$Q581*0.5,IF($P581="Limited",$Q581*0.25,0))))),2))</x:f>
      </x:c>
      <x:c r="S581" s="55" t="n">
        <x:f>IF($D581="",0,ROUND(IF(OR($P581="Out",$P581="Suspended"),$Q581*$H581,IF($P581="Doubtful",$Q581*$H581*0.5,IF($P581="Limited",$Q581*$H581*0.25,0))),2))</x:f>
        <x:v>0</x:v>
      </x:c>
      <x:c r="T581" s="55" t="str"/>
      <x:c r="U581" s="51" t="str"/>
    </x:row>
    <x:row r="582">
      <x:c r="A582" s="51" t="str">
        <x:v>Sweden</x:v>
      </x:c>
      <x:c r="B582" s="51" t="str">
        <x:v>F</x:v>
      </x:c>
      <x:c r="C582" s="51" t="n">
        <x:v>6</x:v>
      </x:c>
      <x:c r="D582" s="71" t="str"/>
      <x:c r="E582" s="51" t="str">
        <x:v>CB</x:v>
      </x:c>
      <x:c r="F582" s="51" t="str">
        <x:v>Defence</x:v>
      </x:c>
      <x:c r="G582" s="51" t="str">
        <x:v>Starter</x:v>
      </x:c>
      <x:c r="H582" s="55" t="n">
        <x:v>1</x:v>
      </x:c>
      <x:c r="I582" s="51" t="str"/>
      <x:c r="J582" s="72" t="str"/>
      <x:c r="K582" s="72" t="str"/>
      <x:c r="L582" s="72" t="str"/>
      <x:c r="M582" s="72" t="str"/>
      <x:c r="N582" s="72" t="str"/>
      <x:c r="O582" s="72" t="str"/>
      <x:c r="P582" s="72" t="str">
        <x:v>Available</x:v>
      </x:c>
      <x:c r="Q582" s="72" t="n">
        <x:v>0</x:v>
      </x:c>
      <x:c r="R582" s="55" t="str">
        <x:f>IF($D582="","",ROUND(MAX(0,MIN(100,0.35*$J582+0.2*$K582+0.15*$L582+0.15*$M582+0.1*$N582+0.05*$O582-IF(OR($P582="Out",$P582="Suspended"),$Q582,IF($P582="Doubtful",$Q582*0.5,IF($P582="Limited",$Q582*0.25,0))))),2))</x:f>
      </x:c>
      <x:c r="S582" s="55" t="n">
        <x:f>IF($D582="",0,ROUND(IF(OR($P582="Out",$P582="Suspended"),$Q582*$H582,IF($P582="Doubtful",$Q582*$H582*0.5,IF($P582="Limited",$Q582*$H582*0.25,0))),2))</x:f>
        <x:v>0</x:v>
      </x:c>
      <x:c r="T582" s="55" t="str"/>
      <x:c r="U582" s="51" t="str"/>
    </x:row>
    <x:row r="583">
      <x:c r="A583" s="51" t="str">
        <x:v>Sweden</x:v>
      </x:c>
      <x:c r="B583" s="51" t="str">
        <x:v>F</x:v>
      </x:c>
      <x:c r="C583" s="51" t="n">
        <x:v>7</x:v>
      </x:c>
      <x:c r="D583" s="71" t="str"/>
      <x:c r="E583" s="51" t="str">
        <x:v>FB</x:v>
      </x:c>
      <x:c r="F583" s="51" t="str">
        <x:v>Defence</x:v>
      </x:c>
      <x:c r="G583" s="51" t="str">
        <x:v>Starter</x:v>
      </x:c>
      <x:c r="H583" s="55" t="n">
        <x:v>1</x:v>
      </x:c>
      <x:c r="I583" s="51" t="str"/>
      <x:c r="J583" s="72" t="str"/>
      <x:c r="K583" s="72" t="str"/>
      <x:c r="L583" s="72" t="str"/>
      <x:c r="M583" s="72" t="str"/>
      <x:c r="N583" s="72" t="str"/>
      <x:c r="O583" s="72" t="str"/>
      <x:c r="P583" s="72" t="str">
        <x:v>Available</x:v>
      </x:c>
      <x:c r="Q583" s="72" t="n">
        <x:v>0</x:v>
      </x:c>
      <x:c r="R583" s="55" t="str">
        <x:f>IF($D583="","",ROUND(MAX(0,MIN(100,0.35*$J583+0.2*$K583+0.15*$L583+0.15*$M583+0.1*$N583+0.05*$O583-IF(OR($P583="Out",$P583="Suspended"),$Q583,IF($P583="Doubtful",$Q583*0.5,IF($P583="Limited",$Q583*0.25,0))))),2))</x:f>
      </x:c>
      <x:c r="S583" s="55" t="n">
        <x:f>IF($D583="",0,ROUND(IF(OR($P583="Out",$P583="Suspended"),$Q583*$H583,IF($P583="Doubtful",$Q583*$H583*0.5,IF($P583="Limited",$Q583*$H583*0.25,0))),2))</x:f>
        <x:v>0</x:v>
      </x:c>
      <x:c r="T583" s="55" t="str"/>
      <x:c r="U583" s="51" t="str"/>
    </x:row>
    <x:row r="584">
      <x:c r="A584" s="51" t="str">
        <x:v>Sweden</x:v>
      </x:c>
      <x:c r="B584" s="51" t="str">
        <x:v>F</x:v>
      </x:c>
      <x:c r="C584" s="51" t="n">
        <x:v>8</x:v>
      </x:c>
      <x:c r="D584" s="71" t="str"/>
      <x:c r="E584" s="51" t="str">
        <x:v>FB</x:v>
      </x:c>
      <x:c r="F584" s="51" t="str">
        <x:v>Defence</x:v>
      </x:c>
      <x:c r="G584" s="51" t="str">
        <x:v>Starter</x:v>
      </x:c>
      <x:c r="H584" s="55" t="n">
        <x:v>1</x:v>
      </x:c>
      <x:c r="I584" s="51" t="str"/>
      <x:c r="J584" s="72" t="str"/>
      <x:c r="K584" s="72" t="str"/>
      <x:c r="L584" s="72" t="str"/>
      <x:c r="M584" s="72" t="str"/>
      <x:c r="N584" s="72" t="str"/>
      <x:c r="O584" s="72" t="str"/>
      <x:c r="P584" s="72" t="str">
        <x:v>Available</x:v>
      </x:c>
      <x:c r="Q584" s="72" t="n">
        <x:v>0</x:v>
      </x:c>
      <x:c r="R584" s="55" t="str">
        <x:f>IF($D584="","",ROUND(MAX(0,MIN(100,0.35*$J584+0.2*$K584+0.15*$L584+0.15*$M584+0.1*$N584+0.05*$O584-IF(OR($P584="Out",$P584="Suspended"),$Q584,IF($P584="Doubtful",$Q584*0.5,IF($P584="Limited",$Q584*0.25,0))))),2))</x:f>
      </x:c>
      <x:c r="S584" s="55" t="n">
        <x:f>IF($D584="",0,ROUND(IF(OR($P584="Out",$P584="Suspended"),$Q584*$H584,IF($P584="Doubtful",$Q584*$H584*0.5,IF($P584="Limited",$Q584*$H584*0.25,0))),2))</x:f>
        <x:v>0</x:v>
      </x:c>
      <x:c r="T584" s="55" t="str"/>
      <x:c r="U584" s="51" t="str"/>
    </x:row>
    <x:row r="585">
      <x:c r="A585" s="51" t="str">
        <x:v>Sweden</x:v>
      </x:c>
      <x:c r="B585" s="51" t="str">
        <x:v>F</x:v>
      </x:c>
      <x:c r="C585" s="51" t="n">
        <x:v>9</x:v>
      </x:c>
      <x:c r="D585" s="71" t="str"/>
      <x:c r="E585" s="51" t="str">
        <x:v>DM</x:v>
      </x:c>
      <x:c r="F585" s="51" t="str">
        <x:v>Midfield</x:v>
      </x:c>
      <x:c r="G585" s="51" t="str">
        <x:v>Starter</x:v>
      </x:c>
      <x:c r="H585" s="55" t="n">
        <x:v>1</x:v>
      </x:c>
      <x:c r="I585" s="51" t="str"/>
      <x:c r="J585" s="72" t="str"/>
      <x:c r="K585" s="72" t="str"/>
      <x:c r="L585" s="72" t="str"/>
      <x:c r="M585" s="72" t="str"/>
      <x:c r="N585" s="72" t="str"/>
      <x:c r="O585" s="72" t="str"/>
      <x:c r="P585" s="72" t="str">
        <x:v>Available</x:v>
      </x:c>
      <x:c r="Q585" s="72" t="n">
        <x:v>0</x:v>
      </x:c>
      <x:c r="R585" s="55" t="str">
        <x:f>IF($D585="","",ROUND(MAX(0,MIN(100,0.35*$J585+0.2*$K585+0.15*$L585+0.15*$M585+0.1*$N585+0.05*$O585-IF(OR($P585="Out",$P585="Suspended"),$Q585,IF($P585="Doubtful",$Q585*0.5,IF($P585="Limited",$Q585*0.25,0))))),2))</x:f>
      </x:c>
      <x:c r="S585" s="55" t="n">
        <x:f>IF($D585="",0,ROUND(IF(OR($P585="Out",$P585="Suspended"),$Q585*$H585,IF($P585="Doubtful",$Q585*$H585*0.5,IF($P585="Limited",$Q585*$H585*0.25,0))),2))</x:f>
        <x:v>0</x:v>
      </x:c>
      <x:c r="T585" s="55" t="str"/>
      <x:c r="U585" s="51" t="str"/>
    </x:row>
    <x:row r="586">
      <x:c r="A586" s="51" t="str">
        <x:v>Sweden</x:v>
      </x:c>
      <x:c r="B586" s="51" t="str">
        <x:v>F</x:v>
      </x:c>
      <x:c r="C586" s="51" t="n">
        <x:v>10</x:v>
      </x:c>
      <x:c r="D586" s="71" t="str"/>
      <x:c r="E586" s="51" t="str">
        <x:v>DM</x:v>
      </x:c>
      <x:c r="F586" s="51" t="str">
        <x:v>Midfield</x:v>
      </x:c>
      <x:c r="G586" s="51" t="str">
        <x:v>Starter</x:v>
      </x:c>
      <x:c r="H586" s="55" t="n">
        <x:v>1</x:v>
      </x:c>
      <x:c r="I586" s="51" t="str"/>
      <x:c r="J586" s="72" t="str"/>
      <x:c r="K586" s="72" t="str"/>
      <x:c r="L586" s="72" t="str"/>
      <x:c r="M586" s="72" t="str"/>
      <x:c r="N586" s="72" t="str"/>
      <x:c r="O586" s="72" t="str"/>
      <x:c r="P586" s="72" t="str">
        <x:v>Available</x:v>
      </x:c>
      <x:c r="Q586" s="72" t="n">
        <x:v>0</x:v>
      </x:c>
      <x:c r="R586" s="55" t="str">
        <x:f>IF($D586="","",ROUND(MAX(0,MIN(100,0.35*$J586+0.2*$K586+0.15*$L586+0.15*$M586+0.1*$N586+0.05*$O586-IF(OR($P586="Out",$P586="Suspended"),$Q586,IF($P586="Doubtful",$Q586*0.5,IF($P586="Limited",$Q586*0.25,0))))),2))</x:f>
      </x:c>
      <x:c r="S586" s="55" t="n">
        <x:f>IF($D586="",0,ROUND(IF(OR($P586="Out",$P586="Suspended"),$Q586*$H586,IF($P586="Doubtful",$Q586*$H586*0.5,IF($P586="Limited",$Q586*$H586*0.25,0))),2))</x:f>
        <x:v>0</x:v>
      </x:c>
      <x:c r="T586" s="55" t="str"/>
      <x:c r="U586" s="51" t="str"/>
    </x:row>
    <x:row r="587">
      <x:c r="A587" s="51" t="str">
        <x:v>Sweden</x:v>
      </x:c>
      <x:c r="B587" s="51" t="str">
        <x:v>F</x:v>
      </x:c>
      <x:c r="C587" s="51" t="n">
        <x:v>11</x:v>
      </x:c>
      <x:c r="D587" s="71" t="str"/>
      <x:c r="E587" s="51" t="str">
        <x:v>DM</x:v>
      </x:c>
      <x:c r="F587" s="51" t="str">
        <x:v>Midfield</x:v>
      </x:c>
      <x:c r="G587" s="51" t="str">
        <x:v>Starter</x:v>
      </x:c>
      <x:c r="H587" s="55" t="n">
        <x:v>1</x:v>
      </x:c>
      <x:c r="I587" s="51" t="str"/>
      <x:c r="J587" s="72" t="str"/>
      <x:c r="K587" s="72" t="str"/>
      <x:c r="L587" s="72" t="str"/>
      <x:c r="M587" s="72" t="str"/>
      <x:c r="N587" s="72" t="str"/>
      <x:c r="O587" s="72" t="str"/>
      <x:c r="P587" s="72" t="str">
        <x:v>Available</x:v>
      </x:c>
      <x:c r="Q587" s="72" t="n">
        <x:v>0</x:v>
      </x:c>
      <x:c r="R587" s="55" t="str">
        <x:f>IF($D587="","",ROUND(MAX(0,MIN(100,0.35*$J587+0.2*$K587+0.15*$L587+0.15*$M587+0.1*$N587+0.05*$O587-IF(OR($P587="Out",$P587="Suspended"),$Q587,IF($P587="Doubtful",$Q587*0.5,IF($P587="Limited",$Q587*0.25,0))))),2))</x:f>
      </x:c>
      <x:c r="S587" s="55" t="n">
        <x:f>IF($D587="",0,ROUND(IF(OR($P587="Out",$P587="Suspended"),$Q587*$H587,IF($P587="Doubtful",$Q587*$H587*0.5,IF($P587="Limited",$Q587*$H587*0.25,0))),2))</x:f>
        <x:v>0</x:v>
      </x:c>
      <x:c r="T587" s="55" t="str"/>
      <x:c r="U587" s="51" t="str"/>
    </x:row>
    <x:row r="588">
      <x:c r="A588" s="51" t="str">
        <x:v>Sweden</x:v>
      </x:c>
      <x:c r="B588" s="51" t="str">
        <x:v>F</x:v>
      </x:c>
      <x:c r="C588" s="51" t="n">
        <x:v>12</x:v>
      </x:c>
      <x:c r="D588" s="71" t="str"/>
      <x:c r="E588" s="51" t="str">
        <x:v>CM</x:v>
      </x:c>
      <x:c r="F588" s="51" t="str">
        <x:v>Midfield</x:v>
      </x:c>
      <x:c r="G588" s="51" t="str">
        <x:v>Rotation</x:v>
      </x:c>
      <x:c r="H588" s="55" t="n">
        <x:v>0.35</x:v>
      </x:c>
      <x:c r="I588" s="51" t="str"/>
      <x:c r="J588" s="72" t="str"/>
      <x:c r="K588" s="72" t="str"/>
      <x:c r="L588" s="72" t="str"/>
      <x:c r="M588" s="72" t="str"/>
      <x:c r="N588" s="72" t="str"/>
      <x:c r="O588" s="72" t="str"/>
      <x:c r="P588" s="72" t="str">
        <x:v>Available</x:v>
      </x:c>
      <x:c r="Q588" s="72" t="n">
        <x:v>0</x:v>
      </x:c>
      <x:c r="R588" s="55" t="str">
        <x:f>IF($D588="","",ROUND(MAX(0,MIN(100,0.35*$J588+0.2*$K588+0.15*$L588+0.15*$M588+0.1*$N588+0.05*$O588-IF(OR($P588="Out",$P588="Suspended"),$Q588,IF($P588="Doubtful",$Q588*0.5,IF($P588="Limited",$Q588*0.25,0))))),2))</x:f>
      </x:c>
      <x:c r="S588" s="55" t="n">
        <x:f>IF($D588="",0,ROUND(IF(OR($P588="Out",$P588="Suspended"),$Q588*$H588,IF($P588="Doubtful",$Q588*$H588*0.5,IF($P588="Limited",$Q588*$H588*0.25,0))),2))</x:f>
        <x:v>0</x:v>
      </x:c>
      <x:c r="T588" s="55" t="str"/>
      <x:c r="U588" s="51" t="str"/>
    </x:row>
    <x:row r="589">
      <x:c r="A589" s="51" t="str">
        <x:v>Sweden</x:v>
      </x:c>
      <x:c r="B589" s="51" t="str">
        <x:v>F</x:v>
      </x:c>
      <x:c r="C589" s="51" t="n">
        <x:v>13</x:v>
      </x:c>
      <x:c r="D589" s="71" t="str"/>
      <x:c r="E589" s="51" t="str">
        <x:v>CM</x:v>
      </x:c>
      <x:c r="F589" s="51" t="str">
        <x:v>Midfield</x:v>
      </x:c>
      <x:c r="G589" s="51" t="str">
        <x:v>Rotation</x:v>
      </x:c>
      <x:c r="H589" s="55" t="n">
        <x:v>0.35</x:v>
      </x:c>
      <x:c r="I589" s="51" t="str"/>
      <x:c r="J589" s="72" t="str"/>
      <x:c r="K589" s="72" t="str"/>
      <x:c r="L589" s="72" t="str"/>
      <x:c r="M589" s="72" t="str"/>
      <x:c r="N589" s="72" t="str"/>
      <x:c r="O589" s="72" t="str"/>
      <x:c r="P589" s="72" t="str">
        <x:v>Available</x:v>
      </x:c>
      <x:c r="Q589" s="72" t="n">
        <x:v>0</x:v>
      </x:c>
      <x:c r="R589" s="55" t="str">
        <x:f>IF($D589="","",ROUND(MAX(0,MIN(100,0.35*$J589+0.2*$K589+0.15*$L589+0.15*$M589+0.1*$N589+0.05*$O589-IF(OR($P589="Out",$P589="Suspended"),$Q589,IF($P589="Doubtful",$Q589*0.5,IF($P589="Limited",$Q589*0.25,0))))),2))</x:f>
      </x:c>
      <x:c r="S589" s="55" t="n">
        <x:f>IF($D589="",0,ROUND(IF(OR($P589="Out",$P589="Suspended"),$Q589*$H589,IF($P589="Doubtful",$Q589*$H589*0.5,IF($P589="Limited",$Q589*$H589*0.25,0))),2))</x:f>
        <x:v>0</x:v>
      </x:c>
      <x:c r="T589" s="55" t="str"/>
      <x:c r="U589" s="51" t="str"/>
    </x:row>
    <x:row r="590">
      <x:c r="A590" s="51" t="str">
        <x:v>Sweden</x:v>
      </x:c>
      <x:c r="B590" s="51" t="str">
        <x:v>F</x:v>
      </x:c>
      <x:c r="C590" s="51" t="n">
        <x:v>14</x:v>
      </x:c>
      <x:c r="D590" s="71" t="str"/>
      <x:c r="E590" s="51" t="str">
        <x:v>CM</x:v>
      </x:c>
      <x:c r="F590" s="51" t="str">
        <x:v>Midfield</x:v>
      </x:c>
      <x:c r="G590" s="51" t="str">
        <x:v>Rotation</x:v>
      </x:c>
      <x:c r="H590" s="55" t="n">
        <x:v>0.35</x:v>
      </x:c>
      <x:c r="I590" s="51" t="str"/>
      <x:c r="J590" s="72" t="str"/>
      <x:c r="K590" s="72" t="str"/>
      <x:c r="L590" s="72" t="str"/>
      <x:c r="M590" s="72" t="str"/>
      <x:c r="N590" s="72" t="str"/>
      <x:c r="O590" s="72" t="str"/>
      <x:c r="P590" s="72" t="str">
        <x:v>Available</x:v>
      </x:c>
      <x:c r="Q590" s="72" t="n">
        <x:v>0</x:v>
      </x:c>
      <x:c r="R590" s="55" t="str">
        <x:f>IF($D590="","",ROUND(MAX(0,MIN(100,0.35*$J590+0.2*$K590+0.15*$L590+0.15*$M590+0.1*$N590+0.05*$O590-IF(OR($P590="Out",$P590="Suspended"),$Q590,IF($P590="Doubtful",$Q590*0.5,IF($P590="Limited",$Q590*0.25,0))))),2))</x:f>
      </x:c>
      <x:c r="S590" s="55" t="n">
        <x:f>IF($D590="",0,ROUND(IF(OR($P590="Out",$P590="Suspended"),$Q590*$H590,IF($P590="Doubtful",$Q590*$H590*0.5,IF($P590="Limited",$Q590*$H590*0.25,0))),2))</x:f>
        <x:v>0</x:v>
      </x:c>
      <x:c r="T590" s="55" t="str"/>
      <x:c r="U590" s="51" t="str"/>
    </x:row>
    <x:row r="591">
      <x:c r="A591" s="51" t="str">
        <x:v>Sweden</x:v>
      </x:c>
      <x:c r="B591" s="51" t="str">
        <x:v>F</x:v>
      </x:c>
      <x:c r="C591" s="51" t="n">
        <x:v>15</x:v>
      </x:c>
      <x:c r="D591" s="71" t="str"/>
      <x:c r="E591" s="51" t="str">
        <x:v>CM</x:v>
      </x:c>
      <x:c r="F591" s="51" t="str">
        <x:v>Midfield</x:v>
      </x:c>
      <x:c r="G591" s="51" t="str">
        <x:v>Rotation</x:v>
      </x:c>
      <x:c r="H591" s="55" t="n">
        <x:v>0.35</x:v>
      </x:c>
      <x:c r="I591" s="51" t="str"/>
      <x:c r="J591" s="72" t="str"/>
      <x:c r="K591" s="72" t="str"/>
      <x:c r="L591" s="72" t="str"/>
      <x:c r="M591" s="72" t="str"/>
      <x:c r="N591" s="72" t="str"/>
      <x:c r="O591" s="72" t="str"/>
      <x:c r="P591" s="72" t="str">
        <x:v>Available</x:v>
      </x:c>
      <x:c r="Q591" s="72" t="n">
        <x:v>0</x:v>
      </x:c>
      <x:c r="R591" s="55" t="str">
        <x:f>IF($D591="","",ROUND(MAX(0,MIN(100,0.35*$J591+0.2*$K591+0.15*$L591+0.15*$M591+0.1*$N591+0.05*$O591-IF(OR($P591="Out",$P591="Suspended"),$Q591,IF($P591="Doubtful",$Q591*0.5,IF($P591="Limited",$Q591*0.25,0))))),2))</x:f>
      </x:c>
      <x:c r="S591" s="55" t="n">
        <x:f>IF($D591="",0,ROUND(IF(OR($P591="Out",$P591="Suspended"),$Q591*$H591,IF($P591="Doubtful",$Q591*$H591*0.5,IF($P591="Limited",$Q591*$H591*0.25,0))),2))</x:f>
        <x:v>0</x:v>
      </x:c>
      <x:c r="T591" s="55" t="str"/>
      <x:c r="U591" s="51" t="str"/>
    </x:row>
    <x:row r="592">
      <x:c r="A592" s="51" t="str">
        <x:v>Sweden</x:v>
      </x:c>
      <x:c r="B592" s="51" t="str">
        <x:v>F</x:v>
      </x:c>
      <x:c r="C592" s="51" t="n">
        <x:v>16</x:v>
      </x:c>
      <x:c r="D592" s="71" t="str"/>
      <x:c r="E592" s="51" t="str">
        <x:v>AM</x:v>
      </x:c>
      <x:c r="F592" s="51" t="str">
        <x:v>Attack</x:v>
      </x:c>
      <x:c r="G592" s="51" t="str">
        <x:v>Rotation</x:v>
      </x:c>
      <x:c r="H592" s="55" t="n">
        <x:v>0.35</x:v>
      </x:c>
      <x:c r="I592" s="51" t="str"/>
      <x:c r="J592" s="72" t="str"/>
      <x:c r="K592" s="72" t="str"/>
      <x:c r="L592" s="72" t="str"/>
      <x:c r="M592" s="72" t="str"/>
      <x:c r="N592" s="72" t="str"/>
      <x:c r="O592" s="72" t="str"/>
      <x:c r="P592" s="72" t="str">
        <x:v>Available</x:v>
      </x:c>
      <x:c r="Q592" s="72" t="n">
        <x:v>0</x:v>
      </x:c>
      <x:c r="R592" s="55" t="str">
        <x:f>IF($D592="","",ROUND(MAX(0,MIN(100,0.35*$J592+0.2*$K592+0.15*$L592+0.15*$M592+0.1*$N592+0.05*$O592-IF(OR($P592="Out",$P592="Suspended"),$Q592,IF($P592="Doubtful",$Q592*0.5,IF($P592="Limited",$Q592*0.25,0))))),2))</x:f>
      </x:c>
      <x:c r="S592" s="55" t="n">
        <x:f>IF($D592="",0,ROUND(IF(OR($P592="Out",$P592="Suspended"),$Q592*$H592,IF($P592="Doubtful",$Q592*$H592*0.5,IF($P592="Limited",$Q592*$H592*0.25,0))),2))</x:f>
        <x:v>0</x:v>
      </x:c>
      <x:c r="T592" s="55" t="str"/>
      <x:c r="U592" s="51" t="str"/>
    </x:row>
    <x:row r="593">
      <x:c r="A593" s="51" t="str">
        <x:v>Sweden</x:v>
      </x:c>
      <x:c r="B593" s="51" t="str">
        <x:v>F</x:v>
      </x:c>
      <x:c r="C593" s="51" t="n">
        <x:v>17</x:v>
      </x:c>
      <x:c r="D593" s="71" t="str"/>
      <x:c r="E593" s="51" t="str">
        <x:v>AM</x:v>
      </x:c>
      <x:c r="F593" s="51" t="str">
        <x:v>Attack</x:v>
      </x:c>
      <x:c r="G593" s="51" t="str">
        <x:v>Rotation</x:v>
      </x:c>
      <x:c r="H593" s="55" t="n">
        <x:v>0.35</x:v>
      </x:c>
      <x:c r="I593" s="51" t="str"/>
      <x:c r="J593" s="72" t="str"/>
      <x:c r="K593" s="72" t="str"/>
      <x:c r="L593" s="72" t="str"/>
      <x:c r="M593" s="72" t="str"/>
      <x:c r="N593" s="72" t="str"/>
      <x:c r="O593" s="72" t="str"/>
      <x:c r="P593" s="72" t="str">
        <x:v>Available</x:v>
      </x:c>
      <x:c r="Q593" s="72" t="n">
        <x:v>0</x:v>
      </x:c>
      <x:c r="R593" s="55" t="str">
        <x:f>IF($D593="","",ROUND(MAX(0,MIN(100,0.35*$J593+0.2*$K593+0.15*$L593+0.15*$M593+0.1*$N593+0.05*$O593-IF(OR($P593="Out",$P593="Suspended"),$Q593,IF($P593="Doubtful",$Q593*0.5,IF($P593="Limited",$Q593*0.25,0))))),2))</x:f>
      </x:c>
      <x:c r="S593" s="55" t="n">
        <x:f>IF($D593="",0,ROUND(IF(OR($P593="Out",$P593="Suspended"),$Q593*$H593,IF($P593="Doubtful",$Q593*$H593*0.5,IF($P593="Limited",$Q593*$H593*0.25,0))),2))</x:f>
        <x:v>0</x:v>
      </x:c>
      <x:c r="T593" s="55" t="str"/>
      <x:c r="U593" s="51" t="str"/>
    </x:row>
    <x:row r="594">
      <x:c r="A594" s="51" t="str">
        <x:v>Sweden</x:v>
      </x:c>
      <x:c r="B594" s="51" t="str">
        <x:v>F</x:v>
      </x:c>
      <x:c r="C594" s="51" t="n">
        <x:v>18</x:v>
      </x:c>
      <x:c r="D594" s="71" t="str"/>
      <x:c r="E594" s="51" t="str">
        <x:v>AM</x:v>
      </x:c>
      <x:c r="F594" s="51" t="str">
        <x:v>Attack</x:v>
      </x:c>
      <x:c r="G594" s="51" t="str">
        <x:v>Rotation</x:v>
      </x:c>
      <x:c r="H594" s="55" t="n">
        <x:v>0.35</x:v>
      </x:c>
      <x:c r="I594" s="51" t="str"/>
      <x:c r="J594" s="72" t="str"/>
      <x:c r="K594" s="72" t="str"/>
      <x:c r="L594" s="72" t="str"/>
      <x:c r="M594" s="72" t="str"/>
      <x:c r="N594" s="72" t="str"/>
      <x:c r="O594" s="72" t="str"/>
      <x:c r="P594" s="72" t="str">
        <x:v>Available</x:v>
      </x:c>
      <x:c r="Q594" s="72" t="n">
        <x:v>0</x:v>
      </x:c>
      <x:c r="R594" s="55" t="str">
        <x:f>IF($D594="","",ROUND(MAX(0,MIN(100,0.35*$J594+0.2*$K594+0.15*$L594+0.15*$M594+0.1*$N594+0.05*$O594-IF(OR($P594="Out",$P594="Suspended"),$Q594,IF($P594="Doubtful",$Q594*0.5,IF($P594="Limited",$Q594*0.25,0))))),2))</x:f>
      </x:c>
      <x:c r="S594" s="55" t="n">
        <x:f>IF($D594="",0,ROUND(IF(OR($P594="Out",$P594="Suspended"),$Q594*$H594,IF($P594="Doubtful",$Q594*$H594*0.5,IF($P594="Limited",$Q594*$H594*0.25,0))),2))</x:f>
        <x:v>0</x:v>
      </x:c>
      <x:c r="T594" s="55" t="str"/>
      <x:c r="U594" s="51" t="str"/>
    </x:row>
    <x:row r="595">
      <x:c r="A595" s="51" t="str">
        <x:v>Sweden</x:v>
      </x:c>
      <x:c r="B595" s="51" t="str">
        <x:v>F</x:v>
      </x:c>
      <x:c r="C595" s="51" t="n">
        <x:v>19</x:v>
      </x:c>
      <x:c r="D595" s="71" t="str"/>
      <x:c r="E595" s="51" t="str">
        <x:v>AM</x:v>
      </x:c>
      <x:c r="F595" s="51" t="str">
        <x:v>Attack</x:v>
      </x:c>
      <x:c r="G595" s="51" t="str">
        <x:v>Rotation</x:v>
      </x:c>
      <x:c r="H595" s="55" t="n">
        <x:v>0.35</x:v>
      </x:c>
      <x:c r="I595" s="51" t="str"/>
      <x:c r="J595" s="72" t="str"/>
      <x:c r="K595" s="72" t="str"/>
      <x:c r="L595" s="72" t="str"/>
      <x:c r="M595" s="72" t="str"/>
      <x:c r="N595" s="72" t="str"/>
      <x:c r="O595" s="72" t="str"/>
      <x:c r="P595" s="72" t="str">
        <x:v>Available</x:v>
      </x:c>
      <x:c r="Q595" s="72" t="n">
        <x:v>0</x:v>
      </x:c>
      <x:c r="R595" s="55" t="str">
        <x:f>IF($D595="","",ROUND(MAX(0,MIN(100,0.35*$J595+0.2*$K595+0.15*$L595+0.15*$M595+0.1*$N595+0.05*$O595-IF(OR($P595="Out",$P595="Suspended"),$Q595,IF($P595="Doubtful",$Q595*0.5,IF($P595="Limited",$Q595*0.25,0))))),2))</x:f>
      </x:c>
      <x:c r="S595" s="55" t="n">
        <x:f>IF($D595="",0,ROUND(IF(OR($P595="Out",$P595="Suspended"),$Q595*$H595,IF($P595="Doubtful",$Q595*$H595*0.5,IF($P595="Limited",$Q595*$H595*0.25,0))),2))</x:f>
        <x:v>0</x:v>
      </x:c>
      <x:c r="T595" s="55" t="str"/>
      <x:c r="U595" s="51" t="str"/>
    </x:row>
    <x:row r="596">
      <x:c r="A596" s="51" t="str">
        <x:v>Sweden</x:v>
      </x:c>
      <x:c r="B596" s="51" t="str">
        <x:v>F</x:v>
      </x:c>
      <x:c r="C596" s="51" t="n">
        <x:v>20</x:v>
      </x:c>
      <x:c r="D596" s="71" t="str"/>
      <x:c r="E596" s="51" t="str">
        <x:v>Winger</x:v>
      </x:c>
      <x:c r="F596" s="51" t="str">
        <x:v>Attack</x:v>
      </x:c>
      <x:c r="G596" s="51" t="str">
        <x:v>Rotation</x:v>
      </x:c>
      <x:c r="H596" s="55" t="n">
        <x:v>0.35</x:v>
      </x:c>
      <x:c r="I596" s="51" t="str"/>
      <x:c r="J596" s="72" t="str"/>
      <x:c r="K596" s="72" t="str"/>
      <x:c r="L596" s="72" t="str"/>
      <x:c r="M596" s="72" t="str"/>
      <x:c r="N596" s="72" t="str"/>
      <x:c r="O596" s="72" t="str"/>
      <x:c r="P596" s="72" t="str">
        <x:v>Available</x:v>
      </x:c>
      <x:c r="Q596" s="72" t="n">
        <x:v>0</x:v>
      </x:c>
      <x:c r="R596" s="55" t="str">
        <x:f>IF($D596="","",ROUND(MAX(0,MIN(100,0.35*$J596+0.2*$K596+0.15*$L596+0.15*$M596+0.1*$N596+0.05*$O596-IF(OR($P596="Out",$P596="Suspended"),$Q596,IF($P596="Doubtful",$Q596*0.5,IF($P596="Limited",$Q596*0.25,0))))),2))</x:f>
      </x:c>
      <x:c r="S596" s="55" t="n">
        <x:f>IF($D596="",0,ROUND(IF(OR($P596="Out",$P596="Suspended"),$Q596*$H596,IF($P596="Doubtful",$Q596*$H596*0.5,IF($P596="Limited",$Q596*$H596*0.25,0))),2))</x:f>
        <x:v>0</x:v>
      </x:c>
      <x:c r="T596" s="55" t="str"/>
      <x:c r="U596" s="51" t="str"/>
    </x:row>
    <x:row r="597">
      <x:c r="A597" s="51" t="str">
        <x:v>Sweden</x:v>
      </x:c>
      <x:c r="B597" s="51" t="str">
        <x:v>F</x:v>
      </x:c>
      <x:c r="C597" s="51" t="n">
        <x:v>21</x:v>
      </x:c>
      <x:c r="D597" s="71" t="str"/>
      <x:c r="E597" s="51" t="str">
        <x:v>Winger</x:v>
      </x:c>
      <x:c r="F597" s="51" t="str">
        <x:v>Attack</x:v>
      </x:c>
      <x:c r="G597" s="51" t="str">
        <x:v>Depth</x:v>
      </x:c>
      <x:c r="H597" s="55" t="n">
        <x:v>0.1</x:v>
      </x:c>
      <x:c r="I597" s="51" t="str"/>
      <x:c r="J597" s="72" t="str"/>
      <x:c r="K597" s="72" t="str"/>
      <x:c r="L597" s="72" t="str"/>
      <x:c r="M597" s="72" t="str"/>
      <x:c r="N597" s="72" t="str"/>
      <x:c r="O597" s="72" t="str"/>
      <x:c r="P597" s="72" t="str">
        <x:v>Available</x:v>
      </x:c>
      <x:c r="Q597" s="72" t="n">
        <x:v>0</x:v>
      </x:c>
      <x:c r="R597" s="55" t="str">
        <x:f>IF($D597="","",ROUND(MAX(0,MIN(100,0.35*$J597+0.2*$K597+0.15*$L597+0.15*$M597+0.1*$N597+0.05*$O597-IF(OR($P597="Out",$P597="Suspended"),$Q597,IF($P597="Doubtful",$Q597*0.5,IF($P597="Limited",$Q597*0.25,0))))),2))</x:f>
      </x:c>
      <x:c r="S597" s="55" t="n">
        <x:f>IF($D597="",0,ROUND(IF(OR($P597="Out",$P597="Suspended"),$Q597*$H597,IF($P597="Doubtful",$Q597*$H597*0.5,IF($P597="Limited",$Q597*$H597*0.25,0))),2))</x:f>
        <x:v>0</x:v>
      </x:c>
      <x:c r="T597" s="55" t="str"/>
      <x:c r="U597" s="51" t="str"/>
    </x:row>
    <x:row r="598">
      <x:c r="A598" s="51" t="str">
        <x:v>Sweden</x:v>
      </x:c>
      <x:c r="B598" s="51" t="str">
        <x:v>F</x:v>
      </x:c>
      <x:c r="C598" s="51" t="n">
        <x:v>22</x:v>
      </x:c>
      <x:c r="D598" s="71" t="str"/>
      <x:c r="E598" s="51" t="str">
        <x:v>Winger</x:v>
      </x:c>
      <x:c r="F598" s="51" t="str">
        <x:v>Attack</x:v>
      </x:c>
      <x:c r="G598" s="51" t="str">
        <x:v>Depth</x:v>
      </x:c>
      <x:c r="H598" s="55" t="n">
        <x:v>0.1</x:v>
      </x:c>
      <x:c r="I598" s="51" t="str"/>
      <x:c r="J598" s="72" t="str"/>
      <x:c r="K598" s="72" t="str"/>
      <x:c r="L598" s="72" t="str"/>
      <x:c r="M598" s="72" t="str"/>
      <x:c r="N598" s="72" t="str"/>
      <x:c r="O598" s="72" t="str"/>
      <x:c r="P598" s="72" t="str">
        <x:v>Available</x:v>
      </x:c>
      <x:c r="Q598" s="72" t="n">
        <x:v>0</x:v>
      </x:c>
      <x:c r="R598" s="55" t="str">
        <x:f>IF($D598="","",ROUND(MAX(0,MIN(100,0.35*$J598+0.2*$K598+0.15*$L598+0.15*$M598+0.1*$N598+0.05*$O598-IF(OR($P598="Out",$P598="Suspended"),$Q598,IF($P598="Doubtful",$Q598*0.5,IF($P598="Limited",$Q598*0.25,0))))),2))</x:f>
      </x:c>
      <x:c r="S598" s="55" t="n">
        <x:f>IF($D598="",0,ROUND(IF(OR($P598="Out",$P598="Suspended"),$Q598*$H598,IF($P598="Doubtful",$Q598*$H598*0.5,IF($P598="Limited",$Q598*$H598*0.25,0))),2))</x:f>
        <x:v>0</x:v>
      </x:c>
      <x:c r="T598" s="55" t="str"/>
      <x:c r="U598" s="51" t="str"/>
    </x:row>
    <x:row r="599">
      <x:c r="A599" s="51" t="str">
        <x:v>Sweden</x:v>
      </x:c>
      <x:c r="B599" s="51" t="str">
        <x:v>F</x:v>
      </x:c>
      <x:c r="C599" s="51" t="n">
        <x:v>23</x:v>
      </x:c>
      <x:c r="D599" s="71" t="str"/>
      <x:c r="E599" s="51" t="str">
        <x:v>Winger</x:v>
      </x:c>
      <x:c r="F599" s="51" t="str">
        <x:v>Attack</x:v>
      </x:c>
      <x:c r="G599" s="51" t="str">
        <x:v>Depth</x:v>
      </x:c>
      <x:c r="H599" s="55" t="n">
        <x:v>0.1</x:v>
      </x:c>
      <x:c r="I599" s="51" t="str"/>
      <x:c r="J599" s="72" t="str"/>
      <x:c r="K599" s="72" t="str"/>
      <x:c r="L599" s="72" t="str"/>
      <x:c r="M599" s="72" t="str"/>
      <x:c r="N599" s="72" t="str"/>
      <x:c r="O599" s="72" t="str"/>
      <x:c r="P599" s="72" t="str">
        <x:v>Available</x:v>
      </x:c>
      <x:c r="Q599" s="72" t="n">
        <x:v>0</x:v>
      </x:c>
      <x:c r="R599" s="55" t="str">
        <x:f>IF($D599="","",ROUND(MAX(0,MIN(100,0.35*$J599+0.2*$K599+0.15*$L599+0.15*$M599+0.1*$N599+0.05*$O599-IF(OR($P599="Out",$P599="Suspended"),$Q599,IF($P599="Doubtful",$Q599*0.5,IF($P599="Limited",$Q599*0.25,0))))),2))</x:f>
      </x:c>
      <x:c r="S599" s="55" t="n">
        <x:f>IF($D599="",0,ROUND(IF(OR($P599="Out",$P599="Suspended"),$Q599*$H599,IF($P599="Doubtful",$Q599*$H599*0.5,IF($P599="Limited",$Q599*$H599*0.25,0))),2))</x:f>
        <x:v>0</x:v>
      </x:c>
      <x:c r="T599" s="55" t="str"/>
      <x:c r="U599" s="51" t="str"/>
    </x:row>
    <x:row r="600">
      <x:c r="A600" s="51" t="str">
        <x:v>Sweden</x:v>
      </x:c>
      <x:c r="B600" s="51" t="str">
        <x:v>F</x:v>
      </x:c>
      <x:c r="C600" s="51" t="n">
        <x:v>24</x:v>
      </x:c>
      <x:c r="D600" s="71" t="str"/>
      <x:c r="E600" s="51" t="str">
        <x:v>ST</x:v>
      </x:c>
      <x:c r="F600" s="51" t="str">
        <x:v>Attack</x:v>
      </x:c>
      <x:c r="G600" s="51" t="str">
        <x:v>Depth</x:v>
      </x:c>
      <x:c r="H600" s="55" t="n">
        <x:v>0.1</x:v>
      </x:c>
      <x:c r="I600" s="51" t="str"/>
      <x:c r="J600" s="72" t="str"/>
      <x:c r="K600" s="72" t="str"/>
      <x:c r="L600" s="72" t="str"/>
      <x:c r="M600" s="72" t="str"/>
      <x:c r="N600" s="72" t="str"/>
      <x:c r="O600" s="72" t="str"/>
      <x:c r="P600" s="72" t="str">
        <x:v>Available</x:v>
      </x:c>
      <x:c r="Q600" s="72" t="n">
        <x:v>0</x:v>
      </x:c>
      <x:c r="R600" s="55" t="str">
        <x:f>IF($D600="","",ROUND(MAX(0,MIN(100,0.35*$J600+0.2*$K600+0.15*$L600+0.15*$M600+0.1*$N600+0.05*$O600-IF(OR($P600="Out",$P600="Suspended"),$Q600,IF($P600="Doubtful",$Q600*0.5,IF($P600="Limited",$Q600*0.25,0))))),2))</x:f>
      </x:c>
      <x:c r="S600" s="55" t="n">
        <x:f>IF($D600="",0,ROUND(IF(OR($P600="Out",$P600="Suspended"),$Q600*$H600,IF($P600="Doubtful",$Q600*$H600*0.5,IF($P600="Limited",$Q600*$H600*0.25,0))),2))</x:f>
        <x:v>0</x:v>
      </x:c>
      <x:c r="T600" s="55" t="str"/>
      <x:c r="U600" s="51" t="str"/>
    </x:row>
    <x:row r="601">
      <x:c r="A601" s="51" t="str">
        <x:v>Sweden</x:v>
      </x:c>
      <x:c r="B601" s="51" t="str">
        <x:v>F</x:v>
      </x:c>
      <x:c r="C601" s="51" t="n">
        <x:v>25</x:v>
      </x:c>
      <x:c r="D601" s="71" t="str"/>
      <x:c r="E601" s="51" t="str">
        <x:v>ST</x:v>
      </x:c>
      <x:c r="F601" s="51" t="str">
        <x:v>Attack</x:v>
      </x:c>
      <x:c r="G601" s="51" t="str">
        <x:v>Depth</x:v>
      </x:c>
      <x:c r="H601" s="55" t="n">
        <x:v>0.1</x:v>
      </x:c>
      <x:c r="I601" s="51" t="str"/>
      <x:c r="J601" s="72" t="str"/>
      <x:c r="K601" s="72" t="str"/>
      <x:c r="L601" s="72" t="str"/>
      <x:c r="M601" s="72" t="str"/>
      <x:c r="N601" s="72" t="str"/>
      <x:c r="O601" s="72" t="str"/>
      <x:c r="P601" s="72" t="str">
        <x:v>Available</x:v>
      </x:c>
      <x:c r="Q601" s="72" t="n">
        <x:v>0</x:v>
      </x:c>
      <x:c r="R601" s="55" t="str">
        <x:f>IF($D601="","",ROUND(MAX(0,MIN(100,0.35*$J601+0.2*$K601+0.15*$L601+0.15*$M601+0.1*$N601+0.05*$O601-IF(OR($P601="Out",$P601="Suspended"),$Q601,IF($P601="Doubtful",$Q601*0.5,IF($P601="Limited",$Q601*0.25,0))))),2))</x:f>
      </x:c>
      <x:c r="S601" s="55" t="n">
        <x:f>IF($D601="",0,ROUND(IF(OR($P601="Out",$P601="Suspended"),$Q601*$H601,IF($P601="Doubtful",$Q601*$H601*0.5,IF($P601="Limited",$Q601*$H601*0.25,0))),2))</x:f>
        <x:v>0</x:v>
      </x:c>
      <x:c r="T601" s="55" t="str"/>
      <x:c r="U601" s="51" t="str"/>
    </x:row>
    <x:row r="602">
      <x:c r="A602" s="51" t="str">
        <x:v>Sweden</x:v>
      </x:c>
      <x:c r="B602" s="51" t="str">
        <x:v>F</x:v>
      </x:c>
      <x:c r="C602" s="51" t="n">
        <x:v>26</x:v>
      </x:c>
      <x:c r="D602" s="71" t="str"/>
      <x:c r="E602" s="51" t="str">
        <x:v>ST</x:v>
      </x:c>
      <x:c r="F602" s="51" t="str">
        <x:v>Attack</x:v>
      </x:c>
      <x:c r="G602" s="51" t="str">
        <x:v>Depth</x:v>
      </x:c>
      <x:c r="H602" s="55" t="n">
        <x:v>0.1</x:v>
      </x:c>
      <x:c r="I602" s="51" t="str"/>
      <x:c r="J602" s="72" t="str"/>
      <x:c r="K602" s="72" t="str"/>
      <x:c r="L602" s="72" t="str"/>
      <x:c r="M602" s="72" t="str"/>
      <x:c r="N602" s="72" t="str"/>
      <x:c r="O602" s="72" t="str"/>
      <x:c r="P602" s="72" t="str">
        <x:v>Available</x:v>
      </x:c>
      <x:c r="Q602" s="72" t="n">
        <x:v>0</x:v>
      </x:c>
      <x:c r="R602" s="55" t="str">
        <x:f>IF($D602="","",ROUND(MAX(0,MIN(100,0.35*$J602+0.2*$K602+0.15*$L602+0.15*$M602+0.1*$N602+0.05*$O602-IF(OR($P602="Out",$P602="Suspended"),$Q602,IF($P602="Doubtful",$Q602*0.5,IF($P602="Limited",$Q602*0.25,0))))),2))</x:f>
      </x:c>
      <x:c r="S602" s="55" t="n">
        <x:f>IF($D602="",0,ROUND(IF(OR($P602="Out",$P602="Suspended"),$Q602*$H602,IF($P602="Doubtful",$Q602*$H602*0.5,IF($P602="Limited",$Q602*$H602*0.25,0))),2))</x:f>
        <x:v>0</x:v>
      </x:c>
      <x:c r="T602" s="55" t="str"/>
      <x:c r="U602" s="51" t="str"/>
    </x:row>
    <x:row r="603">
      <x:c r="A603" s="51" t="str">
        <x:v>Tunisia</x:v>
      </x:c>
      <x:c r="B603" s="51" t="str">
        <x:v>F</x:v>
      </x:c>
      <x:c r="C603" s="51" t="n">
        <x:v>1</x:v>
      </x:c>
      <x:c r="D603" s="71" t="str"/>
      <x:c r="E603" s="51" t="str">
        <x:v>GK</x:v>
      </x:c>
      <x:c r="F603" s="51" t="str">
        <x:v>GK</x:v>
      </x:c>
      <x:c r="G603" s="51" t="str">
        <x:v>Starter</x:v>
      </x:c>
      <x:c r="H603" s="55" t="n">
        <x:v>1</x:v>
      </x:c>
      <x:c r="I603" s="51" t="str"/>
      <x:c r="J603" s="72" t="str"/>
      <x:c r="K603" s="72" t="str"/>
      <x:c r="L603" s="72" t="str"/>
      <x:c r="M603" s="72" t="str"/>
      <x:c r="N603" s="72" t="str"/>
      <x:c r="O603" s="72" t="str"/>
      <x:c r="P603" s="72" t="str">
        <x:v>Available</x:v>
      </x:c>
      <x:c r="Q603" s="72" t="n">
        <x:v>0</x:v>
      </x:c>
      <x:c r="R603" s="55" t="str">
        <x:f>IF($D603="","",ROUND(MAX(0,MIN(100,0.35*$J603+0.2*$K603+0.15*$L603+0.15*$M603+0.1*$N603+0.05*$O603-IF(OR($P603="Out",$P603="Suspended"),$Q603,IF($P603="Doubtful",$Q603*0.5,IF($P603="Limited",$Q603*0.25,0))))),2))</x:f>
      </x:c>
      <x:c r="S603" s="55" t="n">
        <x:f>IF($D603="",0,ROUND(IF(OR($P603="Out",$P603="Suspended"),$Q603*$H603,IF($P603="Doubtful",$Q603*$H603*0.5,IF($P603="Limited",$Q603*$H603*0.25,0))),2))</x:f>
        <x:v>0</x:v>
      </x:c>
      <x:c r="T603" s="55" t="str"/>
      <x:c r="U603" s="51" t="str"/>
    </x:row>
    <x:row r="604">
      <x:c r="A604" s="51" t="str">
        <x:v>Tunisia</x:v>
      </x:c>
      <x:c r="B604" s="51" t="str">
        <x:v>F</x:v>
      </x:c>
      <x:c r="C604" s="51" t="n">
        <x:v>2</x:v>
      </x:c>
      <x:c r="D604" s="71" t="str"/>
      <x:c r="E604" s="51" t="str">
        <x:v>GK</x:v>
      </x:c>
      <x:c r="F604" s="51" t="str">
        <x:v>GK</x:v>
      </x:c>
      <x:c r="G604" s="51" t="str">
        <x:v>Starter</x:v>
      </x:c>
      <x:c r="H604" s="55" t="n">
        <x:v>1</x:v>
      </x:c>
      <x:c r="I604" s="51" t="str"/>
      <x:c r="J604" s="72" t="str"/>
      <x:c r="K604" s="72" t="str"/>
      <x:c r="L604" s="72" t="str"/>
      <x:c r="M604" s="72" t="str"/>
      <x:c r="N604" s="72" t="str"/>
      <x:c r="O604" s="72" t="str"/>
      <x:c r="P604" s="72" t="str">
        <x:v>Available</x:v>
      </x:c>
      <x:c r="Q604" s="72" t="n">
        <x:v>0</x:v>
      </x:c>
      <x:c r="R604" s="55" t="str">
        <x:f>IF($D604="","",ROUND(MAX(0,MIN(100,0.35*$J604+0.2*$K604+0.15*$L604+0.15*$M604+0.1*$N604+0.05*$O604-IF(OR($P604="Out",$P604="Suspended"),$Q604,IF($P604="Doubtful",$Q604*0.5,IF($P604="Limited",$Q604*0.25,0))))),2))</x:f>
      </x:c>
      <x:c r="S604" s="55" t="n">
        <x:f>IF($D604="",0,ROUND(IF(OR($P604="Out",$P604="Suspended"),$Q604*$H604,IF($P604="Doubtful",$Q604*$H604*0.5,IF($P604="Limited",$Q604*$H604*0.25,0))),2))</x:f>
        <x:v>0</x:v>
      </x:c>
      <x:c r="T604" s="55" t="str"/>
      <x:c r="U604" s="51" t="str"/>
    </x:row>
    <x:row r="605">
      <x:c r="A605" s="51" t="str">
        <x:v>Tunisia</x:v>
      </x:c>
      <x:c r="B605" s="51" t="str">
        <x:v>F</x:v>
      </x:c>
      <x:c r="C605" s="51" t="n">
        <x:v>3</x:v>
      </x:c>
      <x:c r="D605" s="71" t="str"/>
      <x:c r="E605" s="51" t="str">
        <x:v>GK</x:v>
      </x:c>
      <x:c r="F605" s="51" t="str">
        <x:v>GK</x:v>
      </x:c>
      <x:c r="G605" s="51" t="str">
        <x:v>Starter</x:v>
      </x:c>
      <x:c r="H605" s="55" t="n">
        <x:v>1</x:v>
      </x:c>
      <x:c r="I605" s="51" t="str"/>
      <x:c r="J605" s="72" t="str"/>
      <x:c r="K605" s="72" t="str"/>
      <x:c r="L605" s="72" t="str"/>
      <x:c r="M605" s="72" t="str"/>
      <x:c r="N605" s="72" t="str"/>
      <x:c r="O605" s="72" t="str"/>
      <x:c r="P605" s="72" t="str">
        <x:v>Available</x:v>
      </x:c>
      <x:c r="Q605" s="72" t="n">
        <x:v>0</x:v>
      </x:c>
      <x:c r="R605" s="55" t="str">
        <x:f>IF($D605="","",ROUND(MAX(0,MIN(100,0.35*$J605+0.2*$K605+0.15*$L605+0.15*$M605+0.1*$N605+0.05*$O605-IF(OR($P605="Out",$P605="Suspended"),$Q605,IF($P605="Doubtful",$Q605*0.5,IF($P605="Limited",$Q605*0.25,0))))),2))</x:f>
      </x:c>
      <x:c r="S605" s="55" t="n">
        <x:f>IF($D605="",0,ROUND(IF(OR($P605="Out",$P605="Suspended"),$Q605*$H605,IF($P605="Doubtful",$Q605*$H605*0.5,IF($P605="Limited",$Q605*$H605*0.25,0))),2))</x:f>
        <x:v>0</x:v>
      </x:c>
      <x:c r="T605" s="55" t="str"/>
      <x:c r="U605" s="51" t="str"/>
    </x:row>
    <x:row r="606">
      <x:c r="A606" s="51" t="str">
        <x:v>Tunisia</x:v>
      </x:c>
      <x:c r="B606" s="51" t="str">
        <x:v>F</x:v>
      </x:c>
      <x:c r="C606" s="51" t="n">
        <x:v>4</x:v>
      </x:c>
      <x:c r="D606" s="71" t="str"/>
      <x:c r="E606" s="51" t="str">
        <x:v>CB</x:v>
      </x:c>
      <x:c r="F606" s="51" t="str">
        <x:v>Defence</x:v>
      </x:c>
      <x:c r="G606" s="51" t="str">
        <x:v>Starter</x:v>
      </x:c>
      <x:c r="H606" s="55" t="n">
        <x:v>1</x:v>
      </x:c>
      <x:c r="I606" s="51" t="str"/>
      <x:c r="J606" s="72" t="str"/>
      <x:c r="K606" s="72" t="str"/>
      <x:c r="L606" s="72" t="str"/>
      <x:c r="M606" s="72" t="str"/>
      <x:c r="N606" s="72" t="str"/>
      <x:c r="O606" s="72" t="str"/>
      <x:c r="P606" s="72" t="str">
        <x:v>Available</x:v>
      </x:c>
      <x:c r="Q606" s="72" t="n">
        <x:v>0</x:v>
      </x:c>
      <x:c r="R606" s="55" t="str">
        <x:f>IF($D606="","",ROUND(MAX(0,MIN(100,0.35*$J606+0.2*$K606+0.15*$L606+0.15*$M606+0.1*$N606+0.05*$O606-IF(OR($P606="Out",$P606="Suspended"),$Q606,IF($P606="Doubtful",$Q606*0.5,IF($P606="Limited",$Q606*0.25,0))))),2))</x:f>
      </x:c>
      <x:c r="S606" s="55" t="n">
        <x:f>IF($D606="",0,ROUND(IF(OR($P606="Out",$P606="Suspended"),$Q606*$H606,IF($P606="Doubtful",$Q606*$H606*0.5,IF($P606="Limited",$Q606*$H606*0.25,0))),2))</x:f>
        <x:v>0</x:v>
      </x:c>
      <x:c r="T606" s="55" t="str"/>
      <x:c r="U606" s="51" t="str"/>
    </x:row>
    <x:row r="607">
      <x:c r="A607" s="51" t="str">
        <x:v>Tunisia</x:v>
      </x:c>
      <x:c r="B607" s="51" t="str">
        <x:v>F</x:v>
      </x:c>
      <x:c r="C607" s="51" t="n">
        <x:v>5</x:v>
      </x:c>
      <x:c r="D607" s="71" t="str"/>
      <x:c r="E607" s="51" t="str">
        <x:v>CB</x:v>
      </x:c>
      <x:c r="F607" s="51" t="str">
        <x:v>Defence</x:v>
      </x:c>
      <x:c r="G607" s="51" t="str">
        <x:v>Starter</x:v>
      </x:c>
      <x:c r="H607" s="55" t="n">
        <x:v>1</x:v>
      </x:c>
      <x:c r="I607" s="51" t="str"/>
      <x:c r="J607" s="72" t="str"/>
      <x:c r="K607" s="72" t="str"/>
      <x:c r="L607" s="72" t="str"/>
      <x:c r="M607" s="72" t="str"/>
      <x:c r="N607" s="72" t="str"/>
      <x:c r="O607" s="72" t="str"/>
      <x:c r="P607" s="72" t="str">
        <x:v>Available</x:v>
      </x:c>
      <x:c r="Q607" s="72" t="n">
        <x:v>0</x:v>
      </x:c>
      <x:c r="R607" s="55" t="str">
        <x:f>IF($D607="","",ROUND(MAX(0,MIN(100,0.35*$J607+0.2*$K607+0.15*$L607+0.15*$M607+0.1*$N607+0.05*$O607-IF(OR($P607="Out",$P607="Suspended"),$Q607,IF($P607="Doubtful",$Q607*0.5,IF($P607="Limited",$Q607*0.25,0))))),2))</x:f>
      </x:c>
      <x:c r="S607" s="55" t="n">
        <x:f>IF($D607="",0,ROUND(IF(OR($P607="Out",$P607="Suspended"),$Q607*$H607,IF($P607="Doubtful",$Q607*$H607*0.5,IF($P607="Limited",$Q607*$H607*0.25,0))),2))</x:f>
        <x:v>0</x:v>
      </x:c>
      <x:c r="T607" s="55" t="str"/>
      <x:c r="U607" s="51" t="str"/>
    </x:row>
    <x:row r="608">
      <x:c r="A608" s="51" t="str">
        <x:v>Tunisia</x:v>
      </x:c>
      <x:c r="B608" s="51" t="str">
        <x:v>F</x:v>
      </x:c>
      <x:c r="C608" s="51" t="n">
        <x:v>6</x:v>
      </x:c>
      <x:c r="D608" s="71" t="str"/>
      <x:c r="E608" s="51" t="str">
        <x:v>CB</x:v>
      </x:c>
      <x:c r="F608" s="51" t="str">
        <x:v>Defence</x:v>
      </x:c>
      <x:c r="G608" s="51" t="str">
        <x:v>Starter</x:v>
      </x:c>
      <x:c r="H608" s="55" t="n">
        <x:v>1</x:v>
      </x:c>
      <x:c r="I608" s="51" t="str"/>
      <x:c r="J608" s="72" t="str"/>
      <x:c r="K608" s="72" t="str"/>
      <x:c r="L608" s="72" t="str"/>
      <x:c r="M608" s="72" t="str"/>
      <x:c r="N608" s="72" t="str"/>
      <x:c r="O608" s="72" t="str"/>
      <x:c r="P608" s="72" t="str">
        <x:v>Available</x:v>
      </x:c>
      <x:c r="Q608" s="72" t="n">
        <x:v>0</x:v>
      </x:c>
      <x:c r="R608" s="55" t="str">
        <x:f>IF($D608="","",ROUND(MAX(0,MIN(100,0.35*$J608+0.2*$K608+0.15*$L608+0.15*$M608+0.1*$N608+0.05*$O608-IF(OR($P608="Out",$P608="Suspended"),$Q608,IF($P608="Doubtful",$Q608*0.5,IF($P608="Limited",$Q608*0.25,0))))),2))</x:f>
      </x:c>
      <x:c r="S608" s="55" t="n">
        <x:f>IF($D608="",0,ROUND(IF(OR($P608="Out",$P608="Suspended"),$Q608*$H608,IF($P608="Doubtful",$Q608*$H608*0.5,IF($P608="Limited",$Q608*$H608*0.25,0))),2))</x:f>
        <x:v>0</x:v>
      </x:c>
      <x:c r="T608" s="55" t="str"/>
      <x:c r="U608" s="51" t="str"/>
    </x:row>
    <x:row r="609">
      <x:c r="A609" s="51" t="str">
        <x:v>Tunisia</x:v>
      </x:c>
      <x:c r="B609" s="51" t="str">
        <x:v>F</x:v>
      </x:c>
      <x:c r="C609" s="51" t="n">
        <x:v>7</x:v>
      </x:c>
      <x:c r="D609" s="71" t="str"/>
      <x:c r="E609" s="51" t="str">
        <x:v>FB</x:v>
      </x:c>
      <x:c r="F609" s="51" t="str">
        <x:v>Defence</x:v>
      </x:c>
      <x:c r="G609" s="51" t="str">
        <x:v>Starter</x:v>
      </x:c>
      <x:c r="H609" s="55" t="n">
        <x:v>1</x:v>
      </x:c>
      <x:c r="I609" s="51" t="str"/>
      <x:c r="J609" s="72" t="str"/>
      <x:c r="K609" s="72" t="str"/>
      <x:c r="L609" s="72" t="str"/>
      <x:c r="M609" s="72" t="str"/>
      <x:c r="N609" s="72" t="str"/>
      <x:c r="O609" s="72" t="str"/>
      <x:c r="P609" s="72" t="str">
        <x:v>Available</x:v>
      </x:c>
      <x:c r="Q609" s="72" t="n">
        <x:v>0</x:v>
      </x:c>
      <x:c r="R609" s="55" t="str">
        <x:f>IF($D609="","",ROUND(MAX(0,MIN(100,0.35*$J609+0.2*$K609+0.15*$L609+0.15*$M609+0.1*$N609+0.05*$O609-IF(OR($P609="Out",$P609="Suspended"),$Q609,IF($P609="Doubtful",$Q609*0.5,IF($P609="Limited",$Q609*0.25,0))))),2))</x:f>
      </x:c>
      <x:c r="S609" s="55" t="n">
        <x:f>IF($D609="",0,ROUND(IF(OR($P609="Out",$P609="Suspended"),$Q609*$H609,IF($P609="Doubtful",$Q609*$H609*0.5,IF($P609="Limited",$Q609*$H609*0.25,0))),2))</x:f>
        <x:v>0</x:v>
      </x:c>
      <x:c r="T609" s="55" t="str"/>
      <x:c r="U609" s="51" t="str"/>
    </x:row>
    <x:row r="610">
      <x:c r="A610" s="51" t="str">
        <x:v>Tunisia</x:v>
      </x:c>
      <x:c r="B610" s="51" t="str">
        <x:v>F</x:v>
      </x:c>
      <x:c r="C610" s="51" t="n">
        <x:v>8</x:v>
      </x:c>
      <x:c r="D610" s="71" t="str"/>
      <x:c r="E610" s="51" t="str">
        <x:v>FB</x:v>
      </x:c>
      <x:c r="F610" s="51" t="str">
        <x:v>Defence</x:v>
      </x:c>
      <x:c r="G610" s="51" t="str">
        <x:v>Starter</x:v>
      </x:c>
      <x:c r="H610" s="55" t="n">
        <x:v>1</x:v>
      </x:c>
      <x:c r="I610" s="51" t="str"/>
      <x:c r="J610" s="72" t="str"/>
      <x:c r="K610" s="72" t="str"/>
      <x:c r="L610" s="72" t="str"/>
      <x:c r="M610" s="72" t="str"/>
      <x:c r="N610" s="72" t="str"/>
      <x:c r="O610" s="72" t="str"/>
      <x:c r="P610" s="72" t="str">
        <x:v>Available</x:v>
      </x:c>
      <x:c r="Q610" s="72" t="n">
        <x:v>0</x:v>
      </x:c>
      <x:c r="R610" s="55" t="str">
        <x:f>IF($D610="","",ROUND(MAX(0,MIN(100,0.35*$J610+0.2*$K610+0.15*$L610+0.15*$M610+0.1*$N610+0.05*$O610-IF(OR($P610="Out",$P610="Suspended"),$Q610,IF($P610="Doubtful",$Q610*0.5,IF($P610="Limited",$Q610*0.25,0))))),2))</x:f>
      </x:c>
      <x:c r="S610" s="55" t="n">
        <x:f>IF($D610="",0,ROUND(IF(OR($P610="Out",$P610="Suspended"),$Q610*$H610,IF($P610="Doubtful",$Q610*$H610*0.5,IF($P610="Limited",$Q610*$H610*0.25,0))),2))</x:f>
        <x:v>0</x:v>
      </x:c>
      <x:c r="T610" s="55" t="str"/>
      <x:c r="U610" s="51" t="str"/>
    </x:row>
    <x:row r="611">
      <x:c r="A611" s="51" t="str">
        <x:v>Tunisia</x:v>
      </x:c>
      <x:c r="B611" s="51" t="str">
        <x:v>F</x:v>
      </x:c>
      <x:c r="C611" s="51" t="n">
        <x:v>9</x:v>
      </x:c>
      <x:c r="D611" s="71" t="str"/>
      <x:c r="E611" s="51" t="str">
        <x:v>DM</x:v>
      </x:c>
      <x:c r="F611" s="51" t="str">
        <x:v>Midfield</x:v>
      </x:c>
      <x:c r="G611" s="51" t="str">
        <x:v>Starter</x:v>
      </x:c>
      <x:c r="H611" s="55" t="n">
        <x:v>1</x:v>
      </x:c>
      <x:c r="I611" s="51" t="str"/>
      <x:c r="J611" s="72" t="str"/>
      <x:c r="K611" s="72" t="str"/>
      <x:c r="L611" s="72" t="str"/>
      <x:c r="M611" s="72" t="str"/>
      <x:c r="N611" s="72" t="str"/>
      <x:c r="O611" s="72" t="str"/>
      <x:c r="P611" s="72" t="str">
        <x:v>Available</x:v>
      </x:c>
      <x:c r="Q611" s="72" t="n">
        <x:v>0</x:v>
      </x:c>
      <x:c r="R611" s="55" t="str">
        <x:f>IF($D611="","",ROUND(MAX(0,MIN(100,0.35*$J611+0.2*$K611+0.15*$L611+0.15*$M611+0.1*$N611+0.05*$O611-IF(OR($P611="Out",$P611="Suspended"),$Q611,IF($P611="Doubtful",$Q611*0.5,IF($P611="Limited",$Q611*0.25,0))))),2))</x:f>
      </x:c>
      <x:c r="S611" s="55" t="n">
        <x:f>IF($D611="",0,ROUND(IF(OR($P611="Out",$P611="Suspended"),$Q611*$H611,IF($P611="Doubtful",$Q611*$H611*0.5,IF($P611="Limited",$Q611*$H611*0.25,0))),2))</x:f>
        <x:v>0</x:v>
      </x:c>
      <x:c r="T611" s="55" t="str"/>
      <x:c r="U611" s="51" t="str"/>
    </x:row>
    <x:row r="612">
      <x:c r="A612" s="51" t="str">
        <x:v>Tunisia</x:v>
      </x:c>
      <x:c r="B612" s="51" t="str">
        <x:v>F</x:v>
      </x:c>
      <x:c r="C612" s="51" t="n">
        <x:v>10</x:v>
      </x:c>
      <x:c r="D612" s="71" t="str"/>
      <x:c r="E612" s="51" t="str">
        <x:v>DM</x:v>
      </x:c>
      <x:c r="F612" s="51" t="str">
        <x:v>Midfield</x:v>
      </x:c>
      <x:c r="G612" s="51" t="str">
        <x:v>Starter</x:v>
      </x:c>
      <x:c r="H612" s="55" t="n">
        <x:v>1</x:v>
      </x:c>
      <x:c r="I612" s="51" t="str"/>
      <x:c r="J612" s="72" t="str"/>
      <x:c r="K612" s="72" t="str"/>
      <x:c r="L612" s="72" t="str"/>
      <x:c r="M612" s="72" t="str"/>
      <x:c r="N612" s="72" t="str"/>
      <x:c r="O612" s="72" t="str"/>
      <x:c r="P612" s="72" t="str">
        <x:v>Available</x:v>
      </x:c>
      <x:c r="Q612" s="72" t="n">
        <x:v>0</x:v>
      </x:c>
      <x:c r="R612" s="55" t="str">
        <x:f>IF($D612="","",ROUND(MAX(0,MIN(100,0.35*$J612+0.2*$K612+0.15*$L612+0.15*$M612+0.1*$N612+0.05*$O612-IF(OR($P612="Out",$P612="Suspended"),$Q612,IF($P612="Doubtful",$Q612*0.5,IF($P612="Limited",$Q612*0.25,0))))),2))</x:f>
      </x:c>
      <x:c r="S612" s="55" t="n">
        <x:f>IF($D612="",0,ROUND(IF(OR($P612="Out",$P612="Suspended"),$Q612*$H612,IF($P612="Doubtful",$Q612*$H612*0.5,IF($P612="Limited",$Q612*$H612*0.25,0))),2))</x:f>
        <x:v>0</x:v>
      </x:c>
      <x:c r="T612" s="55" t="str"/>
      <x:c r="U612" s="51" t="str"/>
    </x:row>
    <x:row r="613">
      <x:c r="A613" s="51" t="str">
        <x:v>Tunisia</x:v>
      </x:c>
      <x:c r="B613" s="51" t="str">
        <x:v>F</x:v>
      </x:c>
      <x:c r="C613" s="51" t="n">
        <x:v>11</x:v>
      </x:c>
      <x:c r="D613" s="71" t="str"/>
      <x:c r="E613" s="51" t="str">
        <x:v>DM</x:v>
      </x:c>
      <x:c r="F613" s="51" t="str">
        <x:v>Midfield</x:v>
      </x:c>
      <x:c r="G613" s="51" t="str">
        <x:v>Starter</x:v>
      </x:c>
      <x:c r="H613" s="55" t="n">
        <x:v>1</x:v>
      </x:c>
      <x:c r="I613" s="51" t="str"/>
      <x:c r="J613" s="72" t="str"/>
      <x:c r="K613" s="72" t="str"/>
      <x:c r="L613" s="72" t="str"/>
      <x:c r="M613" s="72" t="str"/>
      <x:c r="N613" s="72" t="str"/>
      <x:c r="O613" s="72" t="str"/>
      <x:c r="P613" s="72" t="str">
        <x:v>Available</x:v>
      </x:c>
      <x:c r="Q613" s="72" t="n">
        <x:v>0</x:v>
      </x:c>
      <x:c r="R613" s="55" t="str">
        <x:f>IF($D613="","",ROUND(MAX(0,MIN(100,0.35*$J613+0.2*$K613+0.15*$L613+0.15*$M613+0.1*$N613+0.05*$O613-IF(OR($P613="Out",$P613="Suspended"),$Q613,IF($P613="Doubtful",$Q613*0.5,IF($P613="Limited",$Q613*0.25,0))))),2))</x:f>
      </x:c>
      <x:c r="S613" s="55" t="n">
        <x:f>IF($D613="",0,ROUND(IF(OR($P613="Out",$P613="Suspended"),$Q613*$H613,IF($P613="Doubtful",$Q613*$H613*0.5,IF($P613="Limited",$Q613*$H613*0.25,0))),2))</x:f>
        <x:v>0</x:v>
      </x:c>
      <x:c r="T613" s="55" t="str"/>
      <x:c r="U613" s="51" t="str"/>
    </x:row>
    <x:row r="614">
      <x:c r="A614" s="51" t="str">
        <x:v>Tunisia</x:v>
      </x:c>
      <x:c r="B614" s="51" t="str">
        <x:v>F</x:v>
      </x:c>
      <x:c r="C614" s="51" t="n">
        <x:v>12</x:v>
      </x:c>
      <x:c r="D614" s="71" t="str"/>
      <x:c r="E614" s="51" t="str">
        <x:v>CM</x:v>
      </x:c>
      <x:c r="F614" s="51" t="str">
        <x:v>Midfield</x:v>
      </x:c>
      <x:c r="G614" s="51" t="str">
        <x:v>Rotation</x:v>
      </x:c>
      <x:c r="H614" s="55" t="n">
        <x:v>0.35</x:v>
      </x:c>
      <x:c r="I614" s="51" t="str"/>
      <x:c r="J614" s="72" t="str"/>
      <x:c r="K614" s="72" t="str"/>
      <x:c r="L614" s="72" t="str"/>
      <x:c r="M614" s="72" t="str"/>
      <x:c r="N614" s="72" t="str"/>
      <x:c r="O614" s="72" t="str"/>
      <x:c r="P614" s="72" t="str">
        <x:v>Available</x:v>
      </x:c>
      <x:c r="Q614" s="72" t="n">
        <x:v>0</x:v>
      </x:c>
      <x:c r="R614" s="55" t="str">
        <x:f>IF($D614="","",ROUND(MAX(0,MIN(100,0.35*$J614+0.2*$K614+0.15*$L614+0.15*$M614+0.1*$N614+0.05*$O614-IF(OR($P614="Out",$P614="Suspended"),$Q614,IF($P614="Doubtful",$Q614*0.5,IF($P614="Limited",$Q614*0.25,0))))),2))</x:f>
      </x:c>
      <x:c r="S614" s="55" t="n">
        <x:f>IF($D614="",0,ROUND(IF(OR($P614="Out",$P614="Suspended"),$Q614*$H614,IF($P614="Doubtful",$Q614*$H614*0.5,IF($P614="Limited",$Q614*$H614*0.25,0))),2))</x:f>
        <x:v>0</x:v>
      </x:c>
      <x:c r="T614" s="55" t="str"/>
      <x:c r="U614" s="51" t="str"/>
    </x:row>
    <x:row r="615">
      <x:c r="A615" s="51" t="str">
        <x:v>Tunisia</x:v>
      </x:c>
      <x:c r="B615" s="51" t="str">
        <x:v>F</x:v>
      </x:c>
      <x:c r="C615" s="51" t="n">
        <x:v>13</x:v>
      </x:c>
      <x:c r="D615" s="71" t="str"/>
      <x:c r="E615" s="51" t="str">
        <x:v>CM</x:v>
      </x:c>
      <x:c r="F615" s="51" t="str">
        <x:v>Midfield</x:v>
      </x:c>
      <x:c r="G615" s="51" t="str">
        <x:v>Rotation</x:v>
      </x:c>
      <x:c r="H615" s="55" t="n">
        <x:v>0.35</x:v>
      </x:c>
      <x:c r="I615" s="51" t="str"/>
      <x:c r="J615" s="72" t="str"/>
      <x:c r="K615" s="72" t="str"/>
      <x:c r="L615" s="72" t="str"/>
      <x:c r="M615" s="72" t="str"/>
      <x:c r="N615" s="72" t="str"/>
      <x:c r="O615" s="72" t="str"/>
      <x:c r="P615" s="72" t="str">
        <x:v>Available</x:v>
      </x:c>
      <x:c r="Q615" s="72" t="n">
        <x:v>0</x:v>
      </x:c>
      <x:c r="R615" s="55" t="str">
        <x:f>IF($D615="","",ROUND(MAX(0,MIN(100,0.35*$J615+0.2*$K615+0.15*$L615+0.15*$M615+0.1*$N615+0.05*$O615-IF(OR($P615="Out",$P615="Suspended"),$Q615,IF($P615="Doubtful",$Q615*0.5,IF($P615="Limited",$Q615*0.25,0))))),2))</x:f>
      </x:c>
      <x:c r="S615" s="55" t="n">
        <x:f>IF($D615="",0,ROUND(IF(OR($P615="Out",$P615="Suspended"),$Q615*$H615,IF($P615="Doubtful",$Q615*$H615*0.5,IF($P615="Limited",$Q615*$H615*0.25,0))),2))</x:f>
        <x:v>0</x:v>
      </x:c>
      <x:c r="T615" s="55" t="str"/>
      <x:c r="U615" s="51" t="str"/>
    </x:row>
    <x:row r="616">
      <x:c r="A616" s="51" t="str">
        <x:v>Tunisia</x:v>
      </x:c>
      <x:c r="B616" s="51" t="str">
        <x:v>F</x:v>
      </x:c>
      <x:c r="C616" s="51" t="n">
        <x:v>14</x:v>
      </x:c>
      <x:c r="D616" s="71" t="str"/>
      <x:c r="E616" s="51" t="str">
        <x:v>CM</x:v>
      </x:c>
      <x:c r="F616" s="51" t="str">
        <x:v>Midfield</x:v>
      </x:c>
      <x:c r="G616" s="51" t="str">
        <x:v>Rotation</x:v>
      </x:c>
      <x:c r="H616" s="55" t="n">
        <x:v>0.35</x:v>
      </x:c>
      <x:c r="I616" s="51" t="str"/>
      <x:c r="J616" s="72" t="str"/>
      <x:c r="K616" s="72" t="str"/>
      <x:c r="L616" s="72" t="str"/>
      <x:c r="M616" s="72" t="str"/>
      <x:c r="N616" s="72" t="str"/>
      <x:c r="O616" s="72" t="str"/>
      <x:c r="P616" s="72" t="str">
        <x:v>Available</x:v>
      </x:c>
      <x:c r="Q616" s="72" t="n">
        <x:v>0</x:v>
      </x:c>
      <x:c r="R616" s="55" t="str">
        <x:f>IF($D616="","",ROUND(MAX(0,MIN(100,0.35*$J616+0.2*$K616+0.15*$L616+0.15*$M616+0.1*$N616+0.05*$O616-IF(OR($P616="Out",$P616="Suspended"),$Q616,IF($P616="Doubtful",$Q616*0.5,IF($P616="Limited",$Q616*0.25,0))))),2))</x:f>
      </x:c>
      <x:c r="S616" s="55" t="n">
        <x:f>IF($D616="",0,ROUND(IF(OR($P616="Out",$P616="Suspended"),$Q616*$H616,IF($P616="Doubtful",$Q616*$H616*0.5,IF($P616="Limited",$Q616*$H616*0.25,0))),2))</x:f>
        <x:v>0</x:v>
      </x:c>
      <x:c r="T616" s="55" t="str"/>
      <x:c r="U616" s="51" t="str"/>
    </x:row>
    <x:row r="617">
      <x:c r="A617" s="51" t="str">
        <x:v>Tunisia</x:v>
      </x:c>
      <x:c r="B617" s="51" t="str">
        <x:v>F</x:v>
      </x:c>
      <x:c r="C617" s="51" t="n">
        <x:v>15</x:v>
      </x:c>
      <x:c r="D617" s="71" t="str"/>
      <x:c r="E617" s="51" t="str">
        <x:v>CM</x:v>
      </x:c>
      <x:c r="F617" s="51" t="str">
        <x:v>Midfield</x:v>
      </x:c>
      <x:c r="G617" s="51" t="str">
        <x:v>Rotation</x:v>
      </x:c>
      <x:c r="H617" s="55" t="n">
        <x:v>0.35</x:v>
      </x:c>
      <x:c r="I617" s="51" t="str"/>
      <x:c r="J617" s="72" t="str"/>
      <x:c r="K617" s="72" t="str"/>
      <x:c r="L617" s="72" t="str"/>
      <x:c r="M617" s="72" t="str"/>
      <x:c r="N617" s="72" t="str"/>
      <x:c r="O617" s="72" t="str"/>
      <x:c r="P617" s="72" t="str">
        <x:v>Available</x:v>
      </x:c>
      <x:c r="Q617" s="72" t="n">
        <x:v>0</x:v>
      </x:c>
      <x:c r="R617" s="55" t="str">
        <x:f>IF($D617="","",ROUND(MAX(0,MIN(100,0.35*$J617+0.2*$K617+0.15*$L617+0.15*$M617+0.1*$N617+0.05*$O617-IF(OR($P617="Out",$P617="Suspended"),$Q617,IF($P617="Doubtful",$Q617*0.5,IF($P617="Limited",$Q617*0.25,0))))),2))</x:f>
      </x:c>
      <x:c r="S617" s="55" t="n">
        <x:f>IF($D617="",0,ROUND(IF(OR($P617="Out",$P617="Suspended"),$Q617*$H617,IF($P617="Doubtful",$Q617*$H617*0.5,IF($P617="Limited",$Q617*$H617*0.25,0))),2))</x:f>
        <x:v>0</x:v>
      </x:c>
      <x:c r="T617" s="55" t="str"/>
      <x:c r="U617" s="51" t="str"/>
    </x:row>
    <x:row r="618">
      <x:c r="A618" s="51" t="str">
        <x:v>Tunisia</x:v>
      </x:c>
      <x:c r="B618" s="51" t="str">
        <x:v>F</x:v>
      </x:c>
      <x:c r="C618" s="51" t="n">
        <x:v>16</x:v>
      </x:c>
      <x:c r="D618" s="71" t="str"/>
      <x:c r="E618" s="51" t="str">
        <x:v>AM</x:v>
      </x:c>
      <x:c r="F618" s="51" t="str">
        <x:v>Attack</x:v>
      </x:c>
      <x:c r="G618" s="51" t="str">
        <x:v>Rotation</x:v>
      </x:c>
      <x:c r="H618" s="55" t="n">
        <x:v>0.35</x:v>
      </x:c>
      <x:c r="I618" s="51" t="str"/>
      <x:c r="J618" s="72" t="str"/>
      <x:c r="K618" s="72" t="str"/>
      <x:c r="L618" s="72" t="str"/>
      <x:c r="M618" s="72" t="str"/>
      <x:c r="N618" s="72" t="str"/>
      <x:c r="O618" s="72" t="str"/>
      <x:c r="P618" s="72" t="str">
        <x:v>Available</x:v>
      </x:c>
      <x:c r="Q618" s="72" t="n">
        <x:v>0</x:v>
      </x:c>
      <x:c r="R618" s="55" t="str">
        <x:f>IF($D618="","",ROUND(MAX(0,MIN(100,0.35*$J618+0.2*$K618+0.15*$L618+0.15*$M618+0.1*$N618+0.05*$O618-IF(OR($P618="Out",$P618="Suspended"),$Q618,IF($P618="Doubtful",$Q618*0.5,IF($P618="Limited",$Q618*0.25,0))))),2))</x:f>
      </x:c>
      <x:c r="S618" s="55" t="n">
        <x:f>IF($D618="",0,ROUND(IF(OR($P618="Out",$P618="Suspended"),$Q618*$H618,IF($P618="Doubtful",$Q618*$H618*0.5,IF($P618="Limited",$Q618*$H618*0.25,0))),2))</x:f>
        <x:v>0</x:v>
      </x:c>
      <x:c r="T618" s="55" t="str"/>
      <x:c r="U618" s="51" t="str"/>
    </x:row>
    <x:row r="619">
      <x:c r="A619" s="51" t="str">
        <x:v>Tunisia</x:v>
      </x:c>
      <x:c r="B619" s="51" t="str">
        <x:v>F</x:v>
      </x:c>
      <x:c r="C619" s="51" t="n">
        <x:v>17</x:v>
      </x:c>
      <x:c r="D619" s="71" t="str"/>
      <x:c r="E619" s="51" t="str">
        <x:v>AM</x:v>
      </x:c>
      <x:c r="F619" s="51" t="str">
        <x:v>Attack</x:v>
      </x:c>
      <x:c r="G619" s="51" t="str">
        <x:v>Rotation</x:v>
      </x:c>
      <x:c r="H619" s="55" t="n">
        <x:v>0.35</x:v>
      </x:c>
      <x:c r="I619" s="51" t="str"/>
      <x:c r="J619" s="72" t="str"/>
      <x:c r="K619" s="72" t="str"/>
      <x:c r="L619" s="72" t="str"/>
      <x:c r="M619" s="72" t="str"/>
      <x:c r="N619" s="72" t="str"/>
      <x:c r="O619" s="72" t="str"/>
      <x:c r="P619" s="72" t="str">
        <x:v>Available</x:v>
      </x:c>
      <x:c r="Q619" s="72" t="n">
        <x:v>0</x:v>
      </x:c>
      <x:c r="R619" s="55" t="str">
        <x:f>IF($D619="","",ROUND(MAX(0,MIN(100,0.35*$J619+0.2*$K619+0.15*$L619+0.15*$M619+0.1*$N619+0.05*$O619-IF(OR($P619="Out",$P619="Suspended"),$Q619,IF($P619="Doubtful",$Q619*0.5,IF($P619="Limited",$Q619*0.25,0))))),2))</x:f>
      </x:c>
      <x:c r="S619" s="55" t="n">
        <x:f>IF($D619="",0,ROUND(IF(OR($P619="Out",$P619="Suspended"),$Q619*$H619,IF($P619="Doubtful",$Q619*$H619*0.5,IF($P619="Limited",$Q619*$H619*0.25,0))),2))</x:f>
        <x:v>0</x:v>
      </x:c>
      <x:c r="T619" s="55" t="str"/>
      <x:c r="U619" s="51" t="str"/>
    </x:row>
    <x:row r="620">
      <x:c r="A620" s="51" t="str">
        <x:v>Tunisia</x:v>
      </x:c>
      <x:c r="B620" s="51" t="str">
        <x:v>F</x:v>
      </x:c>
      <x:c r="C620" s="51" t="n">
        <x:v>18</x:v>
      </x:c>
      <x:c r="D620" s="71" t="str"/>
      <x:c r="E620" s="51" t="str">
        <x:v>AM</x:v>
      </x:c>
      <x:c r="F620" s="51" t="str">
        <x:v>Attack</x:v>
      </x:c>
      <x:c r="G620" s="51" t="str">
        <x:v>Rotation</x:v>
      </x:c>
      <x:c r="H620" s="55" t="n">
        <x:v>0.35</x:v>
      </x:c>
      <x:c r="I620" s="51" t="str"/>
      <x:c r="J620" s="72" t="str"/>
      <x:c r="K620" s="72" t="str"/>
      <x:c r="L620" s="72" t="str"/>
      <x:c r="M620" s="72" t="str"/>
      <x:c r="N620" s="72" t="str"/>
      <x:c r="O620" s="72" t="str"/>
      <x:c r="P620" s="72" t="str">
        <x:v>Available</x:v>
      </x:c>
      <x:c r="Q620" s="72" t="n">
        <x:v>0</x:v>
      </x:c>
      <x:c r="R620" s="55" t="str">
        <x:f>IF($D620="","",ROUND(MAX(0,MIN(100,0.35*$J620+0.2*$K620+0.15*$L620+0.15*$M620+0.1*$N620+0.05*$O620-IF(OR($P620="Out",$P620="Suspended"),$Q620,IF($P620="Doubtful",$Q620*0.5,IF($P620="Limited",$Q620*0.25,0))))),2))</x:f>
      </x:c>
      <x:c r="S620" s="55" t="n">
        <x:f>IF($D620="",0,ROUND(IF(OR($P620="Out",$P620="Suspended"),$Q620*$H620,IF($P620="Doubtful",$Q620*$H620*0.5,IF($P620="Limited",$Q620*$H620*0.25,0))),2))</x:f>
        <x:v>0</x:v>
      </x:c>
      <x:c r="T620" s="55" t="str"/>
      <x:c r="U620" s="51" t="str"/>
    </x:row>
    <x:row r="621">
      <x:c r="A621" s="51" t="str">
        <x:v>Tunisia</x:v>
      </x:c>
      <x:c r="B621" s="51" t="str">
        <x:v>F</x:v>
      </x:c>
      <x:c r="C621" s="51" t="n">
        <x:v>19</x:v>
      </x:c>
      <x:c r="D621" s="71" t="str"/>
      <x:c r="E621" s="51" t="str">
        <x:v>AM</x:v>
      </x:c>
      <x:c r="F621" s="51" t="str">
        <x:v>Attack</x:v>
      </x:c>
      <x:c r="G621" s="51" t="str">
        <x:v>Rotation</x:v>
      </x:c>
      <x:c r="H621" s="55" t="n">
        <x:v>0.35</x:v>
      </x:c>
      <x:c r="I621" s="51" t="str"/>
      <x:c r="J621" s="72" t="str"/>
      <x:c r="K621" s="72" t="str"/>
      <x:c r="L621" s="72" t="str"/>
      <x:c r="M621" s="72" t="str"/>
      <x:c r="N621" s="72" t="str"/>
      <x:c r="O621" s="72" t="str"/>
      <x:c r="P621" s="72" t="str">
        <x:v>Available</x:v>
      </x:c>
      <x:c r="Q621" s="72" t="n">
        <x:v>0</x:v>
      </x:c>
      <x:c r="R621" s="55" t="str">
        <x:f>IF($D621="","",ROUND(MAX(0,MIN(100,0.35*$J621+0.2*$K621+0.15*$L621+0.15*$M621+0.1*$N621+0.05*$O621-IF(OR($P621="Out",$P621="Suspended"),$Q621,IF($P621="Doubtful",$Q621*0.5,IF($P621="Limited",$Q621*0.25,0))))),2))</x:f>
      </x:c>
      <x:c r="S621" s="55" t="n">
        <x:f>IF($D621="",0,ROUND(IF(OR($P621="Out",$P621="Suspended"),$Q621*$H621,IF($P621="Doubtful",$Q621*$H621*0.5,IF($P621="Limited",$Q621*$H621*0.25,0))),2))</x:f>
        <x:v>0</x:v>
      </x:c>
      <x:c r="T621" s="55" t="str"/>
      <x:c r="U621" s="51" t="str"/>
    </x:row>
    <x:row r="622">
      <x:c r="A622" s="51" t="str">
        <x:v>Tunisia</x:v>
      </x:c>
      <x:c r="B622" s="51" t="str">
        <x:v>F</x:v>
      </x:c>
      <x:c r="C622" s="51" t="n">
        <x:v>20</x:v>
      </x:c>
      <x:c r="D622" s="71" t="str"/>
      <x:c r="E622" s="51" t="str">
        <x:v>Winger</x:v>
      </x:c>
      <x:c r="F622" s="51" t="str">
        <x:v>Attack</x:v>
      </x:c>
      <x:c r="G622" s="51" t="str">
        <x:v>Rotation</x:v>
      </x:c>
      <x:c r="H622" s="55" t="n">
        <x:v>0.35</x:v>
      </x:c>
      <x:c r="I622" s="51" t="str"/>
      <x:c r="J622" s="72" t="str"/>
      <x:c r="K622" s="72" t="str"/>
      <x:c r="L622" s="72" t="str"/>
      <x:c r="M622" s="72" t="str"/>
      <x:c r="N622" s="72" t="str"/>
      <x:c r="O622" s="72" t="str"/>
      <x:c r="P622" s="72" t="str">
        <x:v>Available</x:v>
      </x:c>
      <x:c r="Q622" s="72" t="n">
        <x:v>0</x:v>
      </x:c>
      <x:c r="R622" s="55" t="str">
        <x:f>IF($D622="","",ROUND(MAX(0,MIN(100,0.35*$J622+0.2*$K622+0.15*$L622+0.15*$M622+0.1*$N622+0.05*$O622-IF(OR($P622="Out",$P622="Suspended"),$Q622,IF($P622="Doubtful",$Q622*0.5,IF($P622="Limited",$Q622*0.25,0))))),2))</x:f>
      </x:c>
      <x:c r="S622" s="55" t="n">
        <x:f>IF($D622="",0,ROUND(IF(OR($P622="Out",$P622="Suspended"),$Q622*$H622,IF($P622="Doubtful",$Q622*$H622*0.5,IF($P622="Limited",$Q622*$H622*0.25,0))),2))</x:f>
        <x:v>0</x:v>
      </x:c>
      <x:c r="T622" s="55" t="str"/>
      <x:c r="U622" s="51" t="str"/>
    </x:row>
    <x:row r="623">
      <x:c r="A623" s="51" t="str">
        <x:v>Tunisia</x:v>
      </x:c>
      <x:c r="B623" s="51" t="str">
        <x:v>F</x:v>
      </x:c>
      <x:c r="C623" s="51" t="n">
        <x:v>21</x:v>
      </x:c>
      <x:c r="D623" s="71" t="str"/>
      <x:c r="E623" s="51" t="str">
        <x:v>Winger</x:v>
      </x:c>
      <x:c r="F623" s="51" t="str">
        <x:v>Attack</x:v>
      </x:c>
      <x:c r="G623" s="51" t="str">
        <x:v>Depth</x:v>
      </x:c>
      <x:c r="H623" s="55" t="n">
        <x:v>0.1</x:v>
      </x:c>
      <x:c r="I623" s="51" t="str"/>
      <x:c r="J623" s="72" t="str"/>
      <x:c r="K623" s="72" t="str"/>
      <x:c r="L623" s="72" t="str"/>
      <x:c r="M623" s="72" t="str"/>
      <x:c r="N623" s="72" t="str"/>
      <x:c r="O623" s="72" t="str"/>
      <x:c r="P623" s="72" t="str">
        <x:v>Available</x:v>
      </x:c>
      <x:c r="Q623" s="72" t="n">
        <x:v>0</x:v>
      </x:c>
      <x:c r="R623" s="55" t="str">
        <x:f>IF($D623="","",ROUND(MAX(0,MIN(100,0.35*$J623+0.2*$K623+0.15*$L623+0.15*$M623+0.1*$N623+0.05*$O623-IF(OR($P623="Out",$P623="Suspended"),$Q623,IF($P623="Doubtful",$Q623*0.5,IF($P623="Limited",$Q623*0.25,0))))),2))</x:f>
      </x:c>
      <x:c r="S623" s="55" t="n">
        <x:f>IF($D623="",0,ROUND(IF(OR($P623="Out",$P623="Suspended"),$Q623*$H623,IF($P623="Doubtful",$Q623*$H623*0.5,IF($P623="Limited",$Q623*$H623*0.25,0))),2))</x:f>
        <x:v>0</x:v>
      </x:c>
      <x:c r="T623" s="55" t="str"/>
      <x:c r="U623" s="51" t="str"/>
    </x:row>
    <x:row r="624">
      <x:c r="A624" s="51" t="str">
        <x:v>Tunisia</x:v>
      </x:c>
      <x:c r="B624" s="51" t="str">
        <x:v>F</x:v>
      </x:c>
      <x:c r="C624" s="51" t="n">
        <x:v>22</x:v>
      </x:c>
      <x:c r="D624" s="71" t="str"/>
      <x:c r="E624" s="51" t="str">
        <x:v>Winger</x:v>
      </x:c>
      <x:c r="F624" s="51" t="str">
        <x:v>Attack</x:v>
      </x:c>
      <x:c r="G624" s="51" t="str">
        <x:v>Depth</x:v>
      </x:c>
      <x:c r="H624" s="55" t="n">
        <x:v>0.1</x:v>
      </x:c>
      <x:c r="I624" s="51" t="str"/>
      <x:c r="J624" s="72" t="str"/>
      <x:c r="K624" s="72" t="str"/>
      <x:c r="L624" s="72" t="str"/>
      <x:c r="M624" s="72" t="str"/>
      <x:c r="N624" s="72" t="str"/>
      <x:c r="O624" s="72" t="str"/>
      <x:c r="P624" s="72" t="str">
        <x:v>Available</x:v>
      </x:c>
      <x:c r="Q624" s="72" t="n">
        <x:v>0</x:v>
      </x:c>
      <x:c r="R624" s="55" t="str">
        <x:f>IF($D624="","",ROUND(MAX(0,MIN(100,0.35*$J624+0.2*$K624+0.15*$L624+0.15*$M624+0.1*$N624+0.05*$O624-IF(OR($P624="Out",$P624="Suspended"),$Q624,IF($P624="Doubtful",$Q624*0.5,IF($P624="Limited",$Q624*0.25,0))))),2))</x:f>
      </x:c>
      <x:c r="S624" s="55" t="n">
        <x:f>IF($D624="",0,ROUND(IF(OR($P624="Out",$P624="Suspended"),$Q624*$H624,IF($P624="Doubtful",$Q624*$H624*0.5,IF($P624="Limited",$Q624*$H624*0.25,0))),2))</x:f>
        <x:v>0</x:v>
      </x:c>
      <x:c r="T624" s="55" t="str"/>
      <x:c r="U624" s="51" t="str"/>
    </x:row>
    <x:row r="625">
      <x:c r="A625" s="51" t="str">
        <x:v>Tunisia</x:v>
      </x:c>
      <x:c r="B625" s="51" t="str">
        <x:v>F</x:v>
      </x:c>
      <x:c r="C625" s="51" t="n">
        <x:v>23</x:v>
      </x:c>
      <x:c r="D625" s="71" t="str"/>
      <x:c r="E625" s="51" t="str">
        <x:v>Winger</x:v>
      </x:c>
      <x:c r="F625" s="51" t="str">
        <x:v>Attack</x:v>
      </x:c>
      <x:c r="G625" s="51" t="str">
        <x:v>Depth</x:v>
      </x:c>
      <x:c r="H625" s="55" t="n">
        <x:v>0.1</x:v>
      </x:c>
      <x:c r="I625" s="51" t="str"/>
      <x:c r="J625" s="72" t="str"/>
      <x:c r="K625" s="72" t="str"/>
      <x:c r="L625" s="72" t="str"/>
      <x:c r="M625" s="72" t="str"/>
      <x:c r="N625" s="72" t="str"/>
      <x:c r="O625" s="72" t="str"/>
      <x:c r="P625" s="72" t="str">
        <x:v>Available</x:v>
      </x:c>
      <x:c r="Q625" s="72" t="n">
        <x:v>0</x:v>
      </x:c>
      <x:c r="R625" s="55" t="str">
        <x:f>IF($D625="","",ROUND(MAX(0,MIN(100,0.35*$J625+0.2*$K625+0.15*$L625+0.15*$M625+0.1*$N625+0.05*$O625-IF(OR($P625="Out",$P625="Suspended"),$Q625,IF($P625="Doubtful",$Q625*0.5,IF($P625="Limited",$Q625*0.25,0))))),2))</x:f>
      </x:c>
      <x:c r="S625" s="55" t="n">
        <x:f>IF($D625="",0,ROUND(IF(OR($P625="Out",$P625="Suspended"),$Q625*$H625,IF($P625="Doubtful",$Q625*$H625*0.5,IF($P625="Limited",$Q625*$H625*0.25,0))),2))</x:f>
        <x:v>0</x:v>
      </x:c>
      <x:c r="T625" s="55" t="str"/>
      <x:c r="U625" s="51" t="str"/>
    </x:row>
    <x:row r="626">
      <x:c r="A626" s="51" t="str">
        <x:v>Tunisia</x:v>
      </x:c>
      <x:c r="B626" s="51" t="str">
        <x:v>F</x:v>
      </x:c>
      <x:c r="C626" s="51" t="n">
        <x:v>24</x:v>
      </x:c>
      <x:c r="D626" s="71" t="str"/>
      <x:c r="E626" s="51" t="str">
        <x:v>ST</x:v>
      </x:c>
      <x:c r="F626" s="51" t="str">
        <x:v>Attack</x:v>
      </x:c>
      <x:c r="G626" s="51" t="str">
        <x:v>Depth</x:v>
      </x:c>
      <x:c r="H626" s="55" t="n">
        <x:v>0.1</x:v>
      </x:c>
      <x:c r="I626" s="51" t="str"/>
      <x:c r="J626" s="72" t="str"/>
      <x:c r="K626" s="72" t="str"/>
      <x:c r="L626" s="72" t="str"/>
      <x:c r="M626" s="72" t="str"/>
      <x:c r="N626" s="72" t="str"/>
      <x:c r="O626" s="72" t="str"/>
      <x:c r="P626" s="72" t="str">
        <x:v>Available</x:v>
      </x:c>
      <x:c r="Q626" s="72" t="n">
        <x:v>0</x:v>
      </x:c>
      <x:c r="R626" s="55" t="str">
        <x:f>IF($D626="","",ROUND(MAX(0,MIN(100,0.35*$J626+0.2*$K626+0.15*$L626+0.15*$M626+0.1*$N626+0.05*$O626-IF(OR($P626="Out",$P626="Suspended"),$Q626,IF($P626="Doubtful",$Q626*0.5,IF($P626="Limited",$Q626*0.25,0))))),2))</x:f>
      </x:c>
      <x:c r="S626" s="55" t="n">
        <x:f>IF($D626="",0,ROUND(IF(OR($P626="Out",$P626="Suspended"),$Q626*$H626,IF($P626="Doubtful",$Q626*$H626*0.5,IF($P626="Limited",$Q626*$H626*0.25,0))),2))</x:f>
        <x:v>0</x:v>
      </x:c>
      <x:c r="T626" s="55" t="str"/>
      <x:c r="U626" s="51" t="str"/>
    </x:row>
    <x:row r="627">
      <x:c r="A627" s="51" t="str">
        <x:v>Tunisia</x:v>
      </x:c>
      <x:c r="B627" s="51" t="str">
        <x:v>F</x:v>
      </x:c>
      <x:c r="C627" s="51" t="n">
        <x:v>25</x:v>
      </x:c>
      <x:c r="D627" s="71" t="str"/>
      <x:c r="E627" s="51" t="str">
        <x:v>ST</x:v>
      </x:c>
      <x:c r="F627" s="51" t="str">
        <x:v>Attack</x:v>
      </x:c>
      <x:c r="G627" s="51" t="str">
        <x:v>Depth</x:v>
      </x:c>
      <x:c r="H627" s="55" t="n">
        <x:v>0.1</x:v>
      </x:c>
      <x:c r="I627" s="51" t="str"/>
      <x:c r="J627" s="72" t="str"/>
      <x:c r="K627" s="72" t="str"/>
      <x:c r="L627" s="72" t="str"/>
      <x:c r="M627" s="72" t="str"/>
      <x:c r="N627" s="72" t="str"/>
      <x:c r="O627" s="72" t="str"/>
      <x:c r="P627" s="72" t="str">
        <x:v>Available</x:v>
      </x:c>
      <x:c r="Q627" s="72" t="n">
        <x:v>0</x:v>
      </x:c>
      <x:c r="R627" s="55" t="str">
        <x:f>IF($D627="","",ROUND(MAX(0,MIN(100,0.35*$J627+0.2*$K627+0.15*$L627+0.15*$M627+0.1*$N627+0.05*$O627-IF(OR($P627="Out",$P627="Suspended"),$Q627,IF($P627="Doubtful",$Q627*0.5,IF($P627="Limited",$Q627*0.25,0))))),2))</x:f>
      </x:c>
      <x:c r="S627" s="55" t="n">
        <x:f>IF($D627="",0,ROUND(IF(OR($P627="Out",$P627="Suspended"),$Q627*$H627,IF($P627="Doubtful",$Q627*$H627*0.5,IF($P627="Limited",$Q627*$H627*0.25,0))),2))</x:f>
        <x:v>0</x:v>
      </x:c>
      <x:c r="T627" s="55" t="str"/>
      <x:c r="U627" s="51" t="str"/>
    </x:row>
    <x:row r="628">
      <x:c r="A628" s="51" t="str">
        <x:v>Tunisia</x:v>
      </x:c>
      <x:c r="B628" s="51" t="str">
        <x:v>F</x:v>
      </x:c>
      <x:c r="C628" s="51" t="n">
        <x:v>26</x:v>
      </x:c>
      <x:c r="D628" s="71" t="str"/>
      <x:c r="E628" s="51" t="str">
        <x:v>ST</x:v>
      </x:c>
      <x:c r="F628" s="51" t="str">
        <x:v>Attack</x:v>
      </x:c>
      <x:c r="G628" s="51" t="str">
        <x:v>Depth</x:v>
      </x:c>
      <x:c r="H628" s="55" t="n">
        <x:v>0.1</x:v>
      </x:c>
      <x:c r="I628" s="51" t="str"/>
      <x:c r="J628" s="72" t="str"/>
      <x:c r="K628" s="72" t="str"/>
      <x:c r="L628" s="72" t="str"/>
      <x:c r="M628" s="72" t="str"/>
      <x:c r="N628" s="72" t="str"/>
      <x:c r="O628" s="72" t="str"/>
      <x:c r="P628" s="72" t="str">
        <x:v>Available</x:v>
      </x:c>
      <x:c r="Q628" s="72" t="n">
        <x:v>0</x:v>
      </x:c>
      <x:c r="R628" s="55" t="str">
        <x:f>IF($D628="","",ROUND(MAX(0,MIN(100,0.35*$J628+0.2*$K628+0.15*$L628+0.15*$M628+0.1*$N628+0.05*$O628-IF(OR($P628="Out",$P628="Suspended"),$Q628,IF($P628="Doubtful",$Q628*0.5,IF($P628="Limited",$Q628*0.25,0))))),2))</x:f>
      </x:c>
      <x:c r="S628" s="55" t="n">
        <x:f>IF($D628="",0,ROUND(IF(OR($P628="Out",$P628="Suspended"),$Q628*$H628,IF($P628="Doubtful",$Q628*$H628*0.5,IF($P628="Limited",$Q628*$H628*0.25,0))),2))</x:f>
        <x:v>0</x:v>
      </x:c>
      <x:c r="T628" s="55" t="str"/>
      <x:c r="U628" s="51" t="str"/>
    </x:row>
    <x:row r="629">
      <x:c r="A629" s="51" t="str">
        <x:v>Belgium</x:v>
      </x:c>
      <x:c r="B629" s="51" t="str">
        <x:v>G</x:v>
      </x:c>
      <x:c r="C629" s="51" t="n">
        <x:v>1</x:v>
      </x:c>
      <x:c r="D629" s="71" t="str"/>
      <x:c r="E629" s="51" t="str">
        <x:v>GK</x:v>
      </x:c>
      <x:c r="F629" s="51" t="str">
        <x:v>GK</x:v>
      </x:c>
      <x:c r="G629" s="51" t="str">
        <x:v>Starter</x:v>
      </x:c>
      <x:c r="H629" s="55" t="n">
        <x:v>1</x:v>
      </x:c>
      <x:c r="I629" s="51" t="str"/>
      <x:c r="J629" s="72" t="str"/>
      <x:c r="K629" s="72" t="str"/>
      <x:c r="L629" s="72" t="str"/>
      <x:c r="M629" s="72" t="str"/>
      <x:c r="N629" s="72" t="str"/>
      <x:c r="O629" s="72" t="str"/>
      <x:c r="P629" s="72" t="str">
        <x:v>Available</x:v>
      </x:c>
      <x:c r="Q629" s="72" t="n">
        <x:v>0</x:v>
      </x:c>
      <x:c r="R629" s="55" t="str">
        <x:f>IF($D629="","",ROUND(MAX(0,MIN(100,0.35*$J629+0.2*$K629+0.15*$L629+0.15*$M629+0.1*$N629+0.05*$O629-IF(OR($P629="Out",$P629="Suspended"),$Q629,IF($P629="Doubtful",$Q629*0.5,IF($P629="Limited",$Q629*0.25,0))))),2))</x:f>
      </x:c>
      <x:c r="S629" s="55" t="n">
        <x:f>IF($D629="",0,ROUND(IF(OR($P629="Out",$P629="Suspended"),$Q629*$H629,IF($P629="Doubtful",$Q629*$H629*0.5,IF($P629="Limited",$Q629*$H629*0.25,0))),2))</x:f>
        <x:v>0</x:v>
      </x:c>
      <x:c r="T629" s="55" t="str"/>
      <x:c r="U629" s="51" t="str"/>
    </x:row>
    <x:row r="630">
      <x:c r="A630" s="51" t="str">
        <x:v>Belgium</x:v>
      </x:c>
      <x:c r="B630" s="51" t="str">
        <x:v>G</x:v>
      </x:c>
      <x:c r="C630" s="51" t="n">
        <x:v>2</x:v>
      </x:c>
      <x:c r="D630" s="71" t="str"/>
      <x:c r="E630" s="51" t="str">
        <x:v>GK</x:v>
      </x:c>
      <x:c r="F630" s="51" t="str">
        <x:v>GK</x:v>
      </x:c>
      <x:c r="G630" s="51" t="str">
        <x:v>Starter</x:v>
      </x:c>
      <x:c r="H630" s="55" t="n">
        <x:v>1</x:v>
      </x:c>
      <x:c r="I630" s="51" t="str"/>
      <x:c r="J630" s="72" t="str"/>
      <x:c r="K630" s="72" t="str"/>
      <x:c r="L630" s="72" t="str"/>
      <x:c r="M630" s="72" t="str"/>
      <x:c r="N630" s="72" t="str"/>
      <x:c r="O630" s="72" t="str"/>
      <x:c r="P630" s="72" t="str">
        <x:v>Available</x:v>
      </x:c>
      <x:c r="Q630" s="72" t="n">
        <x:v>0</x:v>
      </x:c>
      <x:c r="R630" s="55" t="str">
        <x:f>IF($D630="","",ROUND(MAX(0,MIN(100,0.35*$J630+0.2*$K630+0.15*$L630+0.15*$M630+0.1*$N630+0.05*$O630-IF(OR($P630="Out",$P630="Suspended"),$Q630,IF($P630="Doubtful",$Q630*0.5,IF($P630="Limited",$Q630*0.25,0))))),2))</x:f>
      </x:c>
      <x:c r="S630" s="55" t="n">
        <x:f>IF($D630="",0,ROUND(IF(OR($P630="Out",$P630="Suspended"),$Q630*$H630,IF($P630="Doubtful",$Q630*$H630*0.5,IF($P630="Limited",$Q630*$H630*0.25,0))),2))</x:f>
        <x:v>0</x:v>
      </x:c>
      <x:c r="T630" s="55" t="str"/>
      <x:c r="U630" s="51" t="str"/>
    </x:row>
    <x:row r="631">
      <x:c r="A631" s="51" t="str">
        <x:v>Belgium</x:v>
      </x:c>
      <x:c r="B631" s="51" t="str">
        <x:v>G</x:v>
      </x:c>
      <x:c r="C631" s="51" t="n">
        <x:v>3</x:v>
      </x:c>
      <x:c r="D631" s="71" t="str"/>
      <x:c r="E631" s="51" t="str">
        <x:v>GK</x:v>
      </x:c>
      <x:c r="F631" s="51" t="str">
        <x:v>GK</x:v>
      </x:c>
      <x:c r="G631" s="51" t="str">
        <x:v>Starter</x:v>
      </x:c>
      <x:c r="H631" s="55" t="n">
        <x:v>1</x:v>
      </x:c>
      <x:c r="I631" s="51" t="str"/>
      <x:c r="J631" s="72" t="str"/>
      <x:c r="K631" s="72" t="str"/>
      <x:c r="L631" s="72" t="str"/>
      <x:c r="M631" s="72" t="str"/>
      <x:c r="N631" s="72" t="str"/>
      <x:c r="O631" s="72" t="str"/>
      <x:c r="P631" s="72" t="str">
        <x:v>Available</x:v>
      </x:c>
      <x:c r="Q631" s="72" t="n">
        <x:v>0</x:v>
      </x:c>
      <x:c r="R631" s="55" t="str">
        <x:f>IF($D631="","",ROUND(MAX(0,MIN(100,0.35*$J631+0.2*$K631+0.15*$L631+0.15*$M631+0.1*$N631+0.05*$O631-IF(OR($P631="Out",$P631="Suspended"),$Q631,IF($P631="Doubtful",$Q631*0.5,IF($P631="Limited",$Q631*0.25,0))))),2))</x:f>
      </x:c>
      <x:c r="S631" s="55" t="n">
        <x:f>IF($D631="",0,ROUND(IF(OR($P631="Out",$P631="Suspended"),$Q631*$H631,IF($P631="Doubtful",$Q631*$H631*0.5,IF($P631="Limited",$Q631*$H631*0.25,0))),2))</x:f>
        <x:v>0</x:v>
      </x:c>
      <x:c r="T631" s="55" t="str"/>
      <x:c r="U631" s="51" t="str"/>
    </x:row>
    <x:row r="632">
      <x:c r="A632" s="51" t="str">
        <x:v>Belgium</x:v>
      </x:c>
      <x:c r="B632" s="51" t="str">
        <x:v>G</x:v>
      </x:c>
      <x:c r="C632" s="51" t="n">
        <x:v>4</x:v>
      </x:c>
      <x:c r="D632" s="71" t="str"/>
      <x:c r="E632" s="51" t="str">
        <x:v>CB</x:v>
      </x:c>
      <x:c r="F632" s="51" t="str">
        <x:v>Defence</x:v>
      </x:c>
      <x:c r="G632" s="51" t="str">
        <x:v>Starter</x:v>
      </x:c>
      <x:c r="H632" s="55" t="n">
        <x:v>1</x:v>
      </x:c>
      <x:c r="I632" s="51" t="str"/>
      <x:c r="J632" s="72" t="str"/>
      <x:c r="K632" s="72" t="str"/>
      <x:c r="L632" s="72" t="str"/>
      <x:c r="M632" s="72" t="str"/>
      <x:c r="N632" s="72" t="str"/>
      <x:c r="O632" s="72" t="str"/>
      <x:c r="P632" s="72" t="str">
        <x:v>Available</x:v>
      </x:c>
      <x:c r="Q632" s="72" t="n">
        <x:v>0</x:v>
      </x:c>
      <x:c r="R632" s="55" t="str">
        <x:f>IF($D632="","",ROUND(MAX(0,MIN(100,0.35*$J632+0.2*$K632+0.15*$L632+0.15*$M632+0.1*$N632+0.05*$O632-IF(OR($P632="Out",$P632="Suspended"),$Q632,IF($P632="Doubtful",$Q632*0.5,IF($P632="Limited",$Q632*0.25,0))))),2))</x:f>
      </x:c>
      <x:c r="S632" s="55" t="n">
        <x:f>IF($D632="",0,ROUND(IF(OR($P632="Out",$P632="Suspended"),$Q632*$H632,IF($P632="Doubtful",$Q632*$H632*0.5,IF($P632="Limited",$Q632*$H632*0.25,0))),2))</x:f>
        <x:v>0</x:v>
      </x:c>
      <x:c r="T632" s="55" t="str"/>
      <x:c r="U632" s="51" t="str"/>
    </x:row>
    <x:row r="633">
      <x:c r="A633" s="51" t="str">
        <x:v>Belgium</x:v>
      </x:c>
      <x:c r="B633" s="51" t="str">
        <x:v>G</x:v>
      </x:c>
      <x:c r="C633" s="51" t="n">
        <x:v>5</x:v>
      </x:c>
      <x:c r="D633" s="71" t="str"/>
      <x:c r="E633" s="51" t="str">
        <x:v>CB</x:v>
      </x:c>
      <x:c r="F633" s="51" t="str">
        <x:v>Defence</x:v>
      </x:c>
      <x:c r="G633" s="51" t="str">
        <x:v>Starter</x:v>
      </x:c>
      <x:c r="H633" s="55" t="n">
        <x:v>1</x:v>
      </x:c>
      <x:c r="I633" s="51" t="str"/>
      <x:c r="J633" s="72" t="str"/>
      <x:c r="K633" s="72" t="str"/>
      <x:c r="L633" s="72" t="str"/>
      <x:c r="M633" s="72" t="str"/>
      <x:c r="N633" s="72" t="str"/>
      <x:c r="O633" s="72" t="str"/>
      <x:c r="P633" s="72" t="str">
        <x:v>Available</x:v>
      </x:c>
      <x:c r="Q633" s="72" t="n">
        <x:v>0</x:v>
      </x:c>
      <x:c r="R633" s="55" t="str">
        <x:f>IF($D633="","",ROUND(MAX(0,MIN(100,0.35*$J633+0.2*$K633+0.15*$L633+0.15*$M633+0.1*$N633+0.05*$O633-IF(OR($P633="Out",$P633="Suspended"),$Q633,IF($P633="Doubtful",$Q633*0.5,IF($P633="Limited",$Q633*0.25,0))))),2))</x:f>
      </x:c>
      <x:c r="S633" s="55" t="n">
        <x:f>IF($D633="",0,ROUND(IF(OR($P633="Out",$P633="Suspended"),$Q633*$H633,IF($P633="Doubtful",$Q633*$H633*0.5,IF($P633="Limited",$Q633*$H633*0.25,0))),2))</x:f>
        <x:v>0</x:v>
      </x:c>
      <x:c r="T633" s="55" t="str"/>
      <x:c r="U633" s="51" t="str"/>
    </x:row>
    <x:row r="634">
      <x:c r="A634" s="51" t="str">
        <x:v>Belgium</x:v>
      </x:c>
      <x:c r="B634" s="51" t="str">
        <x:v>G</x:v>
      </x:c>
      <x:c r="C634" s="51" t="n">
        <x:v>6</x:v>
      </x:c>
      <x:c r="D634" s="71" t="str"/>
      <x:c r="E634" s="51" t="str">
        <x:v>CB</x:v>
      </x:c>
      <x:c r="F634" s="51" t="str">
        <x:v>Defence</x:v>
      </x:c>
      <x:c r="G634" s="51" t="str">
        <x:v>Starter</x:v>
      </x:c>
      <x:c r="H634" s="55" t="n">
        <x:v>1</x:v>
      </x:c>
      <x:c r="I634" s="51" t="str"/>
      <x:c r="J634" s="72" t="str"/>
      <x:c r="K634" s="72" t="str"/>
      <x:c r="L634" s="72" t="str"/>
      <x:c r="M634" s="72" t="str"/>
      <x:c r="N634" s="72" t="str"/>
      <x:c r="O634" s="72" t="str"/>
      <x:c r="P634" s="72" t="str">
        <x:v>Available</x:v>
      </x:c>
      <x:c r="Q634" s="72" t="n">
        <x:v>0</x:v>
      </x:c>
      <x:c r="R634" s="55" t="str">
        <x:f>IF($D634="","",ROUND(MAX(0,MIN(100,0.35*$J634+0.2*$K634+0.15*$L634+0.15*$M634+0.1*$N634+0.05*$O634-IF(OR($P634="Out",$P634="Suspended"),$Q634,IF($P634="Doubtful",$Q634*0.5,IF($P634="Limited",$Q634*0.25,0))))),2))</x:f>
      </x:c>
      <x:c r="S634" s="55" t="n">
        <x:f>IF($D634="",0,ROUND(IF(OR($P634="Out",$P634="Suspended"),$Q634*$H634,IF($P634="Doubtful",$Q634*$H634*0.5,IF($P634="Limited",$Q634*$H634*0.25,0))),2))</x:f>
        <x:v>0</x:v>
      </x:c>
      <x:c r="T634" s="55" t="str"/>
      <x:c r="U634" s="51" t="str"/>
    </x:row>
    <x:row r="635">
      <x:c r="A635" s="51" t="str">
        <x:v>Belgium</x:v>
      </x:c>
      <x:c r="B635" s="51" t="str">
        <x:v>G</x:v>
      </x:c>
      <x:c r="C635" s="51" t="n">
        <x:v>7</x:v>
      </x:c>
      <x:c r="D635" s="71" t="str"/>
      <x:c r="E635" s="51" t="str">
        <x:v>FB</x:v>
      </x:c>
      <x:c r="F635" s="51" t="str">
        <x:v>Defence</x:v>
      </x:c>
      <x:c r="G635" s="51" t="str">
        <x:v>Starter</x:v>
      </x:c>
      <x:c r="H635" s="55" t="n">
        <x:v>1</x:v>
      </x:c>
      <x:c r="I635" s="51" t="str"/>
      <x:c r="J635" s="72" t="str"/>
      <x:c r="K635" s="72" t="str"/>
      <x:c r="L635" s="72" t="str"/>
      <x:c r="M635" s="72" t="str"/>
      <x:c r="N635" s="72" t="str"/>
      <x:c r="O635" s="72" t="str"/>
      <x:c r="P635" s="72" t="str">
        <x:v>Available</x:v>
      </x:c>
      <x:c r="Q635" s="72" t="n">
        <x:v>0</x:v>
      </x:c>
      <x:c r="R635" s="55" t="str">
        <x:f>IF($D635="","",ROUND(MAX(0,MIN(100,0.35*$J635+0.2*$K635+0.15*$L635+0.15*$M635+0.1*$N635+0.05*$O635-IF(OR($P635="Out",$P635="Suspended"),$Q635,IF($P635="Doubtful",$Q635*0.5,IF($P635="Limited",$Q635*0.25,0))))),2))</x:f>
      </x:c>
      <x:c r="S635" s="55" t="n">
        <x:f>IF($D635="",0,ROUND(IF(OR($P635="Out",$P635="Suspended"),$Q635*$H635,IF($P635="Doubtful",$Q635*$H635*0.5,IF($P635="Limited",$Q635*$H635*0.25,0))),2))</x:f>
        <x:v>0</x:v>
      </x:c>
      <x:c r="T635" s="55" t="str"/>
      <x:c r="U635" s="51" t="str"/>
    </x:row>
    <x:row r="636">
      <x:c r="A636" s="51" t="str">
        <x:v>Belgium</x:v>
      </x:c>
      <x:c r="B636" s="51" t="str">
        <x:v>G</x:v>
      </x:c>
      <x:c r="C636" s="51" t="n">
        <x:v>8</x:v>
      </x:c>
      <x:c r="D636" s="71" t="str"/>
      <x:c r="E636" s="51" t="str">
        <x:v>FB</x:v>
      </x:c>
      <x:c r="F636" s="51" t="str">
        <x:v>Defence</x:v>
      </x:c>
      <x:c r="G636" s="51" t="str">
        <x:v>Starter</x:v>
      </x:c>
      <x:c r="H636" s="55" t="n">
        <x:v>1</x:v>
      </x:c>
      <x:c r="I636" s="51" t="str"/>
      <x:c r="J636" s="72" t="str"/>
      <x:c r="K636" s="72" t="str"/>
      <x:c r="L636" s="72" t="str"/>
      <x:c r="M636" s="72" t="str"/>
      <x:c r="N636" s="72" t="str"/>
      <x:c r="O636" s="72" t="str"/>
      <x:c r="P636" s="72" t="str">
        <x:v>Available</x:v>
      </x:c>
      <x:c r="Q636" s="72" t="n">
        <x:v>0</x:v>
      </x:c>
      <x:c r="R636" s="55" t="str">
        <x:f>IF($D636="","",ROUND(MAX(0,MIN(100,0.35*$J636+0.2*$K636+0.15*$L636+0.15*$M636+0.1*$N636+0.05*$O636-IF(OR($P636="Out",$P636="Suspended"),$Q636,IF($P636="Doubtful",$Q636*0.5,IF($P636="Limited",$Q636*0.25,0))))),2))</x:f>
      </x:c>
      <x:c r="S636" s="55" t="n">
        <x:f>IF($D636="",0,ROUND(IF(OR($P636="Out",$P636="Suspended"),$Q636*$H636,IF($P636="Doubtful",$Q636*$H636*0.5,IF($P636="Limited",$Q636*$H636*0.25,0))),2))</x:f>
        <x:v>0</x:v>
      </x:c>
      <x:c r="T636" s="55" t="str"/>
      <x:c r="U636" s="51" t="str"/>
    </x:row>
    <x:row r="637">
      <x:c r="A637" s="51" t="str">
        <x:v>Belgium</x:v>
      </x:c>
      <x:c r="B637" s="51" t="str">
        <x:v>G</x:v>
      </x:c>
      <x:c r="C637" s="51" t="n">
        <x:v>9</x:v>
      </x:c>
      <x:c r="D637" s="71" t="str"/>
      <x:c r="E637" s="51" t="str">
        <x:v>DM</x:v>
      </x:c>
      <x:c r="F637" s="51" t="str">
        <x:v>Midfield</x:v>
      </x:c>
      <x:c r="G637" s="51" t="str">
        <x:v>Starter</x:v>
      </x:c>
      <x:c r="H637" s="55" t="n">
        <x:v>1</x:v>
      </x:c>
      <x:c r="I637" s="51" t="str"/>
      <x:c r="J637" s="72" t="str"/>
      <x:c r="K637" s="72" t="str"/>
      <x:c r="L637" s="72" t="str"/>
      <x:c r="M637" s="72" t="str"/>
      <x:c r="N637" s="72" t="str"/>
      <x:c r="O637" s="72" t="str"/>
      <x:c r="P637" s="72" t="str">
        <x:v>Available</x:v>
      </x:c>
      <x:c r="Q637" s="72" t="n">
        <x:v>0</x:v>
      </x:c>
      <x:c r="R637" s="55" t="str">
        <x:f>IF($D637="","",ROUND(MAX(0,MIN(100,0.35*$J637+0.2*$K637+0.15*$L637+0.15*$M637+0.1*$N637+0.05*$O637-IF(OR($P637="Out",$P637="Suspended"),$Q637,IF($P637="Doubtful",$Q637*0.5,IF($P637="Limited",$Q637*0.25,0))))),2))</x:f>
      </x:c>
      <x:c r="S637" s="55" t="n">
        <x:f>IF($D637="",0,ROUND(IF(OR($P637="Out",$P637="Suspended"),$Q637*$H637,IF($P637="Doubtful",$Q637*$H637*0.5,IF($P637="Limited",$Q637*$H637*0.25,0))),2))</x:f>
        <x:v>0</x:v>
      </x:c>
      <x:c r="T637" s="55" t="str"/>
      <x:c r="U637" s="51" t="str"/>
    </x:row>
    <x:row r="638">
      <x:c r="A638" s="51" t="str">
        <x:v>Belgium</x:v>
      </x:c>
      <x:c r="B638" s="51" t="str">
        <x:v>G</x:v>
      </x:c>
      <x:c r="C638" s="51" t="n">
        <x:v>10</x:v>
      </x:c>
      <x:c r="D638" s="71" t="str"/>
      <x:c r="E638" s="51" t="str">
        <x:v>DM</x:v>
      </x:c>
      <x:c r="F638" s="51" t="str">
        <x:v>Midfield</x:v>
      </x:c>
      <x:c r="G638" s="51" t="str">
        <x:v>Starter</x:v>
      </x:c>
      <x:c r="H638" s="55" t="n">
        <x:v>1</x:v>
      </x:c>
      <x:c r="I638" s="51" t="str"/>
      <x:c r="J638" s="72" t="str"/>
      <x:c r="K638" s="72" t="str"/>
      <x:c r="L638" s="72" t="str"/>
      <x:c r="M638" s="72" t="str"/>
      <x:c r="N638" s="72" t="str"/>
      <x:c r="O638" s="72" t="str"/>
      <x:c r="P638" s="72" t="str">
        <x:v>Available</x:v>
      </x:c>
      <x:c r="Q638" s="72" t="n">
        <x:v>0</x:v>
      </x:c>
      <x:c r="R638" s="55" t="str">
        <x:f>IF($D638="","",ROUND(MAX(0,MIN(100,0.35*$J638+0.2*$K638+0.15*$L638+0.15*$M638+0.1*$N638+0.05*$O638-IF(OR($P638="Out",$P638="Suspended"),$Q638,IF($P638="Doubtful",$Q638*0.5,IF($P638="Limited",$Q638*0.25,0))))),2))</x:f>
      </x:c>
      <x:c r="S638" s="55" t="n">
        <x:f>IF($D638="",0,ROUND(IF(OR($P638="Out",$P638="Suspended"),$Q638*$H638,IF($P638="Doubtful",$Q638*$H638*0.5,IF($P638="Limited",$Q638*$H638*0.25,0))),2))</x:f>
        <x:v>0</x:v>
      </x:c>
      <x:c r="T638" s="55" t="str"/>
      <x:c r="U638" s="51" t="str"/>
    </x:row>
    <x:row r="639">
      <x:c r="A639" s="51" t="str">
        <x:v>Belgium</x:v>
      </x:c>
      <x:c r="B639" s="51" t="str">
        <x:v>G</x:v>
      </x:c>
      <x:c r="C639" s="51" t="n">
        <x:v>11</x:v>
      </x:c>
      <x:c r="D639" s="71" t="str"/>
      <x:c r="E639" s="51" t="str">
        <x:v>DM</x:v>
      </x:c>
      <x:c r="F639" s="51" t="str">
        <x:v>Midfield</x:v>
      </x:c>
      <x:c r="G639" s="51" t="str">
        <x:v>Starter</x:v>
      </x:c>
      <x:c r="H639" s="55" t="n">
        <x:v>1</x:v>
      </x:c>
      <x:c r="I639" s="51" t="str"/>
      <x:c r="J639" s="72" t="str"/>
      <x:c r="K639" s="72" t="str"/>
      <x:c r="L639" s="72" t="str"/>
      <x:c r="M639" s="72" t="str"/>
      <x:c r="N639" s="72" t="str"/>
      <x:c r="O639" s="72" t="str"/>
      <x:c r="P639" s="72" t="str">
        <x:v>Available</x:v>
      </x:c>
      <x:c r="Q639" s="72" t="n">
        <x:v>0</x:v>
      </x:c>
      <x:c r="R639" s="55" t="str">
        <x:f>IF($D639="","",ROUND(MAX(0,MIN(100,0.35*$J639+0.2*$K639+0.15*$L639+0.15*$M639+0.1*$N639+0.05*$O639-IF(OR($P639="Out",$P639="Suspended"),$Q639,IF($P639="Doubtful",$Q639*0.5,IF($P639="Limited",$Q639*0.25,0))))),2))</x:f>
      </x:c>
      <x:c r="S639" s="55" t="n">
        <x:f>IF($D639="",0,ROUND(IF(OR($P639="Out",$P639="Suspended"),$Q639*$H639,IF($P639="Doubtful",$Q639*$H639*0.5,IF($P639="Limited",$Q639*$H639*0.25,0))),2))</x:f>
        <x:v>0</x:v>
      </x:c>
      <x:c r="T639" s="55" t="str"/>
      <x:c r="U639" s="51" t="str"/>
    </x:row>
    <x:row r="640">
      <x:c r="A640" s="51" t="str">
        <x:v>Belgium</x:v>
      </x:c>
      <x:c r="B640" s="51" t="str">
        <x:v>G</x:v>
      </x:c>
      <x:c r="C640" s="51" t="n">
        <x:v>12</x:v>
      </x:c>
      <x:c r="D640" s="71" t="str"/>
      <x:c r="E640" s="51" t="str">
        <x:v>CM</x:v>
      </x:c>
      <x:c r="F640" s="51" t="str">
        <x:v>Midfield</x:v>
      </x:c>
      <x:c r="G640" s="51" t="str">
        <x:v>Rotation</x:v>
      </x:c>
      <x:c r="H640" s="55" t="n">
        <x:v>0.35</x:v>
      </x:c>
      <x:c r="I640" s="51" t="str"/>
      <x:c r="J640" s="72" t="str"/>
      <x:c r="K640" s="72" t="str"/>
      <x:c r="L640" s="72" t="str"/>
      <x:c r="M640" s="72" t="str"/>
      <x:c r="N640" s="72" t="str"/>
      <x:c r="O640" s="72" t="str"/>
      <x:c r="P640" s="72" t="str">
        <x:v>Available</x:v>
      </x:c>
      <x:c r="Q640" s="72" t="n">
        <x:v>0</x:v>
      </x:c>
      <x:c r="R640" s="55" t="str">
        <x:f>IF($D640="","",ROUND(MAX(0,MIN(100,0.35*$J640+0.2*$K640+0.15*$L640+0.15*$M640+0.1*$N640+0.05*$O640-IF(OR($P640="Out",$P640="Suspended"),$Q640,IF($P640="Doubtful",$Q640*0.5,IF($P640="Limited",$Q640*0.25,0))))),2))</x:f>
      </x:c>
      <x:c r="S640" s="55" t="n">
        <x:f>IF($D640="",0,ROUND(IF(OR($P640="Out",$P640="Suspended"),$Q640*$H640,IF($P640="Doubtful",$Q640*$H640*0.5,IF($P640="Limited",$Q640*$H640*0.25,0))),2))</x:f>
        <x:v>0</x:v>
      </x:c>
      <x:c r="T640" s="55" t="str"/>
      <x:c r="U640" s="51" t="str"/>
    </x:row>
    <x:row r="641">
      <x:c r="A641" s="51" t="str">
        <x:v>Belgium</x:v>
      </x:c>
      <x:c r="B641" s="51" t="str">
        <x:v>G</x:v>
      </x:c>
      <x:c r="C641" s="51" t="n">
        <x:v>13</x:v>
      </x:c>
      <x:c r="D641" s="71" t="str"/>
      <x:c r="E641" s="51" t="str">
        <x:v>CM</x:v>
      </x:c>
      <x:c r="F641" s="51" t="str">
        <x:v>Midfield</x:v>
      </x:c>
      <x:c r="G641" s="51" t="str">
        <x:v>Rotation</x:v>
      </x:c>
      <x:c r="H641" s="55" t="n">
        <x:v>0.35</x:v>
      </x:c>
      <x:c r="I641" s="51" t="str"/>
      <x:c r="J641" s="72" t="str"/>
      <x:c r="K641" s="72" t="str"/>
      <x:c r="L641" s="72" t="str"/>
      <x:c r="M641" s="72" t="str"/>
      <x:c r="N641" s="72" t="str"/>
      <x:c r="O641" s="72" t="str"/>
      <x:c r="P641" s="72" t="str">
        <x:v>Available</x:v>
      </x:c>
      <x:c r="Q641" s="72" t="n">
        <x:v>0</x:v>
      </x:c>
      <x:c r="R641" s="55" t="str">
        <x:f>IF($D641="","",ROUND(MAX(0,MIN(100,0.35*$J641+0.2*$K641+0.15*$L641+0.15*$M641+0.1*$N641+0.05*$O641-IF(OR($P641="Out",$P641="Suspended"),$Q641,IF($P641="Doubtful",$Q641*0.5,IF($P641="Limited",$Q641*0.25,0))))),2))</x:f>
      </x:c>
      <x:c r="S641" s="55" t="n">
        <x:f>IF($D641="",0,ROUND(IF(OR($P641="Out",$P641="Suspended"),$Q641*$H641,IF($P641="Doubtful",$Q641*$H641*0.5,IF($P641="Limited",$Q641*$H641*0.25,0))),2))</x:f>
        <x:v>0</x:v>
      </x:c>
      <x:c r="T641" s="55" t="str"/>
      <x:c r="U641" s="51" t="str"/>
    </x:row>
    <x:row r="642">
      <x:c r="A642" s="51" t="str">
        <x:v>Belgium</x:v>
      </x:c>
      <x:c r="B642" s="51" t="str">
        <x:v>G</x:v>
      </x:c>
      <x:c r="C642" s="51" t="n">
        <x:v>14</x:v>
      </x:c>
      <x:c r="D642" s="71" t="str"/>
      <x:c r="E642" s="51" t="str">
        <x:v>CM</x:v>
      </x:c>
      <x:c r="F642" s="51" t="str">
        <x:v>Midfield</x:v>
      </x:c>
      <x:c r="G642" s="51" t="str">
        <x:v>Rotation</x:v>
      </x:c>
      <x:c r="H642" s="55" t="n">
        <x:v>0.35</x:v>
      </x:c>
      <x:c r="I642" s="51" t="str"/>
      <x:c r="J642" s="72" t="str"/>
      <x:c r="K642" s="72" t="str"/>
      <x:c r="L642" s="72" t="str"/>
      <x:c r="M642" s="72" t="str"/>
      <x:c r="N642" s="72" t="str"/>
      <x:c r="O642" s="72" t="str"/>
      <x:c r="P642" s="72" t="str">
        <x:v>Available</x:v>
      </x:c>
      <x:c r="Q642" s="72" t="n">
        <x:v>0</x:v>
      </x:c>
      <x:c r="R642" s="55" t="str">
        <x:f>IF($D642="","",ROUND(MAX(0,MIN(100,0.35*$J642+0.2*$K642+0.15*$L642+0.15*$M642+0.1*$N642+0.05*$O642-IF(OR($P642="Out",$P642="Suspended"),$Q642,IF($P642="Doubtful",$Q642*0.5,IF($P642="Limited",$Q642*0.25,0))))),2))</x:f>
      </x:c>
      <x:c r="S642" s="55" t="n">
        <x:f>IF($D642="",0,ROUND(IF(OR($P642="Out",$P642="Suspended"),$Q642*$H642,IF($P642="Doubtful",$Q642*$H642*0.5,IF($P642="Limited",$Q642*$H642*0.25,0))),2))</x:f>
        <x:v>0</x:v>
      </x:c>
      <x:c r="T642" s="55" t="str"/>
      <x:c r="U642" s="51" t="str"/>
    </x:row>
    <x:row r="643">
      <x:c r="A643" s="51" t="str">
        <x:v>Belgium</x:v>
      </x:c>
      <x:c r="B643" s="51" t="str">
        <x:v>G</x:v>
      </x:c>
      <x:c r="C643" s="51" t="n">
        <x:v>15</x:v>
      </x:c>
      <x:c r="D643" s="71" t="str"/>
      <x:c r="E643" s="51" t="str">
        <x:v>CM</x:v>
      </x:c>
      <x:c r="F643" s="51" t="str">
        <x:v>Midfield</x:v>
      </x:c>
      <x:c r="G643" s="51" t="str">
        <x:v>Rotation</x:v>
      </x:c>
      <x:c r="H643" s="55" t="n">
        <x:v>0.35</x:v>
      </x:c>
      <x:c r="I643" s="51" t="str"/>
      <x:c r="J643" s="72" t="str"/>
      <x:c r="K643" s="72" t="str"/>
      <x:c r="L643" s="72" t="str"/>
      <x:c r="M643" s="72" t="str"/>
      <x:c r="N643" s="72" t="str"/>
      <x:c r="O643" s="72" t="str"/>
      <x:c r="P643" s="72" t="str">
        <x:v>Available</x:v>
      </x:c>
      <x:c r="Q643" s="72" t="n">
        <x:v>0</x:v>
      </x:c>
      <x:c r="R643" s="55" t="str">
        <x:f>IF($D643="","",ROUND(MAX(0,MIN(100,0.35*$J643+0.2*$K643+0.15*$L643+0.15*$M643+0.1*$N643+0.05*$O643-IF(OR($P643="Out",$P643="Suspended"),$Q643,IF($P643="Doubtful",$Q643*0.5,IF($P643="Limited",$Q643*0.25,0))))),2))</x:f>
      </x:c>
      <x:c r="S643" s="55" t="n">
        <x:f>IF($D643="",0,ROUND(IF(OR($P643="Out",$P643="Suspended"),$Q643*$H643,IF($P643="Doubtful",$Q643*$H643*0.5,IF($P643="Limited",$Q643*$H643*0.25,0))),2))</x:f>
        <x:v>0</x:v>
      </x:c>
      <x:c r="T643" s="55" t="str"/>
      <x:c r="U643" s="51" t="str"/>
    </x:row>
    <x:row r="644">
      <x:c r="A644" s="51" t="str">
        <x:v>Belgium</x:v>
      </x:c>
      <x:c r="B644" s="51" t="str">
        <x:v>G</x:v>
      </x:c>
      <x:c r="C644" s="51" t="n">
        <x:v>16</x:v>
      </x:c>
      <x:c r="D644" s="71" t="str"/>
      <x:c r="E644" s="51" t="str">
        <x:v>AM</x:v>
      </x:c>
      <x:c r="F644" s="51" t="str">
        <x:v>Attack</x:v>
      </x:c>
      <x:c r="G644" s="51" t="str">
        <x:v>Rotation</x:v>
      </x:c>
      <x:c r="H644" s="55" t="n">
        <x:v>0.35</x:v>
      </x:c>
      <x:c r="I644" s="51" t="str"/>
      <x:c r="J644" s="72" t="str"/>
      <x:c r="K644" s="72" t="str"/>
      <x:c r="L644" s="72" t="str"/>
      <x:c r="M644" s="72" t="str"/>
      <x:c r="N644" s="72" t="str"/>
      <x:c r="O644" s="72" t="str"/>
      <x:c r="P644" s="72" t="str">
        <x:v>Available</x:v>
      </x:c>
      <x:c r="Q644" s="72" t="n">
        <x:v>0</x:v>
      </x:c>
      <x:c r="R644" s="55" t="str">
        <x:f>IF($D644="","",ROUND(MAX(0,MIN(100,0.35*$J644+0.2*$K644+0.15*$L644+0.15*$M644+0.1*$N644+0.05*$O644-IF(OR($P644="Out",$P644="Suspended"),$Q644,IF($P644="Doubtful",$Q644*0.5,IF($P644="Limited",$Q644*0.25,0))))),2))</x:f>
      </x:c>
      <x:c r="S644" s="55" t="n">
        <x:f>IF($D644="",0,ROUND(IF(OR($P644="Out",$P644="Suspended"),$Q644*$H644,IF($P644="Doubtful",$Q644*$H644*0.5,IF($P644="Limited",$Q644*$H644*0.25,0))),2))</x:f>
        <x:v>0</x:v>
      </x:c>
      <x:c r="T644" s="55" t="str"/>
      <x:c r="U644" s="51" t="str"/>
    </x:row>
    <x:row r="645">
      <x:c r="A645" s="51" t="str">
        <x:v>Belgium</x:v>
      </x:c>
      <x:c r="B645" s="51" t="str">
        <x:v>G</x:v>
      </x:c>
      <x:c r="C645" s="51" t="n">
        <x:v>17</x:v>
      </x:c>
      <x:c r="D645" s="71" t="str"/>
      <x:c r="E645" s="51" t="str">
        <x:v>AM</x:v>
      </x:c>
      <x:c r="F645" s="51" t="str">
        <x:v>Attack</x:v>
      </x:c>
      <x:c r="G645" s="51" t="str">
        <x:v>Rotation</x:v>
      </x:c>
      <x:c r="H645" s="55" t="n">
        <x:v>0.35</x:v>
      </x:c>
      <x:c r="I645" s="51" t="str"/>
      <x:c r="J645" s="72" t="str"/>
      <x:c r="K645" s="72" t="str"/>
      <x:c r="L645" s="72" t="str"/>
      <x:c r="M645" s="72" t="str"/>
      <x:c r="N645" s="72" t="str"/>
      <x:c r="O645" s="72" t="str"/>
      <x:c r="P645" s="72" t="str">
        <x:v>Available</x:v>
      </x:c>
      <x:c r="Q645" s="72" t="n">
        <x:v>0</x:v>
      </x:c>
      <x:c r="R645" s="55" t="str">
        <x:f>IF($D645="","",ROUND(MAX(0,MIN(100,0.35*$J645+0.2*$K645+0.15*$L645+0.15*$M645+0.1*$N645+0.05*$O645-IF(OR($P645="Out",$P645="Suspended"),$Q645,IF($P645="Doubtful",$Q645*0.5,IF($P645="Limited",$Q645*0.25,0))))),2))</x:f>
      </x:c>
      <x:c r="S645" s="55" t="n">
        <x:f>IF($D645="",0,ROUND(IF(OR($P645="Out",$P645="Suspended"),$Q645*$H645,IF($P645="Doubtful",$Q645*$H645*0.5,IF($P645="Limited",$Q645*$H645*0.25,0))),2))</x:f>
        <x:v>0</x:v>
      </x:c>
      <x:c r="T645" s="55" t="str"/>
      <x:c r="U645" s="51" t="str"/>
    </x:row>
    <x:row r="646">
      <x:c r="A646" s="51" t="str">
        <x:v>Belgium</x:v>
      </x:c>
      <x:c r="B646" s="51" t="str">
        <x:v>G</x:v>
      </x:c>
      <x:c r="C646" s="51" t="n">
        <x:v>18</x:v>
      </x:c>
      <x:c r="D646" s="71" t="str"/>
      <x:c r="E646" s="51" t="str">
        <x:v>AM</x:v>
      </x:c>
      <x:c r="F646" s="51" t="str">
        <x:v>Attack</x:v>
      </x:c>
      <x:c r="G646" s="51" t="str">
        <x:v>Rotation</x:v>
      </x:c>
      <x:c r="H646" s="55" t="n">
        <x:v>0.35</x:v>
      </x:c>
      <x:c r="I646" s="51" t="str"/>
      <x:c r="J646" s="72" t="str"/>
      <x:c r="K646" s="72" t="str"/>
      <x:c r="L646" s="72" t="str"/>
      <x:c r="M646" s="72" t="str"/>
      <x:c r="N646" s="72" t="str"/>
      <x:c r="O646" s="72" t="str"/>
      <x:c r="P646" s="72" t="str">
        <x:v>Available</x:v>
      </x:c>
      <x:c r="Q646" s="72" t="n">
        <x:v>0</x:v>
      </x:c>
      <x:c r="R646" s="55" t="str">
        <x:f>IF($D646="","",ROUND(MAX(0,MIN(100,0.35*$J646+0.2*$K646+0.15*$L646+0.15*$M646+0.1*$N646+0.05*$O646-IF(OR($P646="Out",$P646="Suspended"),$Q646,IF($P646="Doubtful",$Q646*0.5,IF($P646="Limited",$Q646*0.25,0))))),2))</x:f>
      </x:c>
      <x:c r="S646" s="55" t="n">
        <x:f>IF($D646="",0,ROUND(IF(OR($P646="Out",$P646="Suspended"),$Q646*$H646,IF($P646="Doubtful",$Q646*$H646*0.5,IF($P646="Limited",$Q646*$H646*0.25,0))),2))</x:f>
        <x:v>0</x:v>
      </x:c>
      <x:c r="T646" s="55" t="str"/>
      <x:c r="U646" s="51" t="str"/>
    </x:row>
    <x:row r="647">
      <x:c r="A647" s="51" t="str">
        <x:v>Belgium</x:v>
      </x:c>
      <x:c r="B647" s="51" t="str">
        <x:v>G</x:v>
      </x:c>
      <x:c r="C647" s="51" t="n">
        <x:v>19</x:v>
      </x:c>
      <x:c r="D647" s="71" t="str"/>
      <x:c r="E647" s="51" t="str">
        <x:v>AM</x:v>
      </x:c>
      <x:c r="F647" s="51" t="str">
        <x:v>Attack</x:v>
      </x:c>
      <x:c r="G647" s="51" t="str">
        <x:v>Rotation</x:v>
      </x:c>
      <x:c r="H647" s="55" t="n">
        <x:v>0.35</x:v>
      </x:c>
      <x:c r="I647" s="51" t="str"/>
      <x:c r="J647" s="72" t="str"/>
      <x:c r="K647" s="72" t="str"/>
      <x:c r="L647" s="72" t="str"/>
      <x:c r="M647" s="72" t="str"/>
      <x:c r="N647" s="72" t="str"/>
      <x:c r="O647" s="72" t="str"/>
      <x:c r="P647" s="72" t="str">
        <x:v>Available</x:v>
      </x:c>
      <x:c r="Q647" s="72" t="n">
        <x:v>0</x:v>
      </x:c>
      <x:c r="R647" s="55" t="str">
        <x:f>IF($D647="","",ROUND(MAX(0,MIN(100,0.35*$J647+0.2*$K647+0.15*$L647+0.15*$M647+0.1*$N647+0.05*$O647-IF(OR($P647="Out",$P647="Suspended"),$Q647,IF($P647="Doubtful",$Q647*0.5,IF($P647="Limited",$Q647*0.25,0))))),2))</x:f>
      </x:c>
      <x:c r="S647" s="55" t="n">
        <x:f>IF($D647="",0,ROUND(IF(OR($P647="Out",$P647="Suspended"),$Q647*$H647,IF($P647="Doubtful",$Q647*$H647*0.5,IF($P647="Limited",$Q647*$H647*0.25,0))),2))</x:f>
        <x:v>0</x:v>
      </x:c>
      <x:c r="T647" s="55" t="str"/>
      <x:c r="U647" s="51" t="str"/>
    </x:row>
    <x:row r="648">
      <x:c r="A648" s="51" t="str">
        <x:v>Belgium</x:v>
      </x:c>
      <x:c r="B648" s="51" t="str">
        <x:v>G</x:v>
      </x:c>
      <x:c r="C648" s="51" t="n">
        <x:v>20</x:v>
      </x:c>
      <x:c r="D648" s="71" t="str"/>
      <x:c r="E648" s="51" t="str">
        <x:v>Winger</x:v>
      </x:c>
      <x:c r="F648" s="51" t="str">
        <x:v>Attack</x:v>
      </x:c>
      <x:c r="G648" s="51" t="str">
        <x:v>Rotation</x:v>
      </x:c>
      <x:c r="H648" s="55" t="n">
        <x:v>0.35</x:v>
      </x:c>
      <x:c r="I648" s="51" t="str"/>
      <x:c r="J648" s="72" t="str"/>
      <x:c r="K648" s="72" t="str"/>
      <x:c r="L648" s="72" t="str"/>
      <x:c r="M648" s="72" t="str"/>
      <x:c r="N648" s="72" t="str"/>
      <x:c r="O648" s="72" t="str"/>
      <x:c r="P648" s="72" t="str">
        <x:v>Available</x:v>
      </x:c>
      <x:c r="Q648" s="72" t="n">
        <x:v>0</x:v>
      </x:c>
      <x:c r="R648" s="55" t="str">
        <x:f>IF($D648="","",ROUND(MAX(0,MIN(100,0.35*$J648+0.2*$K648+0.15*$L648+0.15*$M648+0.1*$N648+0.05*$O648-IF(OR($P648="Out",$P648="Suspended"),$Q648,IF($P648="Doubtful",$Q648*0.5,IF($P648="Limited",$Q648*0.25,0))))),2))</x:f>
      </x:c>
      <x:c r="S648" s="55" t="n">
        <x:f>IF($D648="",0,ROUND(IF(OR($P648="Out",$P648="Suspended"),$Q648*$H648,IF($P648="Doubtful",$Q648*$H648*0.5,IF($P648="Limited",$Q648*$H648*0.25,0))),2))</x:f>
        <x:v>0</x:v>
      </x:c>
      <x:c r="T648" s="55" t="str"/>
      <x:c r="U648" s="51" t="str"/>
    </x:row>
    <x:row r="649">
      <x:c r="A649" s="51" t="str">
        <x:v>Belgium</x:v>
      </x:c>
      <x:c r="B649" s="51" t="str">
        <x:v>G</x:v>
      </x:c>
      <x:c r="C649" s="51" t="n">
        <x:v>21</x:v>
      </x:c>
      <x:c r="D649" s="71" t="str"/>
      <x:c r="E649" s="51" t="str">
        <x:v>Winger</x:v>
      </x:c>
      <x:c r="F649" s="51" t="str">
        <x:v>Attack</x:v>
      </x:c>
      <x:c r="G649" s="51" t="str">
        <x:v>Depth</x:v>
      </x:c>
      <x:c r="H649" s="55" t="n">
        <x:v>0.1</x:v>
      </x:c>
      <x:c r="I649" s="51" t="str"/>
      <x:c r="J649" s="72" t="str"/>
      <x:c r="K649" s="72" t="str"/>
      <x:c r="L649" s="72" t="str"/>
      <x:c r="M649" s="72" t="str"/>
      <x:c r="N649" s="72" t="str"/>
      <x:c r="O649" s="72" t="str"/>
      <x:c r="P649" s="72" t="str">
        <x:v>Available</x:v>
      </x:c>
      <x:c r="Q649" s="72" t="n">
        <x:v>0</x:v>
      </x:c>
      <x:c r="R649" s="55" t="str">
        <x:f>IF($D649="","",ROUND(MAX(0,MIN(100,0.35*$J649+0.2*$K649+0.15*$L649+0.15*$M649+0.1*$N649+0.05*$O649-IF(OR($P649="Out",$P649="Suspended"),$Q649,IF($P649="Doubtful",$Q649*0.5,IF($P649="Limited",$Q649*0.25,0))))),2))</x:f>
      </x:c>
      <x:c r="S649" s="55" t="n">
        <x:f>IF($D649="",0,ROUND(IF(OR($P649="Out",$P649="Suspended"),$Q649*$H649,IF($P649="Doubtful",$Q649*$H649*0.5,IF($P649="Limited",$Q649*$H649*0.25,0))),2))</x:f>
        <x:v>0</x:v>
      </x:c>
      <x:c r="T649" s="55" t="str"/>
      <x:c r="U649" s="51" t="str"/>
    </x:row>
    <x:row r="650">
      <x:c r="A650" s="51" t="str">
        <x:v>Belgium</x:v>
      </x:c>
      <x:c r="B650" s="51" t="str">
        <x:v>G</x:v>
      </x:c>
      <x:c r="C650" s="51" t="n">
        <x:v>22</x:v>
      </x:c>
      <x:c r="D650" s="71" t="str"/>
      <x:c r="E650" s="51" t="str">
        <x:v>Winger</x:v>
      </x:c>
      <x:c r="F650" s="51" t="str">
        <x:v>Attack</x:v>
      </x:c>
      <x:c r="G650" s="51" t="str">
        <x:v>Depth</x:v>
      </x:c>
      <x:c r="H650" s="55" t="n">
        <x:v>0.1</x:v>
      </x:c>
      <x:c r="I650" s="51" t="str"/>
      <x:c r="J650" s="72" t="str"/>
      <x:c r="K650" s="72" t="str"/>
      <x:c r="L650" s="72" t="str"/>
      <x:c r="M650" s="72" t="str"/>
      <x:c r="N650" s="72" t="str"/>
      <x:c r="O650" s="72" t="str"/>
      <x:c r="P650" s="72" t="str">
        <x:v>Available</x:v>
      </x:c>
      <x:c r="Q650" s="72" t="n">
        <x:v>0</x:v>
      </x:c>
      <x:c r="R650" s="55" t="str">
        <x:f>IF($D650="","",ROUND(MAX(0,MIN(100,0.35*$J650+0.2*$K650+0.15*$L650+0.15*$M650+0.1*$N650+0.05*$O650-IF(OR($P650="Out",$P650="Suspended"),$Q650,IF($P650="Doubtful",$Q650*0.5,IF($P650="Limited",$Q650*0.25,0))))),2))</x:f>
      </x:c>
      <x:c r="S650" s="55" t="n">
        <x:f>IF($D650="",0,ROUND(IF(OR($P650="Out",$P650="Suspended"),$Q650*$H650,IF($P650="Doubtful",$Q650*$H650*0.5,IF($P650="Limited",$Q650*$H650*0.25,0))),2))</x:f>
        <x:v>0</x:v>
      </x:c>
      <x:c r="T650" s="55" t="str"/>
      <x:c r="U650" s="51" t="str"/>
    </x:row>
    <x:row r="651">
      <x:c r="A651" s="51" t="str">
        <x:v>Belgium</x:v>
      </x:c>
      <x:c r="B651" s="51" t="str">
        <x:v>G</x:v>
      </x:c>
      <x:c r="C651" s="51" t="n">
        <x:v>23</x:v>
      </x:c>
      <x:c r="D651" s="71" t="str"/>
      <x:c r="E651" s="51" t="str">
        <x:v>Winger</x:v>
      </x:c>
      <x:c r="F651" s="51" t="str">
        <x:v>Attack</x:v>
      </x:c>
      <x:c r="G651" s="51" t="str">
        <x:v>Depth</x:v>
      </x:c>
      <x:c r="H651" s="55" t="n">
        <x:v>0.1</x:v>
      </x:c>
      <x:c r="I651" s="51" t="str"/>
      <x:c r="J651" s="72" t="str"/>
      <x:c r="K651" s="72" t="str"/>
      <x:c r="L651" s="72" t="str"/>
      <x:c r="M651" s="72" t="str"/>
      <x:c r="N651" s="72" t="str"/>
      <x:c r="O651" s="72" t="str"/>
      <x:c r="P651" s="72" t="str">
        <x:v>Available</x:v>
      </x:c>
      <x:c r="Q651" s="72" t="n">
        <x:v>0</x:v>
      </x:c>
      <x:c r="R651" s="55" t="str">
        <x:f>IF($D651="","",ROUND(MAX(0,MIN(100,0.35*$J651+0.2*$K651+0.15*$L651+0.15*$M651+0.1*$N651+0.05*$O651-IF(OR($P651="Out",$P651="Suspended"),$Q651,IF($P651="Doubtful",$Q651*0.5,IF($P651="Limited",$Q651*0.25,0))))),2))</x:f>
      </x:c>
      <x:c r="S651" s="55" t="n">
        <x:f>IF($D651="",0,ROUND(IF(OR($P651="Out",$P651="Suspended"),$Q651*$H651,IF($P651="Doubtful",$Q651*$H651*0.5,IF($P651="Limited",$Q651*$H651*0.25,0))),2))</x:f>
        <x:v>0</x:v>
      </x:c>
      <x:c r="T651" s="55" t="str"/>
      <x:c r="U651" s="51" t="str"/>
    </x:row>
    <x:row r="652">
      <x:c r="A652" s="51" t="str">
        <x:v>Belgium</x:v>
      </x:c>
      <x:c r="B652" s="51" t="str">
        <x:v>G</x:v>
      </x:c>
      <x:c r="C652" s="51" t="n">
        <x:v>24</x:v>
      </x:c>
      <x:c r="D652" s="71" t="str"/>
      <x:c r="E652" s="51" t="str">
        <x:v>ST</x:v>
      </x:c>
      <x:c r="F652" s="51" t="str">
        <x:v>Attack</x:v>
      </x:c>
      <x:c r="G652" s="51" t="str">
        <x:v>Depth</x:v>
      </x:c>
      <x:c r="H652" s="55" t="n">
        <x:v>0.1</x:v>
      </x:c>
      <x:c r="I652" s="51" t="str"/>
      <x:c r="J652" s="72" t="str"/>
      <x:c r="K652" s="72" t="str"/>
      <x:c r="L652" s="72" t="str"/>
      <x:c r="M652" s="72" t="str"/>
      <x:c r="N652" s="72" t="str"/>
      <x:c r="O652" s="72" t="str"/>
      <x:c r="P652" s="72" t="str">
        <x:v>Available</x:v>
      </x:c>
      <x:c r="Q652" s="72" t="n">
        <x:v>0</x:v>
      </x:c>
      <x:c r="R652" s="55" t="str">
        <x:f>IF($D652="","",ROUND(MAX(0,MIN(100,0.35*$J652+0.2*$K652+0.15*$L652+0.15*$M652+0.1*$N652+0.05*$O652-IF(OR($P652="Out",$P652="Suspended"),$Q652,IF($P652="Doubtful",$Q652*0.5,IF($P652="Limited",$Q652*0.25,0))))),2))</x:f>
      </x:c>
      <x:c r="S652" s="55" t="n">
        <x:f>IF($D652="",0,ROUND(IF(OR($P652="Out",$P652="Suspended"),$Q652*$H652,IF($P652="Doubtful",$Q652*$H652*0.5,IF($P652="Limited",$Q652*$H652*0.25,0))),2))</x:f>
        <x:v>0</x:v>
      </x:c>
      <x:c r="T652" s="55" t="str"/>
      <x:c r="U652" s="51" t="str"/>
    </x:row>
    <x:row r="653">
      <x:c r="A653" s="51" t="str">
        <x:v>Belgium</x:v>
      </x:c>
      <x:c r="B653" s="51" t="str">
        <x:v>G</x:v>
      </x:c>
      <x:c r="C653" s="51" t="n">
        <x:v>25</x:v>
      </x:c>
      <x:c r="D653" s="71" t="str"/>
      <x:c r="E653" s="51" t="str">
        <x:v>ST</x:v>
      </x:c>
      <x:c r="F653" s="51" t="str">
        <x:v>Attack</x:v>
      </x:c>
      <x:c r="G653" s="51" t="str">
        <x:v>Depth</x:v>
      </x:c>
      <x:c r="H653" s="55" t="n">
        <x:v>0.1</x:v>
      </x:c>
      <x:c r="I653" s="51" t="str"/>
      <x:c r="J653" s="72" t="str"/>
      <x:c r="K653" s="72" t="str"/>
      <x:c r="L653" s="72" t="str"/>
      <x:c r="M653" s="72" t="str"/>
      <x:c r="N653" s="72" t="str"/>
      <x:c r="O653" s="72" t="str"/>
      <x:c r="P653" s="72" t="str">
        <x:v>Available</x:v>
      </x:c>
      <x:c r="Q653" s="72" t="n">
        <x:v>0</x:v>
      </x:c>
      <x:c r="R653" s="55" t="str">
        <x:f>IF($D653="","",ROUND(MAX(0,MIN(100,0.35*$J653+0.2*$K653+0.15*$L653+0.15*$M653+0.1*$N653+0.05*$O653-IF(OR($P653="Out",$P653="Suspended"),$Q653,IF($P653="Doubtful",$Q653*0.5,IF($P653="Limited",$Q653*0.25,0))))),2))</x:f>
      </x:c>
      <x:c r="S653" s="55" t="n">
        <x:f>IF($D653="",0,ROUND(IF(OR($P653="Out",$P653="Suspended"),$Q653*$H653,IF($P653="Doubtful",$Q653*$H653*0.5,IF($P653="Limited",$Q653*$H653*0.25,0))),2))</x:f>
        <x:v>0</x:v>
      </x:c>
      <x:c r="T653" s="55" t="str"/>
      <x:c r="U653" s="51" t="str"/>
    </x:row>
    <x:row r="654">
      <x:c r="A654" s="51" t="str">
        <x:v>Belgium</x:v>
      </x:c>
      <x:c r="B654" s="51" t="str">
        <x:v>G</x:v>
      </x:c>
      <x:c r="C654" s="51" t="n">
        <x:v>26</x:v>
      </x:c>
      <x:c r="D654" s="71" t="str"/>
      <x:c r="E654" s="51" t="str">
        <x:v>ST</x:v>
      </x:c>
      <x:c r="F654" s="51" t="str">
        <x:v>Attack</x:v>
      </x:c>
      <x:c r="G654" s="51" t="str">
        <x:v>Depth</x:v>
      </x:c>
      <x:c r="H654" s="55" t="n">
        <x:v>0.1</x:v>
      </x:c>
      <x:c r="I654" s="51" t="str"/>
      <x:c r="J654" s="72" t="str"/>
      <x:c r="K654" s="72" t="str"/>
      <x:c r="L654" s="72" t="str"/>
      <x:c r="M654" s="72" t="str"/>
      <x:c r="N654" s="72" t="str"/>
      <x:c r="O654" s="72" t="str"/>
      <x:c r="P654" s="72" t="str">
        <x:v>Available</x:v>
      </x:c>
      <x:c r="Q654" s="72" t="n">
        <x:v>0</x:v>
      </x:c>
      <x:c r="R654" s="55" t="str">
        <x:f>IF($D654="","",ROUND(MAX(0,MIN(100,0.35*$J654+0.2*$K654+0.15*$L654+0.15*$M654+0.1*$N654+0.05*$O654-IF(OR($P654="Out",$P654="Suspended"),$Q654,IF($P654="Doubtful",$Q654*0.5,IF($P654="Limited",$Q654*0.25,0))))),2))</x:f>
      </x:c>
      <x:c r="S654" s="55" t="n">
        <x:f>IF($D654="",0,ROUND(IF(OR($P654="Out",$P654="Suspended"),$Q654*$H654,IF($P654="Doubtful",$Q654*$H654*0.5,IF($P654="Limited",$Q654*$H654*0.25,0))),2))</x:f>
        <x:v>0</x:v>
      </x:c>
      <x:c r="T654" s="55" t="str"/>
      <x:c r="U654" s="51" t="str"/>
    </x:row>
    <x:row r="655">
      <x:c r="A655" s="51" t="str">
        <x:v>Egypt</x:v>
      </x:c>
      <x:c r="B655" s="51" t="str">
        <x:v>G</x:v>
      </x:c>
      <x:c r="C655" s="51" t="n">
        <x:v>1</x:v>
      </x:c>
      <x:c r="D655" s="71" t="str"/>
      <x:c r="E655" s="51" t="str">
        <x:v>GK</x:v>
      </x:c>
      <x:c r="F655" s="51" t="str">
        <x:v>GK</x:v>
      </x:c>
      <x:c r="G655" s="51" t="str">
        <x:v>Starter</x:v>
      </x:c>
      <x:c r="H655" s="55" t="n">
        <x:v>1</x:v>
      </x:c>
      <x:c r="I655" s="51" t="str"/>
      <x:c r="J655" s="72" t="str"/>
      <x:c r="K655" s="72" t="str"/>
      <x:c r="L655" s="72" t="str"/>
      <x:c r="M655" s="72" t="str"/>
      <x:c r="N655" s="72" t="str"/>
      <x:c r="O655" s="72" t="str"/>
      <x:c r="P655" s="72" t="str">
        <x:v>Available</x:v>
      </x:c>
      <x:c r="Q655" s="72" t="n">
        <x:v>0</x:v>
      </x:c>
      <x:c r="R655" s="55" t="str">
        <x:f>IF($D655="","",ROUND(MAX(0,MIN(100,0.35*$J655+0.2*$K655+0.15*$L655+0.15*$M655+0.1*$N655+0.05*$O655-IF(OR($P655="Out",$P655="Suspended"),$Q655,IF($P655="Doubtful",$Q655*0.5,IF($P655="Limited",$Q655*0.25,0))))),2))</x:f>
      </x:c>
      <x:c r="S655" s="55" t="n">
        <x:f>IF($D655="",0,ROUND(IF(OR($P655="Out",$P655="Suspended"),$Q655*$H655,IF($P655="Doubtful",$Q655*$H655*0.5,IF($P655="Limited",$Q655*$H655*0.25,0))),2))</x:f>
        <x:v>0</x:v>
      </x:c>
      <x:c r="T655" s="55" t="str"/>
      <x:c r="U655" s="51" t="str"/>
    </x:row>
    <x:row r="656">
      <x:c r="A656" s="51" t="str">
        <x:v>Egypt</x:v>
      </x:c>
      <x:c r="B656" s="51" t="str">
        <x:v>G</x:v>
      </x:c>
      <x:c r="C656" s="51" t="n">
        <x:v>2</x:v>
      </x:c>
      <x:c r="D656" s="71" t="str"/>
      <x:c r="E656" s="51" t="str">
        <x:v>GK</x:v>
      </x:c>
      <x:c r="F656" s="51" t="str">
        <x:v>GK</x:v>
      </x:c>
      <x:c r="G656" s="51" t="str">
        <x:v>Starter</x:v>
      </x:c>
      <x:c r="H656" s="55" t="n">
        <x:v>1</x:v>
      </x:c>
      <x:c r="I656" s="51" t="str"/>
      <x:c r="J656" s="72" t="str"/>
      <x:c r="K656" s="72" t="str"/>
      <x:c r="L656" s="72" t="str"/>
      <x:c r="M656" s="72" t="str"/>
      <x:c r="N656" s="72" t="str"/>
      <x:c r="O656" s="72" t="str"/>
      <x:c r="P656" s="72" t="str">
        <x:v>Available</x:v>
      </x:c>
      <x:c r="Q656" s="72" t="n">
        <x:v>0</x:v>
      </x:c>
      <x:c r="R656" s="55" t="str">
        <x:f>IF($D656="","",ROUND(MAX(0,MIN(100,0.35*$J656+0.2*$K656+0.15*$L656+0.15*$M656+0.1*$N656+0.05*$O656-IF(OR($P656="Out",$P656="Suspended"),$Q656,IF($P656="Doubtful",$Q656*0.5,IF($P656="Limited",$Q656*0.25,0))))),2))</x:f>
      </x:c>
      <x:c r="S656" s="55" t="n">
        <x:f>IF($D656="",0,ROUND(IF(OR($P656="Out",$P656="Suspended"),$Q656*$H656,IF($P656="Doubtful",$Q656*$H656*0.5,IF($P656="Limited",$Q656*$H656*0.25,0))),2))</x:f>
        <x:v>0</x:v>
      </x:c>
      <x:c r="T656" s="55" t="str"/>
      <x:c r="U656" s="51" t="str"/>
    </x:row>
    <x:row r="657">
      <x:c r="A657" s="51" t="str">
        <x:v>Egypt</x:v>
      </x:c>
      <x:c r="B657" s="51" t="str">
        <x:v>G</x:v>
      </x:c>
      <x:c r="C657" s="51" t="n">
        <x:v>3</x:v>
      </x:c>
      <x:c r="D657" s="71" t="str"/>
      <x:c r="E657" s="51" t="str">
        <x:v>GK</x:v>
      </x:c>
      <x:c r="F657" s="51" t="str">
        <x:v>GK</x:v>
      </x:c>
      <x:c r="G657" s="51" t="str">
        <x:v>Starter</x:v>
      </x:c>
      <x:c r="H657" s="55" t="n">
        <x:v>1</x:v>
      </x:c>
      <x:c r="I657" s="51" t="str"/>
      <x:c r="J657" s="72" t="str"/>
      <x:c r="K657" s="72" t="str"/>
      <x:c r="L657" s="72" t="str"/>
      <x:c r="M657" s="72" t="str"/>
      <x:c r="N657" s="72" t="str"/>
      <x:c r="O657" s="72" t="str"/>
      <x:c r="P657" s="72" t="str">
        <x:v>Available</x:v>
      </x:c>
      <x:c r="Q657" s="72" t="n">
        <x:v>0</x:v>
      </x:c>
      <x:c r="R657" s="55" t="str">
        <x:f>IF($D657="","",ROUND(MAX(0,MIN(100,0.35*$J657+0.2*$K657+0.15*$L657+0.15*$M657+0.1*$N657+0.05*$O657-IF(OR($P657="Out",$P657="Suspended"),$Q657,IF($P657="Doubtful",$Q657*0.5,IF($P657="Limited",$Q657*0.25,0))))),2))</x:f>
      </x:c>
      <x:c r="S657" s="55" t="n">
        <x:f>IF($D657="",0,ROUND(IF(OR($P657="Out",$P657="Suspended"),$Q657*$H657,IF($P657="Doubtful",$Q657*$H657*0.5,IF($P657="Limited",$Q657*$H657*0.25,0))),2))</x:f>
        <x:v>0</x:v>
      </x:c>
      <x:c r="T657" s="55" t="str"/>
      <x:c r="U657" s="51" t="str"/>
    </x:row>
    <x:row r="658">
      <x:c r="A658" s="51" t="str">
        <x:v>Egypt</x:v>
      </x:c>
      <x:c r="B658" s="51" t="str">
        <x:v>G</x:v>
      </x:c>
      <x:c r="C658" s="51" t="n">
        <x:v>4</x:v>
      </x:c>
      <x:c r="D658" s="71" t="str"/>
      <x:c r="E658" s="51" t="str">
        <x:v>CB</x:v>
      </x:c>
      <x:c r="F658" s="51" t="str">
        <x:v>Defence</x:v>
      </x:c>
      <x:c r="G658" s="51" t="str">
        <x:v>Starter</x:v>
      </x:c>
      <x:c r="H658" s="55" t="n">
        <x:v>1</x:v>
      </x:c>
      <x:c r="I658" s="51" t="str"/>
      <x:c r="J658" s="72" t="str"/>
      <x:c r="K658" s="72" t="str"/>
      <x:c r="L658" s="72" t="str"/>
      <x:c r="M658" s="72" t="str"/>
      <x:c r="N658" s="72" t="str"/>
      <x:c r="O658" s="72" t="str"/>
      <x:c r="P658" s="72" t="str">
        <x:v>Available</x:v>
      </x:c>
      <x:c r="Q658" s="72" t="n">
        <x:v>0</x:v>
      </x:c>
      <x:c r="R658" s="55" t="str">
        <x:f>IF($D658="","",ROUND(MAX(0,MIN(100,0.35*$J658+0.2*$K658+0.15*$L658+0.15*$M658+0.1*$N658+0.05*$O658-IF(OR($P658="Out",$P658="Suspended"),$Q658,IF($P658="Doubtful",$Q658*0.5,IF($P658="Limited",$Q658*0.25,0))))),2))</x:f>
      </x:c>
      <x:c r="S658" s="55" t="n">
        <x:f>IF($D658="",0,ROUND(IF(OR($P658="Out",$P658="Suspended"),$Q658*$H658,IF($P658="Doubtful",$Q658*$H658*0.5,IF($P658="Limited",$Q658*$H658*0.25,0))),2))</x:f>
        <x:v>0</x:v>
      </x:c>
      <x:c r="T658" s="55" t="str"/>
      <x:c r="U658" s="51" t="str"/>
    </x:row>
    <x:row r="659">
      <x:c r="A659" s="51" t="str">
        <x:v>Egypt</x:v>
      </x:c>
      <x:c r="B659" s="51" t="str">
        <x:v>G</x:v>
      </x:c>
      <x:c r="C659" s="51" t="n">
        <x:v>5</x:v>
      </x:c>
      <x:c r="D659" s="71" t="str"/>
      <x:c r="E659" s="51" t="str">
        <x:v>CB</x:v>
      </x:c>
      <x:c r="F659" s="51" t="str">
        <x:v>Defence</x:v>
      </x:c>
      <x:c r="G659" s="51" t="str">
        <x:v>Starter</x:v>
      </x:c>
      <x:c r="H659" s="55" t="n">
        <x:v>1</x:v>
      </x:c>
      <x:c r="I659" s="51" t="str"/>
      <x:c r="J659" s="72" t="str"/>
      <x:c r="K659" s="72" t="str"/>
      <x:c r="L659" s="72" t="str"/>
      <x:c r="M659" s="72" t="str"/>
      <x:c r="N659" s="72" t="str"/>
      <x:c r="O659" s="72" t="str"/>
      <x:c r="P659" s="72" t="str">
        <x:v>Available</x:v>
      </x:c>
      <x:c r="Q659" s="72" t="n">
        <x:v>0</x:v>
      </x:c>
      <x:c r="R659" s="55" t="str">
        <x:f>IF($D659="","",ROUND(MAX(0,MIN(100,0.35*$J659+0.2*$K659+0.15*$L659+0.15*$M659+0.1*$N659+0.05*$O659-IF(OR($P659="Out",$P659="Suspended"),$Q659,IF($P659="Doubtful",$Q659*0.5,IF($P659="Limited",$Q659*0.25,0))))),2))</x:f>
      </x:c>
      <x:c r="S659" s="55" t="n">
        <x:f>IF($D659="",0,ROUND(IF(OR($P659="Out",$P659="Suspended"),$Q659*$H659,IF($P659="Doubtful",$Q659*$H659*0.5,IF($P659="Limited",$Q659*$H659*0.25,0))),2))</x:f>
        <x:v>0</x:v>
      </x:c>
      <x:c r="T659" s="55" t="str"/>
      <x:c r="U659" s="51" t="str"/>
    </x:row>
    <x:row r="660">
      <x:c r="A660" s="51" t="str">
        <x:v>Egypt</x:v>
      </x:c>
      <x:c r="B660" s="51" t="str">
        <x:v>G</x:v>
      </x:c>
      <x:c r="C660" s="51" t="n">
        <x:v>6</x:v>
      </x:c>
      <x:c r="D660" s="71" t="str"/>
      <x:c r="E660" s="51" t="str">
        <x:v>CB</x:v>
      </x:c>
      <x:c r="F660" s="51" t="str">
        <x:v>Defence</x:v>
      </x:c>
      <x:c r="G660" s="51" t="str">
        <x:v>Starter</x:v>
      </x:c>
      <x:c r="H660" s="55" t="n">
        <x:v>1</x:v>
      </x:c>
      <x:c r="I660" s="51" t="str"/>
      <x:c r="J660" s="72" t="str"/>
      <x:c r="K660" s="72" t="str"/>
      <x:c r="L660" s="72" t="str"/>
      <x:c r="M660" s="72" t="str"/>
      <x:c r="N660" s="72" t="str"/>
      <x:c r="O660" s="72" t="str"/>
      <x:c r="P660" s="72" t="str">
        <x:v>Available</x:v>
      </x:c>
      <x:c r="Q660" s="72" t="n">
        <x:v>0</x:v>
      </x:c>
      <x:c r="R660" s="55" t="str">
        <x:f>IF($D660="","",ROUND(MAX(0,MIN(100,0.35*$J660+0.2*$K660+0.15*$L660+0.15*$M660+0.1*$N660+0.05*$O660-IF(OR($P660="Out",$P660="Suspended"),$Q660,IF($P660="Doubtful",$Q660*0.5,IF($P660="Limited",$Q660*0.25,0))))),2))</x:f>
      </x:c>
      <x:c r="S660" s="55" t="n">
        <x:f>IF($D660="",0,ROUND(IF(OR($P660="Out",$P660="Suspended"),$Q660*$H660,IF($P660="Doubtful",$Q660*$H660*0.5,IF($P660="Limited",$Q660*$H660*0.25,0))),2))</x:f>
        <x:v>0</x:v>
      </x:c>
      <x:c r="T660" s="55" t="str"/>
      <x:c r="U660" s="51" t="str"/>
    </x:row>
    <x:row r="661">
      <x:c r="A661" s="51" t="str">
        <x:v>Egypt</x:v>
      </x:c>
      <x:c r="B661" s="51" t="str">
        <x:v>G</x:v>
      </x:c>
      <x:c r="C661" s="51" t="n">
        <x:v>7</x:v>
      </x:c>
      <x:c r="D661" s="71" t="str"/>
      <x:c r="E661" s="51" t="str">
        <x:v>FB</x:v>
      </x:c>
      <x:c r="F661" s="51" t="str">
        <x:v>Defence</x:v>
      </x:c>
      <x:c r="G661" s="51" t="str">
        <x:v>Starter</x:v>
      </x:c>
      <x:c r="H661" s="55" t="n">
        <x:v>1</x:v>
      </x:c>
      <x:c r="I661" s="51" t="str"/>
      <x:c r="J661" s="72" t="str"/>
      <x:c r="K661" s="72" t="str"/>
      <x:c r="L661" s="72" t="str"/>
      <x:c r="M661" s="72" t="str"/>
      <x:c r="N661" s="72" t="str"/>
      <x:c r="O661" s="72" t="str"/>
      <x:c r="P661" s="72" t="str">
        <x:v>Available</x:v>
      </x:c>
      <x:c r="Q661" s="72" t="n">
        <x:v>0</x:v>
      </x:c>
      <x:c r="R661" s="55" t="str">
        <x:f>IF($D661="","",ROUND(MAX(0,MIN(100,0.35*$J661+0.2*$K661+0.15*$L661+0.15*$M661+0.1*$N661+0.05*$O661-IF(OR($P661="Out",$P661="Suspended"),$Q661,IF($P661="Doubtful",$Q661*0.5,IF($P661="Limited",$Q661*0.25,0))))),2))</x:f>
      </x:c>
      <x:c r="S661" s="55" t="n">
        <x:f>IF($D661="",0,ROUND(IF(OR($P661="Out",$P661="Suspended"),$Q661*$H661,IF($P661="Doubtful",$Q661*$H661*0.5,IF($P661="Limited",$Q661*$H661*0.25,0))),2))</x:f>
        <x:v>0</x:v>
      </x:c>
      <x:c r="T661" s="55" t="str"/>
      <x:c r="U661" s="51" t="str"/>
    </x:row>
    <x:row r="662">
      <x:c r="A662" s="51" t="str">
        <x:v>Egypt</x:v>
      </x:c>
      <x:c r="B662" s="51" t="str">
        <x:v>G</x:v>
      </x:c>
      <x:c r="C662" s="51" t="n">
        <x:v>8</x:v>
      </x:c>
      <x:c r="D662" s="71" t="str"/>
      <x:c r="E662" s="51" t="str">
        <x:v>FB</x:v>
      </x:c>
      <x:c r="F662" s="51" t="str">
        <x:v>Defence</x:v>
      </x:c>
      <x:c r="G662" s="51" t="str">
        <x:v>Starter</x:v>
      </x:c>
      <x:c r="H662" s="55" t="n">
        <x:v>1</x:v>
      </x:c>
      <x:c r="I662" s="51" t="str"/>
      <x:c r="J662" s="72" t="str"/>
      <x:c r="K662" s="72" t="str"/>
      <x:c r="L662" s="72" t="str"/>
      <x:c r="M662" s="72" t="str"/>
      <x:c r="N662" s="72" t="str"/>
      <x:c r="O662" s="72" t="str"/>
      <x:c r="P662" s="72" t="str">
        <x:v>Available</x:v>
      </x:c>
      <x:c r="Q662" s="72" t="n">
        <x:v>0</x:v>
      </x:c>
      <x:c r="R662" s="55" t="str">
        <x:f>IF($D662="","",ROUND(MAX(0,MIN(100,0.35*$J662+0.2*$K662+0.15*$L662+0.15*$M662+0.1*$N662+0.05*$O662-IF(OR($P662="Out",$P662="Suspended"),$Q662,IF($P662="Doubtful",$Q662*0.5,IF($P662="Limited",$Q662*0.25,0))))),2))</x:f>
      </x:c>
      <x:c r="S662" s="55" t="n">
        <x:f>IF($D662="",0,ROUND(IF(OR($P662="Out",$P662="Suspended"),$Q662*$H662,IF($P662="Doubtful",$Q662*$H662*0.5,IF($P662="Limited",$Q662*$H662*0.25,0))),2))</x:f>
        <x:v>0</x:v>
      </x:c>
      <x:c r="T662" s="55" t="str"/>
      <x:c r="U662" s="51" t="str"/>
    </x:row>
    <x:row r="663">
      <x:c r="A663" s="51" t="str">
        <x:v>Egypt</x:v>
      </x:c>
      <x:c r="B663" s="51" t="str">
        <x:v>G</x:v>
      </x:c>
      <x:c r="C663" s="51" t="n">
        <x:v>9</x:v>
      </x:c>
      <x:c r="D663" s="71" t="str"/>
      <x:c r="E663" s="51" t="str">
        <x:v>DM</x:v>
      </x:c>
      <x:c r="F663" s="51" t="str">
        <x:v>Midfield</x:v>
      </x:c>
      <x:c r="G663" s="51" t="str">
        <x:v>Starter</x:v>
      </x:c>
      <x:c r="H663" s="55" t="n">
        <x:v>1</x:v>
      </x:c>
      <x:c r="I663" s="51" t="str"/>
      <x:c r="J663" s="72" t="str"/>
      <x:c r="K663" s="72" t="str"/>
      <x:c r="L663" s="72" t="str"/>
      <x:c r="M663" s="72" t="str"/>
      <x:c r="N663" s="72" t="str"/>
      <x:c r="O663" s="72" t="str"/>
      <x:c r="P663" s="72" t="str">
        <x:v>Available</x:v>
      </x:c>
      <x:c r="Q663" s="72" t="n">
        <x:v>0</x:v>
      </x:c>
      <x:c r="R663" s="55" t="str">
        <x:f>IF($D663="","",ROUND(MAX(0,MIN(100,0.35*$J663+0.2*$K663+0.15*$L663+0.15*$M663+0.1*$N663+0.05*$O663-IF(OR($P663="Out",$P663="Suspended"),$Q663,IF($P663="Doubtful",$Q663*0.5,IF($P663="Limited",$Q663*0.25,0))))),2))</x:f>
      </x:c>
      <x:c r="S663" s="55" t="n">
        <x:f>IF($D663="",0,ROUND(IF(OR($P663="Out",$P663="Suspended"),$Q663*$H663,IF($P663="Doubtful",$Q663*$H663*0.5,IF($P663="Limited",$Q663*$H663*0.25,0))),2))</x:f>
        <x:v>0</x:v>
      </x:c>
      <x:c r="T663" s="55" t="str"/>
      <x:c r="U663" s="51" t="str"/>
    </x:row>
    <x:row r="664">
      <x:c r="A664" s="51" t="str">
        <x:v>Egypt</x:v>
      </x:c>
      <x:c r="B664" s="51" t="str">
        <x:v>G</x:v>
      </x:c>
      <x:c r="C664" s="51" t="n">
        <x:v>10</x:v>
      </x:c>
      <x:c r="D664" s="71" t="str"/>
      <x:c r="E664" s="51" t="str">
        <x:v>DM</x:v>
      </x:c>
      <x:c r="F664" s="51" t="str">
        <x:v>Midfield</x:v>
      </x:c>
      <x:c r="G664" s="51" t="str">
        <x:v>Starter</x:v>
      </x:c>
      <x:c r="H664" s="55" t="n">
        <x:v>1</x:v>
      </x:c>
      <x:c r="I664" s="51" t="str"/>
      <x:c r="J664" s="72" t="str"/>
      <x:c r="K664" s="72" t="str"/>
      <x:c r="L664" s="72" t="str"/>
      <x:c r="M664" s="72" t="str"/>
      <x:c r="N664" s="72" t="str"/>
      <x:c r="O664" s="72" t="str"/>
      <x:c r="P664" s="72" t="str">
        <x:v>Available</x:v>
      </x:c>
      <x:c r="Q664" s="72" t="n">
        <x:v>0</x:v>
      </x:c>
      <x:c r="R664" s="55" t="str">
        <x:f>IF($D664="","",ROUND(MAX(0,MIN(100,0.35*$J664+0.2*$K664+0.15*$L664+0.15*$M664+0.1*$N664+0.05*$O664-IF(OR($P664="Out",$P664="Suspended"),$Q664,IF($P664="Doubtful",$Q664*0.5,IF($P664="Limited",$Q664*0.25,0))))),2))</x:f>
      </x:c>
      <x:c r="S664" s="55" t="n">
        <x:f>IF($D664="",0,ROUND(IF(OR($P664="Out",$P664="Suspended"),$Q664*$H664,IF($P664="Doubtful",$Q664*$H664*0.5,IF($P664="Limited",$Q664*$H664*0.25,0))),2))</x:f>
        <x:v>0</x:v>
      </x:c>
      <x:c r="T664" s="55" t="str"/>
      <x:c r="U664" s="51" t="str"/>
    </x:row>
    <x:row r="665">
      <x:c r="A665" s="51" t="str">
        <x:v>Egypt</x:v>
      </x:c>
      <x:c r="B665" s="51" t="str">
        <x:v>G</x:v>
      </x:c>
      <x:c r="C665" s="51" t="n">
        <x:v>11</x:v>
      </x:c>
      <x:c r="D665" s="71" t="str"/>
      <x:c r="E665" s="51" t="str">
        <x:v>DM</x:v>
      </x:c>
      <x:c r="F665" s="51" t="str">
        <x:v>Midfield</x:v>
      </x:c>
      <x:c r="G665" s="51" t="str">
        <x:v>Starter</x:v>
      </x:c>
      <x:c r="H665" s="55" t="n">
        <x:v>1</x:v>
      </x:c>
      <x:c r="I665" s="51" t="str"/>
      <x:c r="J665" s="72" t="str"/>
      <x:c r="K665" s="72" t="str"/>
      <x:c r="L665" s="72" t="str"/>
      <x:c r="M665" s="72" t="str"/>
      <x:c r="N665" s="72" t="str"/>
      <x:c r="O665" s="72" t="str"/>
      <x:c r="P665" s="72" t="str">
        <x:v>Available</x:v>
      </x:c>
      <x:c r="Q665" s="72" t="n">
        <x:v>0</x:v>
      </x:c>
      <x:c r="R665" s="55" t="str">
        <x:f>IF($D665="","",ROUND(MAX(0,MIN(100,0.35*$J665+0.2*$K665+0.15*$L665+0.15*$M665+0.1*$N665+0.05*$O665-IF(OR($P665="Out",$P665="Suspended"),$Q665,IF($P665="Doubtful",$Q665*0.5,IF($P665="Limited",$Q665*0.25,0))))),2))</x:f>
      </x:c>
      <x:c r="S665" s="55" t="n">
        <x:f>IF($D665="",0,ROUND(IF(OR($P665="Out",$P665="Suspended"),$Q665*$H665,IF($P665="Doubtful",$Q665*$H665*0.5,IF($P665="Limited",$Q665*$H665*0.25,0))),2))</x:f>
        <x:v>0</x:v>
      </x:c>
      <x:c r="T665" s="55" t="str"/>
      <x:c r="U665" s="51" t="str"/>
    </x:row>
    <x:row r="666">
      <x:c r="A666" s="51" t="str">
        <x:v>Egypt</x:v>
      </x:c>
      <x:c r="B666" s="51" t="str">
        <x:v>G</x:v>
      </x:c>
      <x:c r="C666" s="51" t="n">
        <x:v>12</x:v>
      </x:c>
      <x:c r="D666" s="71" t="str"/>
      <x:c r="E666" s="51" t="str">
        <x:v>CM</x:v>
      </x:c>
      <x:c r="F666" s="51" t="str">
        <x:v>Midfield</x:v>
      </x:c>
      <x:c r="G666" s="51" t="str">
        <x:v>Rotation</x:v>
      </x:c>
      <x:c r="H666" s="55" t="n">
        <x:v>0.35</x:v>
      </x:c>
      <x:c r="I666" s="51" t="str"/>
      <x:c r="J666" s="72" t="str"/>
      <x:c r="K666" s="72" t="str"/>
      <x:c r="L666" s="72" t="str"/>
      <x:c r="M666" s="72" t="str"/>
      <x:c r="N666" s="72" t="str"/>
      <x:c r="O666" s="72" t="str"/>
      <x:c r="P666" s="72" t="str">
        <x:v>Available</x:v>
      </x:c>
      <x:c r="Q666" s="72" t="n">
        <x:v>0</x:v>
      </x:c>
      <x:c r="R666" s="55" t="str">
        <x:f>IF($D666="","",ROUND(MAX(0,MIN(100,0.35*$J666+0.2*$K666+0.15*$L666+0.15*$M666+0.1*$N666+0.05*$O666-IF(OR($P666="Out",$P666="Suspended"),$Q666,IF($P666="Doubtful",$Q666*0.5,IF($P666="Limited",$Q666*0.25,0))))),2))</x:f>
      </x:c>
      <x:c r="S666" s="55" t="n">
        <x:f>IF($D666="",0,ROUND(IF(OR($P666="Out",$P666="Suspended"),$Q666*$H666,IF($P666="Doubtful",$Q666*$H666*0.5,IF($P666="Limited",$Q666*$H666*0.25,0))),2))</x:f>
        <x:v>0</x:v>
      </x:c>
      <x:c r="T666" s="55" t="str"/>
      <x:c r="U666" s="51" t="str"/>
    </x:row>
    <x:row r="667">
      <x:c r="A667" s="51" t="str">
        <x:v>Egypt</x:v>
      </x:c>
      <x:c r="B667" s="51" t="str">
        <x:v>G</x:v>
      </x:c>
      <x:c r="C667" s="51" t="n">
        <x:v>13</x:v>
      </x:c>
      <x:c r="D667" s="71" t="str"/>
      <x:c r="E667" s="51" t="str">
        <x:v>CM</x:v>
      </x:c>
      <x:c r="F667" s="51" t="str">
        <x:v>Midfield</x:v>
      </x:c>
      <x:c r="G667" s="51" t="str">
        <x:v>Rotation</x:v>
      </x:c>
      <x:c r="H667" s="55" t="n">
        <x:v>0.35</x:v>
      </x:c>
      <x:c r="I667" s="51" t="str"/>
      <x:c r="J667" s="72" t="str"/>
      <x:c r="K667" s="72" t="str"/>
      <x:c r="L667" s="72" t="str"/>
      <x:c r="M667" s="72" t="str"/>
      <x:c r="N667" s="72" t="str"/>
      <x:c r="O667" s="72" t="str"/>
      <x:c r="P667" s="72" t="str">
        <x:v>Available</x:v>
      </x:c>
      <x:c r="Q667" s="72" t="n">
        <x:v>0</x:v>
      </x:c>
      <x:c r="R667" s="55" t="str">
        <x:f>IF($D667="","",ROUND(MAX(0,MIN(100,0.35*$J667+0.2*$K667+0.15*$L667+0.15*$M667+0.1*$N667+0.05*$O667-IF(OR($P667="Out",$P667="Suspended"),$Q667,IF($P667="Doubtful",$Q667*0.5,IF($P667="Limited",$Q667*0.25,0))))),2))</x:f>
      </x:c>
      <x:c r="S667" s="55" t="n">
        <x:f>IF($D667="",0,ROUND(IF(OR($P667="Out",$P667="Suspended"),$Q667*$H667,IF($P667="Doubtful",$Q667*$H667*0.5,IF($P667="Limited",$Q667*$H667*0.25,0))),2))</x:f>
        <x:v>0</x:v>
      </x:c>
      <x:c r="T667" s="55" t="str"/>
      <x:c r="U667" s="51" t="str"/>
    </x:row>
    <x:row r="668">
      <x:c r="A668" s="51" t="str">
        <x:v>Egypt</x:v>
      </x:c>
      <x:c r="B668" s="51" t="str">
        <x:v>G</x:v>
      </x:c>
      <x:c r="C668" s="51" t="n">
        <x:v>14</x:v>
      </x:c>
      <x:c r="D668" s="71" t="str"/>
      <x:c r="E668" s="51" t="str">
        <x:v>CM</x:v>
      </x:c>
      <x:c r="F668" s="51" t="str">
        <x:v>Midfield</x:v>
      </x:c>
      <x:c r="G668" s="51" t="str">
        <x:v>Rotation</x:v>
      </x:c>
      <x:c r="H668" s="55" t="n">
        <x:v>0.35</x:v>
      </x:c>
      <x:c r="I668" s="51" t="str"/>
      <x:c r="J668" s="72" t="str"/>
      <x:c r="K668" s="72" t="str"/>
      <x:c r="L668" s="72" t="str"/>
      <x:c r="M668" s="72" t="str"/>
      <x:c r="N668" s="72" t="str"/>
      <x:c r="O668" s="72" t="str"/>
      <x:c r="P668" s="72" t="str">
        <x:v>Available</x:v>
      </x:c>
      <x:c r="Q668" s="72" t="n">
        <x:v>0</x:v>
      </x:c>
      <x:c r="R668" s="55" t="str">
        <x:f>IF($D668="","",ROUND(MAX(0,MIN(100,0.35*$J668+0.2*$K668+0.15*$L668+0.15*$M668+0.1*$N668+0.05*$O668-IF(OR($P668="Out",$P668="Suspended"),$Q668,IF($P668="Doubtful",$Q668*0.5,IF($P668="Limited",$Q668*0.25,0))))),2))</x:f>
      </x:c>
      <x:c r="S668" s="55" t="n">
        <x:f>IF($D668="",0,ROUND(IF(OR($P668="Out",$P668="Suspended"),$Q668*$H668,IF($P668="Doubtful",$Q668*$H668*0.5,IF($P668="Limited",$Q668*$H668*0.25,0))),2))</x:f>
        <x:v>0</x:v>
      </x:c>
      <x:c r="T668" s="55" t="str"/>
      <x:c r="U668" s="51" t="str"/>
    </x:row>
    <x:row r="669">
      <x:c r="A669" s="51" t="str">
        <x:v>Egypt</x:v>
      </x:c>
      <x:c r="B669" s="51" t="str">
        <x:v>G</x:v>
      </x:c>
      <x:c r="C669" s="51" t="n">
        <x:v>15</x:v>
      </x:c>
      <x:c r="D669" s="71" t="str"/>
      <x:c r="E669" s="51" t="str">
        <x:v>CM</x:v>
      </x:c>
      <x:c r="F669" s="51" t="str">
        <x:v>Midfield</x:v>
      </x:c>
      <x:c r="G669" s="51" t="str">
        <x:v>Rotation</x:v>
      </x:c>
      <x:c r="H669" s="55" t="n">
        <x:v>0.35</x:v>
      </x:c>
      <x:c r="I669" s="51" t="str"/>
      <x:c r="J669" s="72" t="str"/>
      <x:c r="K669" s="72" t="str"/>
      <x:c r="L669" s="72" t="str"/>
      <x:c r="M669" s="72" t="str"/>
      <x:c r="N669" s="72" t="str"/>
      <x:c r="O669" s="72" t="str"/>
      <x:c r="P669" s="72" t="str">
        <x:v>Available</x:v>
      </x:c>
      <x:c r="Q669" s="72" t="n">
        <x:v>0</x:v>
      </x:c>
      <x:c r="R669" s="55" t="str">
        <x:f>IF($D669="","",ROUND(MAX(0,MIN(100,0.35*$J669+0.2*$K669+0.15*$L669+0.15*$M669+0.1*$N669+0.05*$O669-IF(OR($P669="Out",$P669="Suspended"),$Q669,IF($P669="Doubtful",$Q669*0.5,IF($P669="Limited",$Q669*0.25,0))))),2))</x:f>
      </x:c>
      <x:c r="S669" s="55" t="n">
        <x:f>IF($D669="",0,ROUND(IF(OR($P669="Out",$P669="Suspended"),$Q669*$H669,IF($P669="Doubtful",$Q669*$H669*0.5,IF($P669="Limited",$Q669*$H669*0.25,0))),2))</x:f>
        <x:v>0</x:v>
      </x:c>
      <x:c r="T669" s="55" t="str"/>
      <x:c r="U669" s="51" t="str"/>
    </x:row>
    <x:row r="670">
      <x:c r="A670" s="51" t="str">
        <x:v>Egypt</x:v>
      </x:c>
      <x:c r="B670" s="51" t="str">
        <x:v>G</x:v>
      </x:c>
      <x:c r="C670" s="51" t="n">
        <x:v>16</x:v>
      </x:c>
      <x:c r="D670" s="71" t="str"/>
      <x:c r="E670" s="51" t="str">
        <x:v>AM</x:v>
      </x:c>
      <x:c r="F670" s="51" t="str">
        <x:v>Attack</x:v>
      </x:c>
      <x:c r="G670" s="51" t="str">
        <x:v>Rotation</x:v>
      </x:c>
      <x:c r="H670" s="55" t="n">
        <x:v>0.35</x:v>
      </x:c>
      <x:c r="I670" s="51" t="str"/>
      <x:c r="J670" s="72" t="str"/>
      <x:c r="K670" s="72" t="str"/>
      <x:c r="L670" s="72" t="str"/>
      <x:c r="M670" s="72" t="str"/>
      <x:c r="N670" s="72" t="str"/>
      <x:c r="O670" s="72" t="str"/>
      <x:c r="P670" s="72" t="str">
        <x:v>Available</x:v>
      </x:c>
      <x:c r="Q670" s="72" t="n">
        <x:v>0</x:v>
      </x:c>
      <x:c r="R670" s="55" t="str">
        <x:f>IF($D670="","",ROUND(MAX(0,MIN(100,0.35*$J670+0.2*$K670+0.15*$L670+0.15*$M670+0.1*$N670+0.05*$O670-IF(OR($P670="Out",$P670="Suspended"),$Q670,IF($P670="Doubtful",$Q670*0.5,IF($P670="Limited",$Q670*0.25,0))))),2))</x:f>
      </x:c>
      <x:c r="S670" s="55" t="n">
        <x:f>IF($D670="",0,ROUND(IF(OR($P670="Out",$P670="Suspended"),$Q670*$H670,IF($P670="Doubtful",$Q670*$H670*0.5,IF($P670="Limited",$Q670*$H670*0.25,0))),2))</x:f>
        <x:v>0</x:v>
      </x:c>
      <x:c r="T670" s="55" t="str"/>
      <x:c r="U670" s="51" t="str"/>
    </x:row>
    <x:row r="671">
      <x:c r="A671" s="51" t="str">
        <x:v>Egypt</x:v>
      </x:c>
      <x:c r="B671" s="51" t="str">
        <x:v>G</x:v>
      </x:c>
      <x:c r="C671" s="51" t="n">
        <x:v>17</x:v>
      </x:c>
      <x:c r="D671" s="71" t="str"/>
      <x:c r="E671" s="51" t="str">
        <x:v>AM</x:v>
      </x:c>
      <x:c r="F671" s="51" t="str">
        <x:v>Attack</x:v>
      </x:c>
      <x:c r="G671" s="51" t="str">
        <x:v>Rotation</x:v>
      </x:c>
      <x:c r="H671" s="55" t="n">
        <x:v>0.35</x:v>
      </x:c>
      <x:c r="I671" s="51" t="str"/>
      <x:c r="J671" s="72" t="str"/>
      <x:c r="K671" s="72" t="str"/>
      <x:c r="L671" s="72" t="str"/>
      <x:c r="M671" s="72" t="str"/>
      <x:c r="N671" s="72" t="str"/>
      <x:c r="O671" s="72" t="str"/>
      <x:c r="P671" s="72" t="str">
        <x:v>Available</x:v>
      </x:c>
      <x:c r="Q671" s="72" t="n">
        <x:v>0</x:v>
      </x:c>
      <x:c r="R671" s="55" t="str">
        <x:f>IF($D671="","",ROUND(MAX(0,MIN(100,0.35*$J671+0.2*$K671+0.15*$L671+0.15*$M671+0.1*$N671+0.05*$O671-IF(OR($P671="Out",$P671="Suspended"),$Q671,IF($P671="Doubtful",$Q671*0.5,IF($P671="Limited",$Q671*0.25,0))))),2))</x:f>
      </x:c>
      <x:c r="S671" s="55" t="n">
        <x:f>IF($D671="",0,ROUND(IF(OR($P671="Out",$P671="Suspended"),$Q671*$H671,IF($P671="Doubtful",$Q671*$H671*0.5,IF($P671="Limited",$Q671*$H671*0.25,0))),2))</x:f>
        <x:v>0</x:v>
      </x:c>
      <x:c r="T671" s="55" t="str"/>
      <x:c r="U671" s="51" t="str"/>
    </x:row>
    <x:row r="672">
      <x:c r="A672" s="51" t="str">
        <x:v>Egypt</x:v>
      </x:c>
      <x:c r="B672" s="51" t="str">
        <x:v>G</x:v>
      </x:c>
      <x:c r="C672" s="51" t="n">
        <x:v>18</x:v>
      </x:c>
      <x:c r="D672" s="71" t="str"/>
      <x:c r="E672" s="51" t="str">
        <x:v>AM</x:v>
      </x:c>
      <x:c r="F672" s="51" t="str">
        <x:v>Attack</x:v>
      </x:c>
      <x:c r="G672" s="51" t="str">
        <x:v>Rotation</x:v>
      </x:c>
      <x:c r="H672" s="55" t="n">
        <x:v>0.35</x:v>
      </x:c>
      <x:c r="I672" s="51" t="str"/>
      <x:c r="J672" s="72" t="str"/>
      <x:c r="K672" s="72" t="str"/>
      <x:c r="L672" s="72" t="str"/>
      <x:c r="M672" s="72" t="str"/>
      <x:c r="N672" s="72" t="str"/>
      <x:c r="O672" s="72" t="str"/>
      <x:c r="P672" s="72" t="str">
        <x:v>Available</x:v>
      </x:c>
      <x:c r="Q672" s="72" t="n">
        <x:v>0</x:v>
      </x:c>
      <x:c r="R672" s="55" t="str">
        <x:f>IF($D672="","",ROUND(MAX(0,MIN(100,0.35*$J672+0.2*$K672+0.15*$L672+0.15*$M672+0.1*$N672+0.05*$O672-IF(OR($P672="Out",$P672="Suspended"),$Q672,IF($P672="Doubtful",$Q672*0.5,IF($P672="Limited",$Q672*0.25,0))))),2))</x:f>
      </x:c>
      <x:c r="S672" s="55" t="n">
        <x:f>IF($D672="",0,ROUND(IF(OR($P672="Out",$P672="Suspended"),$Q672*$H672,IF($P672="Doubtful",$Q672*$H672*0.5,IF($P672="Limited",$Q672*$H672*0.25,0))),2))</x:f>
        <x:v>0</x:v>
      </x:c>
      <x:c r="T672" s="55" t="str"/>
      <x:c r="U672" s="51" t="str"/>
    </x:row>
    <x:row r="673">
      <x:c r="A673" s="51" t="str">
        <x:v>Egypt</x:v>
      </x:c>
      <x:c r="B673" s="51" t="str">
        <x:v>G</x:v>
      </x:c>
      <x:c r="C673" s="51" t="n">
        <x:v>19</x:v>
      </x:c>
      <x:c r="D673" s="71" t="str"/>
      <x:c r="E673" s="51" t="str">
        <x:v>AM</x:v>
      </x:c>
      <x:c r="F673" s="51" t="str">
        <x:v>Attack</x:v>
      </x:c>
      <x:c r="G673" s="51" t="str">
        <x:v>Rotation</x:v>
      </x:c>
      <x:c r="H673" s="55" t="n">
        <x:v>0.35</x:v>
      </x:c>
      <x:c r="I673" s="51" t="str"/>
      <x:c r="J673" s="72" t="str"/>
      <x:c r="K673" s="72" t="str"/>
      <x:c r="L673" s="72" t="str"/>
      <x:c r="M673" s="72" t="str"/>
      <x:c r="N673" s="72" t="str"/>
      <x:c r="O673" s="72" t="str"/>
      <x:c r="P673" s="72" t="str">
        <x:v>Available</x:v>
      </x:c>
      <x:c r="Q673" s="72" t="n">
        <x:v>0</x:v>
      </x:c>
      <x:c r="R673" s="55" t="str">
        <x:f>IF($D673="","",ROUND(MAX(0,MIN(100,0.35*$J673+0.2*$K673+0.15*$L673+0.15*$M673+0.1*$N673+0.05*$O673-IF(OR($P673="Out",$P673="Suspended"),$Q673,IF($P673="Doubtful",$Q673*0.5,IF($P673="Limited",$Q673*0.25,0))))),2))</x:f>
      </x:c>
      <x:c r="S673" s="55" t="n">
        <x:f>IF($D673="",0,ROUND(IF(OR($P673="Out",$P673="Suspended"),$Q673*$H673,IF($P673="Doubtful",$Q673*$H673*0.5,IF($P673="Limited",$Q673*$H673*0.25,0))),2))</x:f>
        <x:v>0</x:v>
      </x:c>
      <x:c r="T673" s="55" t="str"/>
      <x:c r="U673" s="51" t="str"/>
    </x:row>
    <x:row r="674">
      <x:c r="A674" s="51" t="str">
        <x:v>Egypt</x:v>
      </x:c>
      <x:c r="B674" s="51" t="str">
        <x:v>G</x:v>
      </x:c>
      <x:c r="C674" s="51" t="n">
        <x:v>20</x:v>
      </x:c>
      <x:c r="D674" s="71" t="str"/>
      <x:c r="E674" s="51" t="str">
        <x:v>Winger</x:v>
      </x:c>
      <x:c r="F674" s="51" t="str">
        <x:v>Attack</x:v>
      </x:c>
      <x:c r="G674" s="51" t="str">
        <x:v>Rotation</x:v>
      </x:c>
      <x:c r="H674" s="55" t="n">
        <x:v>0.35</x:v>
      </x:c>
      <x:c r="I674" s="51" t="str"/>
      <x:c r="J674" s="72" t="str"/>
      <x:c r="K674" s="72" t="str"/>
      <x:c r="L674" s="72" t="str"/>
      <x:c r="M674" s="72" t="str"/>
      <x:c r="N674" s="72" t="str"/>
      <x:c r="O674" s="72" t="str"/>
      <x:c r="P674" s="72" t="str">
        <x:v>Available</x:v>
      </x:c>
      <x:c r="Q674" s="72" t="n">
        <x:v>0</x:v>
      </x:c>
      <x:c r="R674" s="55" t="str">
        <x:f>IF($D674="","",ROUND(MAX(0,MIN(100,0.35*$J674+0.2*$K674+0.15*$L674+0.15*$M674+0.1*$N674+0.05*$O674-IF(OR($P674="Out",$P674="Suspended"),$Q674,IF($P674="Doubtful",$Q674*0.5,IF($P674="Limited",$Q674*0.25,0))))),2))</x:f>
      </x:c>
      <x:c r="S674" s="55" t="n">
        <x:f>IF($D674="",0,ROUND(IF(OR($P674="Out",$P674="Suspended"),$Q674*$H674,IF($P674="Doubtful",$Q674*$H674*0.5,IF($P674="Limited",$Q674*$H674*0.25,0))),2))</x:f>
        <x:v>0</x:v>
      </x:c>
      <x:c r="T674" s="55" t="str"/>
      <x:c r="U674" s="51" t="str"/>
    </x:row>
    <x:row r="675">
      <x:c r="A675" s="51" t="str">
        <x:v>Egypt</x:v>
      </x:c>
      <x:c r="B675" s="51" t="str">
        <x:v>G</x:v>
      </x:c>
      <x:c r="C675" s="51" t="n">
        <x:v>21</x:v>
      </x:c>
      <x:c r="D675" s="71" t="str"/>
      <x:c r="E675" s="51" t="str">
        <x:v>Winger</x:v>
      </x:c>
      <x:c r="F675" s="51" t="str">
        <x:v>Attack</x:v>
      </x:c>
      <x:c r="G675" s="51" t="str">
        <x:v>Depth</x:v>
      </x:c>
      <x:c r="H675" s="55" t="n">
        <x:v>0.1</x:v>
      </x:c>
      <x:c r="I675" s="51" t="str"/>
      <x:c r="J675" s="72" t="str"/>
      <x:c r="K675" s="72" t="str"/>
      <x:c r="L675" s="72" t="str"/>
      <x:c r="M675" s="72" t="str"/>
      <x:c r="N675" s="72" t="str"/>
      <x:c r="O675" s="72" t="str"/>
      <x:c r="P675" s="72" t="str">
        <x:v>Available</x:v>
      </x:c>
      <x:c r="Q675" s="72" t="n">
        <x:v>0</x:v>
      </x:c>
      <x:c r="R675" s="55" t="str">
        <x:f>IF($D675="","",ROUND(MAX(0,MIN(100,0.35*$J675+0.2*$K675+0.15*$L675+0.15*$M675+0.1*$N675+0.05*$O675-IF(OR($P675="Out",$P675="Suspended"),$Q675,IF($P675="Doubtful",$Q675*0.5,IF($P675="Limited",$Q675*0.25,0))))),2))</x:f>
      </x:c>
      <x:c r="S675" s="55" t="n">
        <x:f>IF($D675="",0,ROUND(IF(OR($P675="Out",$P675="Suspended"),$Q675*$H675,IF($P675="Doubtful",$Q675*$H675*0.5,IF($P675="Limited",$Q675*$H675*0.25,0))),2))</x:f>
        <x:v>0</x:v>
      </x:c>
      <x:c r="T675" s="55" t="str"/>
      <x:c r="U675" s="51" t="str"/>
    </x:row>
    <x:row r="676">
      <x:c r="A676" s="51" t="str">
        <x:v>Egypt</x:v>
      </x:c>
      <x:c r="B676" s="51" t="str">
        <x:v>G</x:v>
      </x:c>
      <x:c r="C676" s="51" t="n">
        <x:v>22</x:v>
      </x:c>
      <x:c r="D676" s="71" t="str"/>
      <x:c r="E676" s="51" t="str">
        <x:v>Winger</x:v>
      </x:c>
      <x:c r="F676" s="51" t="str">
        <x:v>Attack</x:v>
      </x:c>
      <x:c r="G676" s="51" t="str">
        <x:v>Depth</x:v>
      </x:c>
      <x:c r="H676" s="55" t="n">
        <x:v>0.1</x:v>
      </x:c>
      <x:c r="I676" s="51" t="str"/>
      <x:c r="J676" s="72" t="str"/>
      <x:c r="K676" s="72" t="str"/>
      <x:c r="L676" s="72" t="str"/>
      <x:c r="M676" s="72" t="str"/>
      <x:c r="N676" s="72" t="str"/>
      <x:c r="O676" s="72" t="str"/>
      <x:c r="P676" s="72" t="str">
        <x:v>Available</x:v>
      </x:c>
      <x:c r="Q676" s="72" t="n">
        <x:v>0</x:v>
      </x:c>
      <x:c r="R676" s="55" t="str">
        <x:f>IF($D676="","",ROUND(MAX(0,MIN(100,0.35*$J676+0.2*$K676+0.15*$L676+0.15*$M676+0.1*$N676+0.05*$O676-IF(OR($P676="Out",$P676="Suspended"),$Q676,IF($P676="Doubtful",$Q676*0.5,IF($P676="Limited",$Q676*0.25,0))))),2))</x:f>
      </x:c>
      <x:c r="S676" s="55" t="n">
        <x:f>IF($D676="",0,ROUND(IF(OR($P676="Out",$P676="Suspended"),$Q676*$H676,IF($P676="Doubtful",$Q676*$H676*0.5,IF($P676="Limited",$Q676*$H676*0.25,0))),2))</x:f>
        <x:v>0</x:v>
      </x:c>
      <x:c r="T676" s="55" t="str"/>
      <x:c r="U676" s="51" t="str"/>
    </x:row>
    <x:row r="677">
      <x:c r="A677" s="51" t="str">
        <x:v>Egypt</x:v>
      </x:c>
      <x:c r="B677" s="51" t="str">
        <x:v>G</x:v>
      </x:c>
      <x:c r="C677" s="51" t="n">
        <x:v>23</x:v>
      </x:c>
      <x:c r="D677" s="71" t="str"/>
      <x:c r="E677" s="51" t="str">
        <x:v>Winger</x:v>
      </x:c>
      <x:c r="F677" s="51" t="str">
        <x:v>Attack</x:v>
      </x:c>
      <x:c r="G677" s="51" t="str">
        <x:v>Depth</x:v>
      </x:c>
      <x:c r="H677" s="55" t="n">
        <x:v>0.1</x:v>
      </x:c>
      <x:c r="I677" s="51" t="str"/>
      <x:c r="J677" s="72" t="str"/>
      <x:c r="K677" s="72" t="str"/>
      <x:c r="L677" s="72" t="str"/>
      <x:c r="M677" s="72" t="str"/>
      <x:c r="N677" s="72" t="str"/>
      <x:c r="O677" s="72" t="str"/>
      <x:c r="P677" s="72" t="str">
        <x:v>Available</x:v>
      </x:c>
      <x:c r="Q677" s="72" t="n">
        <x:v>0</x:v>
      </x:c>
      <x:c r="R677" s="55" t="str">
        <x:f>IF($D677="","",ROUND(MAX(0,MIN(100,0.35*$J677+0.2*$K677+0.15*$L677+0.15*$M677+0.1*$N677+0.05*$O677-IF(OR($P677="Out",$P677="Suspended"),$Q677,IF($P677="Doubtful",$Q677*0.5,IF($P677="Limited",$Q677*0.25,0))))),2))</x:f>
      </x:c>
      <x:c r="S677" s="55" t="n">
        <x:f>IF($D677="",0,ROUND(IF(OR($P677="Out",$P677="Suspended"),$Q677*$H677,IF($P677="Doubtful",$Q677*$H677*0.5,IF($P677="Limited",$Q677*$H677*0.25,0))),2))</x:f>
        <x:v>0</x:v>
      </x:c>
      <x:c r="T677" s="55" t="str"/>
      <x:c r="U677" s="51" t="str"/>
    </x:row>
    <x:row r="678">
      <x:c r="A678" s="51" t="str">
        <x:v>Egypt</x:v>
      </x:c>
      <x:c r="B678" s="51" t="str">
        <x:v>G</x:v>
      </x:c>
      <x:c r="C678" s="51" t="n">
        <x:v>24</x:v>
      </x:c>
      <x:c r="D678" s="71" t="str"/>
      <x:c r="E678" s="51" t="str">
        <x:v>ST</x:v>
      </x:c>
      <x:c r="F678" s="51" t="str">
        <x:v>Attack</x:v>
      </x:c>
      <x:c r="G678" s="51" t="str">
        <x:v>Depth</x:v>
      </x:c>
      <x:c r="H678" s="55" t="n">
        <x:v>0.1</x:v>
      </x:c>
      <x:c r="I678" s="51" t="str"/>
      <x:c r="J678" s="72" t="str"/>
      <x:c r="K678" s="72" t="str"/>
      <x:c r="L678" s="72" t="str"/>
      <x:c r="M678" s="72" t="str"/>
      <x:c r="N678" s="72" t="str"/>
      <x:c r="O678" s="72" t="str"/>
      <x:c r="P678" s="72" t="str">
        <x:v>Available</x:v>
      </x:c>
      <x:c r="Q678" s="72" t="n">
        <x:v>0</x:v>
      </x:c>
      <x:c r="R678" s="55" t="str">
        <x:f>IF($D678="","",ROUND(MAX(0,MIN(100,0.35*$J678+0.2*$K678+0.15*$L678+0.15*$M678+0.1*$N678+0.05*$O678-IF(OR($P678="Out",$P678="Suspended"),$Q678,IF($P678="Doubtful",$Q678*0.5,IF($P678="Limited",$Q678*0.25,0))))),2))</x:f>
      </x:c>
      <x:c r="S678" s="55" t="n">
        <x:f>IF($D678="",0,ROUND(IF(OR($P678="Out",$P678="Suspended"),$Q678*$H678,IF($P678="Doubtful",$Q678*$H678*0.5,IF($P678="Limited",$Q678*$H678*0.25,0))),2))</x:f>
        <x:v>0</x:v>
      </x:c>
      <x:c r="T678" s="55" t="str"/>
      <x:c r="U678" s="51" t="str"/>
    </x:row>
    <x:row r="679">
      <x:c r="A679" s="51" t="str">
        <x:v>Egypt</x:v>
      </x:c>
      <x:c r="B679" s="51" t="str">
        <x:v>G</x:v>
      </x:c>
      <x:c r="C679" s="51" t="n">
        <x:v>25</x:v>
      </x:c>
      <x:c r="D679" s="71" t="str"/>
      <x:c r="E679" s="51" t="str">
        <x:v>ST</x:v>
      </x:c>
      <x:c r="F679" s="51" t="str">
        <x:v>Attack</x:v>
      </x:c>
      <x:c r="G679" s="51" t="str">
        <x:v>Depth</x:v>
      </x:c>
      <x:c r="H679" s="55" t="n">
        <x:v>0.1</x:v>
      </x:c>
      <x:c r="I679" s="51" t="str"/>
      <x:c r="J679" s="72" t="str"/>
      <x:c r="K679" s="72" t="str"/>
      <x:c r="L679" s="72" t="str"/>
      <x:c r="M679" s="72" t="str"/>
      <x:c r="N679" s="72" t="str"/>
      <x:c r="O679" s="72" t="str"/>
      <x:c r="P679" s="72" t="str">
        <x:v>Available</x:v>
      </x:c>
      <x:c r="Q679" s="72" t="n">
        <x:v>0</x:v>
      </x:c>
      <x:c r="R679" s="55" t="str">
        <x:f>IF($D679="","",ROUND(MAX(0,MIN(100,0.35*$J679+0.2*$K679+0.15*$L679+0.15*$M679+0.1*$N679+0.05*$O679-IF(OR($P679="Out",$P679="Suspended"),$Q679,IF($P679="Doubtful",$Q679*0.5,IF($P679="Limited",$Q679*0.25,0))))),2))</x:f>
      </x:c>
      <x:c r="S679" s="55" t="n">
        <x:f>IF($D679="",0,ROUND(IF(OR($P679="Out",$P679="Suspended"),$Q679*$H679,IF($P679="Doubtful",$Q679*$H679*0.5,IF($P679="Limited",$Q679*$H679*0.25,0))),2))</x:f>
        <x:v>0</x:v>
      </x:c>
      <x:c r="T679" s="55" t="str"/>
      <x:c r="U679" s="51" t="str"/>
    </x:row>
    <x:row r="680">
      <x:c r="A680" s="51" t="str">
        <x:v>Egypt</x:v>
      </x:c>
      <x:c r="B680" s="51" t="str">
        <x:v>G</x:v>
      </x:c>
      <x:c r="C680" s="51" t="n">
        <x:v>26</x:v>
      </x:c>
      <x:c r="D680" s="71" t="str"/>
      <x:c r="E680" s="51" t="str">
        <x:v>ST</x:v>
      </x:c>
      <x:c r="F680" s="51" t="str">
        <x:v>Attack</x:v>
      </x:c>
      <x:c r="G680" s="51" t="str">
        <x:v>Depth</x:v>
      </x:c>
      <x:c r="H680" s="55" t="n">
        <x:v>0.1</x:v>
      </x:c>
      <x:c r="I680" s="51" t="str"/>
      <x:c r="J680" s="72" t="str"/>
      <x:c r="K680" s="72" t="str"/>
      <x:c r="L680" s="72" t="str"/>
      <x:c r="M680" s="72" t="str"/>
      <x:c r="N680" s="72" t="str"/>
      <x:c r="O680" s="72" t="str"/>
      <x:c r="P680" s="72" t="str">
        <x:v>Available</x:v>
      </x:c>
      <x:c r="Q680" s="72" t="n">
        <x:v>0</x:v>
      </x:c>
      <x:c r="R680" s="55" t="str">
        <x:f>IF($D680="","",ROUND(MAX(0,MIN(100,0.35*$J680+0.2*$K680+0.15*$L680+0.15*$M680+0.1*$N680+0.05*$O680-IF(OR($P680="Out",$P680="Suspended"),$Q680,IF($P680="Doubtful",$Q680*0.5,IF($P680="Limited",$Q680*0.25,0))))),2))</x:f>
      </x:c>
      <x:c r="S680" s="55" t="n">
        <x:f>IF($D680="",0,ROUND(IF(OR($P680="Out",$P680="Suspended"),$Q680*$H680,IF($P680="Doubtful",$Q680*$H680*0.5,IF($P680="Limited",$Q680*$H680*0.25,0))),2))</x:f>
        <x:v>0</x:v>
      </x:c>
      <x:c r="T680" s="55" t="str"/>
      <x:c r="U680" s="51" t="str"/>
    </x:row>
    <x:row r="681">
      <x:c r="A681" s="51" t="str">
        <x:v>Iran</x:v>
      </x:c>
      <x:c r="B681" s="51" t="str">
        <x:v>G</x:v>
      </x:c>
      <x:c r="C681" s="51" t="n">
        <x:v>1</x:v>
      </x:c>
      <x:c r="D681" s="71" t="str"/>
      <x:c r="E681" s="51" t="str">
        <x:v>GK</x:v>
      </x:c>
      <x:c r="F681" s="51" t="str">
        <x:v>GK</x:v>
      </x:c>
      <x:c r="G681" s="51" t="str">
        <x:v>Starter</x:v>
      </x:c>
      <x:c r="H681" s="55" t="n">
        <x:v>1</x:v>
      </x:c>
      <x:c r="I681" s="51" t="str"/>
      <x:c r="J681" s="72" t="str"/>
      <x:c r="K681" s="72" t="str"/>
      <x:c r="L681" s="72" t="str"/>
      <x:c r="M681" s="72" t="str"/>
      <x:c r="N681" s="72" t="str"/>
      <x:c r="O681" s="72" t="str"/>
      <x:c r="P681" s="72" t="str">
        <x:v>Available</x:v>
      </x:c>
      <x:c r="Q681" s="72" t="n">
        <x:v>0</x:v>
      </x:c>
      <x:c r="R681" s="55" t="str">
        <x:f>IF($D681="","",ROUND(MAX(0,MIN(100,0.35*$J681+0.2*$K681+0.15*$L681+0.15*$M681+0.1*$N681+0.05*$O681-IF(OR($P681="Out",$P681="Suspended"),$Q681,IF($P681="Doubtful",$Q681*0.5,IF($P681="Limited",$Q681*0.25,0))))),2))</x:f>
      </x:c>
      <x:c r="S681" s="55" t="n">
        <x:f>IF($D681="",0,ROUND(IF(OR($P681="Out",$P681="Suspended"),$Q681*$H681,IF($P681="Doubtful",$Q681*$H681*0.5,IF($P681="Limited",$Q681*$H681*0.25,0))),2))</x:f>
        <x:v>0</x:v>
      </x:c>
      <x:c r="T681" s="55" t="str"/>
      <x:c r="U681" s="51" t="str"/>
    </x:row>
    <x:row r="682">
      <x:c r="A682" s="51" t="str">
        <x:v>Iran</x:v>
      </x:c>
      <x:c r="B682" s="51" t="str">
        <x:v>G</x:v>
      </x:c>
      <x:c r="C682" s="51" t="n">
        <x:v>2</x:v>
      </x:c>
      <x:c r="D682" s="71" t="str"/>
      <x:c r="E682" s="51" t="str">
        <x:v>GK</x:v>
      </x:c>
      <x:c r="F682" s="51" t="str">
        <x:v>GK</x:v>
      </x:c>
      <x:c r="G682" s="51" t="str">
        <x:v>Starter</x:v>
      </x:c>
      <x:c r="H682" s="55" t="n">
        <x:v>1</x:v>
      </x:c>
      <x:c r="I682" s="51" t="str"/>
      <x:c r="J682" s="72" t="str"/>
      <x:c r="K682" s="72" t="str"/>
      <x:c r="L682" s="72" t="str"/>
      <x:c r="M682" s="72" t="str"/>
      <x:c r="N682" s="72" t="str"/>
      <x:c r="O682" s="72" t="str"/>
      <x:c r="P682" s="72" t="str">
        <x:v>Available</x:v>
      </x:c>
      <x:c r="Q682" s="72" t="n">
        <x:v>0</x:v>
      </x:c>
      <x:c r="R682" s="55" t="str">
        <x:f>IF($D682="","",ROUND(MAX(0,MIN(100,0.35*$J682+0.2*$K682+0.15*$L682+0.15*$M682+0.1*$N682+0.05*$O682-IF(OR($P682="Out",$P682="Suspended"),$Q682,IF($P682="Doubtful",$Q682*0.5,IF($P682="Limited",$Q682*0.25,0))))),2))</x:f>
      </x:c>
      <x:c r="S682" s="55" t="n">
        <x:f>IF($D682="",0,ROUND(IF(OR($P682="Out",$P682="Suspended"),$Q682*$H682,IF($P682="Doubtful",$Q682*$H682*0.5,IF($P682="Limited",$Q682*$H682*0.25,0))),2))</x:f>
        <x:v>0</x:v>
      </x:c>
      <x:c r="T682" s="55" t="str"/>
      <x:c r="U682" s="51" t="str"/>
    </x:row>
    <x:row r="683">
      <x:c r="A683" s="51" t="str">
        <x:v>Iran</x:v>
      </x:c>
      <x:c r="B683" s="51" t="str">
        <x:v>G</x:v>
      </x:c>
      <x:c r="C683" s="51" t="n">
        <x:v>3</x:v>
      </x:c>
      <x:c r="D683" s="71" t="str"/>
      <x:c r="E683" s="51" t="str">
        <x:v>GK</x:v>
      </x:c>
      <x:c r="F683" s="51" t="str">
        <x:v>GK</x:v>
      </x:c>
      <x:c r="G683" s="51" t="str">
        <x:v>Starter</x:v>
      </x:c>
      <x:c r="H683" s="55" t="n">
        <x:v>1</x:v>
      </x:c>
      <x:c r="I683" s="51" t="str"/>
      <x:c r="J683" s="72" t="str"/>
      <x:c r="K683" s="72" t="str"/>
      <x:c r="L683" s="72" t="str"/>
      <x:c r="M683" s="72" t="str"/>
      <x:c r="N683" s="72" t="str"/>
      <x:c r="O683" s="72" t="str"/>
      <x:c r="P683" s="72" t="str">
        <x:v>Available</x:v>
      </x:c>
      <x:c r="Q683" s="72" t="n">
        <x:v>0</x:v>
      </x:c>
      <x:c r="R683" s="55" t="str">
        <x:f>IF($D683="","",ROUND(MAX(0,MIN(100,0.35*$J683+0.2*$K683+0.15*$L683+0.15*$M683+0.1*$N683+0.05*$O683-IF(OR($P683="Out",$P683="Suspended"),$Q683,IF($P683="Doubtful",$Q683*0.5,IF($P683="Limited",$Q683*0.25,0))))),2))</x:f>
      </x:c>
      <x:c r="S683" s="55" t="n">
        <x:f>IF($D683="",0,ROUND(IF(OR($P683="Out",$P683="Suspended"),$Q683*$H683,IF($P683="Doubtful",$Q683*$H683*0.5,IF($P683="Limited",$Q683*$H683*0.25,0))),2))</x:f>
        <x:v>0</x:v>
      </x:c>
      <x:c r="T683" s="55" t="str"/>
      <x:c r="U683" s="51" t="str"/>
    </x:row>
    <x:row r="684">
      <x:c r="A684" s="51" t="str">
        <x:v>Iran</x:v>
      </x:c>
      <x:c r="B684" s="51" t="str">
        <x:v>G</x:v>
      </x:c>
      <x:c r="C684" s="51" t="n">
        <x:v>4</x:v>
      </x:c>
      <x:c r="D684" s="71" t="str"/>
      <x:c r="E684" s="51" t="str">
        <x:v>CB</x:v>
      </x:c>
      <x:c r="F684" s="51" t="str">
        <x:v>Defence</x:v>
      </x:c>
      <x:c r="G684" s="51" t="str">
        <x:v>Starter</x:v>
      </x:c>
      <x:c r="H684" s="55" t="n">
        <x:v>1</x:v>
      </x:c>
      <x:c r="I684" s="51" t="str"/>
      <x:c r="J684" s="72" t="str"/>
      <x:c r="K684" s="72" t="str"/>
      <x:c r="L684" s="72" t="str"/>
      <x:c r="M684" s="72" t="str"/>
      <x:c r="N684" s="72" t="str"/>
      <x:c r="O684" s="72" t="str"/>
      <x:c r="P684" s="72" t="str">
        <x:v>Available</x:v>
      </x:c>
      <x:c r="Q684" s="72" t="n">
        <x:v>0</x:v>
      </x:c>
      <x:c r="R684" s="55" t="str">
        <x:f>IF($D684="","",ROUND(MAX(0,MIN(100,0.35*$J684+0.2*$K684+0.15*$L684+0.15*$M684+0.1*$N684+0.05*$O684-IF(OR($P684="Out",$P684="Suspended"),$Q684,IF($P684="Doubtful",$Q684*0.5,IF($P684="Limited",$Q684*0.25,0))))),2))</x:f>
      </x:c>
      <x:c r="S684" s="55" t="n">
        <x:f>IF($D684="",0,ROUND(IF(OR($P684="Out",$P684="Suspended"),$Q684*$H684,IF($P684="Doubtful",$Q684*$H684*0.5,IF($P684="Limited",$Q684*$H684*0.25,0))),2))</x:f>
        <x:v>0</x:v>
      </x:c>
      <x:c r="T684" s="55" t="str"/>
      <x:c r="U684" s="51" t="str"/>
    </x:row>
    <x:row r="685">
      <x:c r="A685" s="51" t="str">
        <x:v>Iran</x:v>
      </x:c>
      <x:c r="B685" s="51" t="str">
        <x:v>G</x:v>
      </x:c>
      <x:c r="C685" s="51" t="n">
        <x:v>5</x:v>
      </x:c>
      <x:c r="D685" s="71" t="str"/>
      <x:c r="E685" s="51" t="str">
        <x:v>CB</x:v>
      </x:c>
      <x:c r="F685" s="51" t="str">
        <x:v>Defence</x:v>
      </x:c>
      <x:c r="G685" s="51" t="str">
        <x:v>Starter</x:v>
      </x:c>
      <x:c r="H685" s="55" t="n">
        <x:v>1</x:v>
      </x:c>
      <x:c r="I685" s="51" t="str"/>
      <x:c r="J685" s="72" t="str"/>
      <x:c r="K685" s="72" t="str"/>
      <x:c r="L685" s="72" t="str"/>
      <x:c r="M685" s="72" t="str"/>
      <x:c r="N685" s="72" t="str"/>
      <x:c r="O685" s="72" t="str"/>
      <x:c r="P685" s="72" t="str">
        <x:v>Available</x:v>
      </x:c>
      <x:c r="Q685" s="72" t="n">
        <x:v>0</x:v>
      </x:c>
      <x:c r="R685" s="55" t="str">
        <x:f>IF($D685="","",ROUND(MAX(0,MIN(100,0.35*$J685+0.2*$K685+0.15*$L685+0.15*$M685+0.1*$N685+0.05*$O685-IF(OR($P685="Out",$P685="Suspended"),$Q685,IF($P685="Doubtful",$Q685*0.5,IF($P685="Limited",$Q685*0.25,0))))),2))</x:f>
      </x:c>
      <x:c r="S685" s="55" t="n">
        <x:f>IF($D685="",0,ROUND(IF(OR($P685="Out",$P685="Suspended"),$Q685*$H685,IF($P685="Doubtful",$Q685*$H685*0.5,IF($P685="Limited",$Q685*$H685*0.25,0))),2))</x:f>
        <x:v>0</x:v>
      </x:c>
      <x:c r="T685" s="55" t="str"/>
      <x:c r="U685" s="51" t="str"/>
    </x:row>
    <x:row r="686">
      <x:c r="A686" s="51" t="str">
        <x:v>Iran</x:v>
      </x:c>
      <x:c r="B686" s="51" t="str">
        <x:v>G</x:v>
      </x:c>
      <x:c r="C686" s="51" t="n">
        <x:v>6</x:v>
      </x:c>
      <x:c r="D686" s="71" t="str"/>
      <x:c r="E686" s="51" t="str">
        <x:v>CB</x:v>
      </x:c>
      <x:c r="F686" s="51" t="str">
        <x:v>Defence</x:v>
      </x:c>
      <x:c r="G686" s="51" t="str">
        <x:v>Starter</x:v>
      </x:c>
      <x:c r="H686" s="55" t="n">
        <x:v>1</x:v>
      </x:c>
      <x:c r="I686" s="51" t="str"/>
      <x:c r="J686" s="72" t="str"/>
      <x:c r="K686" s="72" t="str"/>
      <x:c r="L686" s="72" t="str"/>
      <x:c r="M686" s="72" t="str"/>
      <x:c r="N686" s="72" t="str"/>
      <x:c r="O686" s="72" t="str"/>
      <x:c r="P686" s="72" t="str">
        <x:v>Available</x:v>
      </x:c>
      <x:c r="Q686" s="72" t="n">
        <x:v>0</x:v>
      </x:c>
      <x:c r="R686" s="55" t="str">
        <x:f>IF($D686="","",ROUND(MAX(0,MIN(100,0.35*$J686+0.2*$K686+0.15*$L686+0.15*$M686+0.1*$N686+0.05*$O686-IF(OR($P686="Out",$P686="Suspended"),$Q686,IF($P686="Doubtful",$Q686*0.5,IF($P686="Limited",$Q686*0.25,0))))),2))</x:f>
      </x:c>
      <x:c r="S686" s="55" t="n">
        <x:f>IF($D686="",0,ROUND(IF(OR($P686="Out",$P686="Suspended"),$Q686*$H686,IF($P686="Doubtful",$Q686*$H686*0.5,IF($P686="Limited",$Q686*$H686*0.25,0))),2))</x:f>
        <x:v>0</x:v>
      </x:c>
      <x:c r="T686" s="55" t="str"/>
      <x:c r="U686" s="51" t="str"/>
    </x:row>
    <x:row r="687">
      <x:c r="A687" s="51" t="str">
        <x:v>Iran</x:v>
      </x:c>
      <x:c r="B687" s="51" t="str">
        <x:v>G</x:v>
      </x:c>
      <x:c r="C687" s="51" t="n">
        <x:v>7</x:v>
      </x:c>
      <x:c r="D687" s="71" t="str"/>
      <x:c r="E687" s="51" t="str">
        <x:v>FB</x:v>
      </x:c>
      <x:c r="F687" s="51" t="str">
        <x:v>Defence</x:v>
      </x:c>
      <x:c r="G687" s="51" t="str">
        <x:v>Starter</x:v>
      </x:c>
      <x:c r="H687" s="55" t="n">
        <x:v>1</x:v>
      </x:c>
      <x:c r="I687" s="51" t="str"/>
      <x:c r="J687" s="72" t="str"/>
      <x:c r="K687" s="72" t="str"/>
      <x:c r="L687" s="72" t="str"/>
      <x:c r="M687" s="72" t="str"/>
      <x:c r="N687" s="72" t="str"/>
      <x:c r="O687" s="72" t="str"/>
      <x:c r="P687" s="72" t="str">
        <x:v>Available</x:v>
      </x:c>
      <x:c r="Q687" s="72" t="n">
        <x:v>0</x:v>
      </x:c>
      <x:c r="R687" s="55" t="str">
        <x:f>IF($D687="","",ROUND(MAX(0,MIN(100,0.35*$J687+0.2*$K687+0.15*$L687+0.15*$M687+0.1*$N687+0.05*$O687-IF(OR($P687="Out",$P687="Suspended"),$Q687,IF($P687="Doubtful",$Q687*0.5,IF($P687="Limited",$Q687*0.25,0))))),2))</x:f>
      </x:c>
      <x:c r="S687" s="55" t="n">
        <x:f>IF($D687="",0,ROUND(IF(OR($P687="Out",$P687="Suspended"),$Q687*$H687,IF($P687="Doubtful",$Q687*$H687*0.5,IF($P687="Limited",$Q687*$H687*0.25,0))),2))</x:f>
        <x:v>0</x:v>
      </x:c>
      <x:c r="T687" s="55" t="str"/>
      <x:c r="U687" s="51" t="str"/>
    </x:row>
    <x:row r="688">
      <x:c r="A688" s="51" t="str">
        <x:v>Iran</x:v>
      </x:c>
      <x:c r="B688" s="51" t="str">
        <x:v>G</x:v>
      </x:c>
      <x:c r="C688" s="51" t="n">
        <x:v>8</x:v>
      </x:c>
      <x:c r="D688" s="71" t="str"/>
      <x:c r="E688" s="51" t="str">
        <x:v>FB</x:v>
      </x:c>
      <x:c r="F688" s="51" t="str">
        <x:v>Defence</x:v>
      </x:c>
      <x:c r="G688" s="51" t="str">
        <x:v>Starter</x:v>
      </x:c>
      <x:c r="H688" s="55" t="n">
        <x:v>1</x:v>
      </x:c>
      <x:c r="I688" s="51" t="str"/>
      <x:c r="J688" s="72" t="str"/>
      <x:c r="K688" s="72" t="str"/>
      <x:c r="L688" s="72" t="str"/>
      <x:c r="M688" s="72" t="str"/>
      <x:c r="N688" s="72" t="str"/>
      <x:c r="O688" s="72" t="str"/>
      <x:c r="P688" s="72" t="str">
        <x:v>Available</x:v>
      </x:c>
      <x:c r="Q688" s="72" t="n">
        <x:v>0</x:v>
      </x:c>
      <x:c r="R688" s="55" t="str">
        <x:f>IF($D688="","",ROUND(MAX(0,MIN(100,0.35*$J688+0.2*$K688+0.15*$L688+0.15*$M688+0.1*$N688+0.05*$O688-IF(OR($P688="Out",$P688="Suspended"),$Q688,IF($P688="Doubtful",$Q688*0.5,IF($P688="Limited",$Q688*0.25,0))))),2))</x:f>
      </x:c>
      <x:c r="S688" s="55" t="n">
        <x:f>IF($D688="",0,ROUND(IF(OR($P688="Out",$P688="Suspended"),$Q688*$H688,IF($P688="Doubtful",$Q688*$H688*0.5,IF($P688="Limited",$Q688*$H688*0.25,0))),2))</x:f>
        <x:v>0</x:v>
      </x:c>
      <x:c r="T688" s="55" t="str"/>
      <x:c r="U688" s="51" t="str"/>
    </x:row>
    <x:row r="689">
      <x:c r="A689" s="51" t="str">
        <x:v>Iran</x:v>
      </x:c>
      <x:c r="B689" s="51" t="str">
        <x:v>G</x:v>
      </x:c>
      <x:c r="C689" s="51" t="n">
        <x:v>9</x:v>
      </x:c>
      <x:c r="D689" s="71" t="str"/>
      <x:c r="E689" s="51" t="str">
        <x:v>DM</x:v>
      </x:c>
      <x:c r="F689" s="51" t="str">
        <x:v>Midfield</x:v>
      </x:c>
      <x:c r="G689" s="51" t="str">
        <x:v>Starter</x:v>
      </x:c>
      <x:c r="H689" s="55" t="n">
        <x:v>1</x:v>
      </x:c>
      <x:c r="I689" s="51" t="str"/>
      <x:c r="J689" s="72" t="str"/>
      <x:c r="K689" s="72" t="str"/>
      <x:c r="L689" s="72" t="str"/>
      <x:c r="M689" s="72" t="str"/>
      <x:c r="N689" s="72" t="str"/>
      <x:c r="O689" s="72" t="str"/>
      <x:c r="P689" s="72" t="str">
        <x:v>Available</x:v>
      </x:c>
      <x:c r="Q689" s="72" t="n">
        <x:v>0</x:v>
      </x:c>
      <x:c r="R689" s="55" t="str">
        <x:f>IF($D689="","",ROUND(MAX(0,MIN(100,0.35*$J689+0.2*$K689+0.15*$L689+0.15*$M689+0.1*$N689+0.05*$O689-IF(OR($P689="Out",$P689="Suspended"),$Q689,IF($P689="Doubtful",$Q689*0.5,IF($P689="Limited",$Q689*0.25,0))))),2))</x:f>
      </x:c>
      <x:c r="S689" s="55" t="n">
        <x:f>IF($D689="",0,ROUND(IF(OR($P689="Out",$P689="Suspended"),$Q689*$H689,IF($P689="Doubtful",$Q689*$H689*0.5,IF($P689="Limited",$Q689*$H689*0.25,0))),2))</x:f>
        <x:v>0</x:v>
      </x:c>
      <x:c r="T689" s="55" t="str"/>
      <x:c r="U689" s="51" t="str"/>
    </x:row>
    <x:row r="690">
      <x:c r="A690" s="51" t="str">
        <x:v>Iran</x:v>
      </x:c>
      <x:c r="B690" s="51" t="str">
        <x:v>G</x:v>
      </x:c>
      <x:c r="C690" s="51" t="n">
        <x:v>10</x:v>
      </x:c>
      <x:c r="D690" s="71" t="str"/>
      <x:c r="E690" s="51" t="str">
        <x:v>DM</x:v>
      </x:c>
      <x:c r="F690" s="51" t="str">
        <x:v>Midfield</x:v>
      </x:c>
      <x:c r="G690" s="51" t="str">
        <x:v>Starter</x:v>
      </x:c>
      <x:c r="H690" s="55" t="n">
        <x:v>1</x:v>
      </x:c>
      <x:c r="I690" s="51" t="str"/>
      <x:c r="J690" s="72" t="str"/>
      <x:c r="K690" s="72" t="str"/>
      <x:c r="L690" s="72" t="str"/>
      <x:c r="M690" s="72" t="str"/>
      <x:c r="N690" s="72" t="str"/>
      <x:c r="O690" s="72" t="str"/>
      <x:c r="P690" s="72" t="str">
        <x:v>Available</x:v>
      </x:c>
      <x:c r="Q690" s="72" t="n">
        <x:v>0</x:v>
      </x:c>
      <x:c r="R690" s="55" t="str">
        <x:f>IF($D690="","",ROUND(MAX(0,MIN(100,0.35*$J690+0.2*$K690+0.15*$L690+0.15*$M690+0.1*$N690+0.05*$O690-IF(OR($P690="Out",$P690="Suspended"),$Q690,IF($P690="Doubtful",$Q690*0.5,IF($P690="Limited",$Q690*0.25,0))))),2))</x:f>
      </x:c>
      <x:c r="S690" s="55" t="n">
        <x:f>IF($D690="",0,ROUND(IF(OR($P690="Out",$P690="Suspended"),$Q690*$H690,IF($P690="Doubtful",$Q690*$H690*0.5,IF($P690="Limited",$Q690*$H690*0.25,0))),2))</x:f>
        <x:v>0</x:v>
      </x:c>
      <x:c r="T690" s="55" t="str"/>
      <x:c r="U690" s="51" t="str"/>
    </x:row>
    <x:row r="691">
      <x:c r="A691" s="51" t="str">
        <x:v>Iran</x:v>
      </x:c>
      <x:c r="B691" s="51" t="str">
        <x:v>G</x:v>
      </x:c>
      <x:c r="C691" s="51" t="n">
        <x:v>11</x:v>
      </x:c>
      <x:c r="D691" s="71" t="str"/>
      <x:c r="E691" s="51" t="str">
        <x:v>DM</x:v>
      </x:c>
      <x:c r="F691" s="51" t="str">
        <x:v>Midfield</x:v>
      </x:c>
      <x:c r="G691" s="51" t="str">
        <x:v>Starter</x:v>
      </x:c>
      <x:c r="H691" s="55" t="n">
        <x:v>1</x:v>
      </x:c>
      <x:c r="I691" s="51" t="str"/>
      <x:c r="J691" s="72" t="str"/>
      <x:c r="K691" s="72" t="str"/>
      <x:c r="L691" s="72" t="str"/>
      <x:c r="M691" s="72" t="str"/>
      <x:c r="N691" s="72" t="str"/>
      <x:c r="O691" s="72" t="str"/>
      <x:c r="P691" s="72" t="str">
        <x:v>Available</x:v>
      </x:c>
      <x:c r="Q691" s="72" t="n">
        <x:v>0</x:v>
      </x:c>
      <x:c r="R691" s="55" t="str">
        <x:f>IF($D691="","",ROUND(MAX(0,MIN(100,0.35*$J691+0.2*$K691+0.15*$L691+0.15*$M691+0.1*$N691+0.05*$O691-IF(OR($P691="Out",$P691="Suspended"),$Q691,IF($P691="Doubtful",$Q691*0.5,IF($P691="Limited",$Q691*0.25,0))))),2))</x:f>
      </x:c>
      <x:c r="S691" s="55" t="n">
        <x:f>IF($D691="",0,ROUND(IF(OR($P691="Out",$P691="Suspended"),$Q691*$H691,IF($P691="Doubtful",$Q691*$H691*0.5,IF($P691="Limited",$Q691*$H691*0.25,0))),2))</x:f>
        <x:v>0</x:v>
      </x:c>
      <x:c r="T691" s="55" t="str"/>
      <x:c r="U691" s="51" t="str"/>
    </x:row>
    <x:row r="692">
      <x:c r="A692" s="51" t="str">
        <x:v>Iran</x:v>
      </x:c>
      <x:c r="B692" s="51" t="str">
        <x:v>G</x:v>
      </x:c>
      <x:c r="C692" s="51" t="n">
        <x:v>12</x:v>
      </x:c>
      <x:c r="D692" s="71" t="str"/>
      <x:c r="E692" s="51" t="str">
        <x:v>CM</x:v>
      </x:c>
      <x:c r="F692" s="51" t="str">
        <x:v>Midfield</x:v>
      </x:c>
      <x:c r="G692" s="51" t="str">
        <x:v>Rotation</x:v>
      </x:c>
      <x:c r="H692" s="55" t="n">
        <x:v>0.35</x:v>
      </x:c>
      <x:c r="I692" s="51" t="str"/>
      <x:c r="J692" s="72" t="str"/>
      <x:c r="K692" s="72" t="str"/>
      <x:c r="L692" s="72" t="str"/>
      <x:c r="M692" s="72" t="str"/>
      <x:c r="N692" s="72" t="str"/>
      <x:c r="O692" s="72" t="str"/>
      <x:c r="P692" s="72" t="str">
        <x:v>Available</x:v>
      </x:c>
      <x:c r="Q692" s="72" t="n">
        <x:v>0</x:v>
      </x:c>
      <x:c r="R692" s="55" t="str">
        <x:f>IF($D692="","",ROUND(MAX(0,MIN(100,0.35*$J692+0.2*$K692+0.15*$L692+0.15*$M692+0.1*$N692+0.05*$O692-IF(OR($P692="Out",$P692="Suspended"),$Q692,IF($P692="Doubtful",$Q692*0.5,IF($P692="Limited",$Q692*0.25,0))))),2))</x:f>
      </x:c>
      <x:c r="S692" s="55" t="n">
        <x:f>IF($D692="",0,ROUND(IF(OR($P692="Out",$P692="Suspended"),$Q692*$H692,IF($P692="Doubtful",$Q692*$H692*0.5,IF($P692="Limited",$Q692*$H692*0.25,0))),2))</x:f>
        <x:v>0</x:v>
      </x:c>
      <x:c r="T692" s="55" t="str"/>
      <x:c r="U692" s="51" t="str"/>
    </x:row>
    <x:row r="693">
      <x:c r="A693" s="51" t="str">
        <x:v>Iran</x:v>
      </x:c>
      <x:c r="B693" s="51" t="str">
        <x:v>G</x:v>
      </x:c>
      <x:c r="C693" s="51" t="n">
        <x:v>13</x:v>
      </x:c>
      <x:c r="D693" s="71" t="str"/>
      <x:c r="E693" s="51" t="str">
        <x:v>CM</x:v>
      </x:c>
      <x:c r="F693" s="51" t="str">
        <x:v>Midfield</x:v>
      </x:c>
      <x:c r="G693" s="51" t="str">
        <x:v>Rotation</x:v>
      </x:c>
      <x:c r="H693" s="55" t="n">
        <x:v>0.35</x:v>
      </x:c>
      <x:c r="I693" s="51" t="str"/>
      <x:c r="J693" s="72" t="str"/>
      <x:c r="K693" s="72" t="str"/>
      <x:c r="L693" s="72" t="str"/>
      <x:c r="M693" s="72" t="str"/>
      <x:c r="N693" s="72" t="str"/>
      <x:c r="O693" s="72" t="str"/>
      <x:c r="P693" s="72" t="str">
        <x:v>Available</x:v>
      </x:c>
      <x:c r="Q693" s="72" t="n">
        <x:v>0</x:v>
      </x:c>
      <x:c r="R693" s="55" t="str">
        <x:f>IF($D693="","",ROUND(MAX(0,MIN(100,0.35*$J693+0.2*$K693+0.15*$L693+0.15*$M693+0.1*$N693+0.05*$O693-IF(OR($P693="Out",$P693="Suspended"),$Q693,IF($P693="Doubtful",$Q693*0.5,IF($P693="Limited",$Q693*0.25,0))))),2))</x:f>
      </x:c>
      <x:c r="S693" s="55" t="n">
        <x:f>IF($D693="",0,ROUND(IF(OR($P693="Out",$P693="Suspended"),$Q693*$H693,IF($P693="Doubtful",$Q693*$H693*0.5,IF($P693="Limited",$Q693*$H693*0.25,0))),2))</x:f>
        <x:v>0</x:v>
      </x:c>
      <x:c r="T693" s="55" t="str"/>
      <x:c r="U693" s="51" t="str"/>
    </x:row>
    <x:row r="694">
      <x:c r="A694" s="51" t="str">
        <x:v>Iran</x:v>
      </x:c>
      <x:c r="B694" s="51" t="str">
        <x:v>G</x:v>
      </x:c>
      <x:c r="C694" s="51" t="n">
        <x:v>14</x:v>
      </x:c>
      <x:c r="D694" s="71" t="str"/>
      <x:c r="E694" s="51" t="str">
        <x:v>CM</x:v>
      </x:c>
      <x:c r="F694" s="51" t="str">
        <x:v>Midfield</x:v>
      </x:c>
      <x:c r="G694" s="51" t="str">
        <x:v>Rotation</x:v>
      </x:c>
      <x:c r="H694" s="55" t="n">
        <x:v>0.35</x:v>
      </x:c>
      <x:c r="I694" s="51" t="str"/>
      <x:c r="J694" s="72" t="str"/>
      <x:c r="K694" s="72" t="str"/>
      <x:c r="L694" s="72" t="str"/>
      <x:c r="M694" s="72" t="str"/>
      <x:c r="N694" s="72" t="str"/>
      <x:c r="O694" s="72" t="str"/>
      <x:c r="P694" s="72" t="str">
        <x:v>Available</x:v>
      </x:c>
      <x:c r="Q694" s="72" t="n">
        <x:v>0</x:v>
      </x:c>
      <x:c r="R694" s="55" t="str">
        <x:f>IF($D694="","",ROUND(MAX(0,MIN(100,0.35*$J694+0.2*$K694+0.15*$L694+0.15*$M694+0.1*$N694+0.05*$O694-IF(OR($P694="Out",$P694="Suspended"),$Q694,IF($P694="Doubtful",$Q694*0.5,IF($P694="Limited",$Q694*0.25,0))))),2))</x:f>
      </x:c>
      <x:c r="S694" s="55" t="n">
        <x:f>IF($D694="",0,ROUND(IF(OR($P694="Out",$P694="Suspended"),$Q694*$H694,IF($P694="Doubtful",$Q694*$H694*0.5,IF($P694="Limited",$Q694*$H694*0.25,0))),2))</x:f>
        <x:v>0</x:v>
      </x:c>
      <x:c r="T694" s="55" t="str"/>
      <x:c r="U694" s="51" t="str"/>
    </x:row>
    <x:row r="695">
      <x:c r="A695" s="51" t="str">
        <x:v>Iran</x:v>
      </x:c>
      <x:c r="B695" s="51" t="str">
        <x:v>G</x:v>
      </x:c>
      <x:c r="C695" s="51" t="n">
        <x:v>15</x:v>
      </x:c>
      <x:c r="D695" s="71" t="str"/>
      <x:c r="E695" s="51" t="str">
        <x:v>CM</x:v>
      </x:c>
      <x:c r="F695" s="51" t="str">
        <x:v>Midfield</x:v>
      </x:c>
      <x:c r="G695" s="51" t="str">
        <x:v>Rotation</x:v>
      </x:c>
      <x:c r="H695" s="55" t="n">
        <x:v>0.35</x:v>
      </x:c>
      <x:c r="I695" s="51" t="str"/>
      <x:c r="J695" s="72" t="str"/>
      <x:c r="K695" s="72" t="str"/>
      <x:c r="L695" s="72" t="str"/>
      <x:c r="M695" s="72" t="str"/>
      <x:c r="N695" s="72" t="str"/>
      <x:c r="O695" s="72" t="str"/>
      <x:c r="P695" s="72" t="str">
        <x:v>Available</x:v>
      </x:c>
      <x:c r="Q695" s="72" t="n">
        <x:v>0</x:v>
      </x:c>
      <x:c r="R695" s="55" t="str">
        <x:f>IF($D695="","",ROUND(MAX(0,MIN(100,0.35*$J695+0.2*$K695+0.15*$L695+0.15*$M695+0.1*$N695+0.05*$O695-IF(OR($P695="Out",$P695="Suspended"),$Q695,IF($P695="Doubtful",$Q695*0.5,IF($P695="Limited",$Q695*0.25,0))))),2))</x:f>
      </x:c>
      <x:c r="S695" s="55" t="n">
        <x:f>IF($D695="",0,ROUND(IF(OR($P695="Out",$P695="Suspended"),$Q695*$H695,IF($P695="Doubtful",$Q695*$H695*0.5,IF($P695="Limited",$Q695*$H695*0.25,0))),2))</x:f>
        <x:v>0</x:v>
      </x:c>
      <x:c r="T695" s="55" t="str"/>
      <x:c r="U695" s="51" t="str"/>
    </x:row>
    <x:row r="696">
      <x:c r="A696" s="51" t="str">
        <x:v>Iran</x:v>
      </x:c>
      <x:c r="B696" s="51" t="str">
        <x:v>G</x:v>
      </x:c>
      <x:c r="C696" s="51" t="n">
        <x:v>16</x:v>
      </x:c>
      <x:c r="D696" s="71" t="str"/>
      <x:c r="E696" s="51" t="str">
        <x:v>AM</x:v>
      </x:c>
      <x:c r="F696" s="51" t="str">
        <x:v>Attack</x:v>
      </x:c>
      <x:c r="G696" s="51" t="str">
        <x:v>Rotation</x:v>
      </x:c>
      <x:c r="H696" s="55" t="n">
        <x:v>0.35</x:v>
      </x:c>
      <x:c r="I696" s="51" t="str"/>
      <x:c r="J696" s="72" t="str"/>
      <x:c r="K696" s="72" t="str"/>
      <x:c r="L696" s="72" t="str"/>
      <x:c r="M696" s="72" t="str"/>
      <x:c r="N696" s="72" t="str"/>
      <x:c r="O696" s="72" t="str"/>
      <x:c r="P696" s="72" t="str">
        <x:v>Available</x:v>
      </x:c>
      <x:c r="Q696" s="72" t="n">
        <x:v>0</x:v>
      </x:c>
      <x:c r="R696" s="55" t="str">
        <x:f>IF($D696="","",ROUND(MAX(0,MIN(100,0.35*$J696+0.2*$K696+0.15*$L696+0.15*$M696+0.1*$N696+0.05*$O696-IF(OR($P696="Out",$P696="Suspended"),$Q696,IF($P696="Doubtful",$Q696*0.5,IF($P696="Limited",$Q696*0.25,0))))),2))</x:f>
      </x:c>
      <x:c r="S696" s="55" t="n">
        <x:f>IF($D696="",0,ROUND(IF(OR($P696="Out",$P696="Suspended"),$Q696*$H696,IF($P696="Doubtful",$Q696*$H696*0.5,IF($P696="Limited",$Q696*$H696*0.25,0))),2))</x:f>
        <x:v>0</x:v>
      </x:c>
      <x:c r="T696" s="55" t="str"/>
      <x:c r="U696" s="51" t="str"/>
    </x:row>
    <x:row r="697">
      <x:c r="A697" s="51" t="str">
        <x:v>Iran</x:v>
      </x:c>
      <x:c r="B697" s="51" t="str">
        <x:v>G</x:v>
      </x:c>
      <x:c r="C697" s="51" t="n">
        <x:v>17</x:v>
      </x:c>
      <x:c r="D697" s="71" t="str"/>
      <x:c r="E697" s="51" t="str">
        <x:v>AM</x:v>
      </x:c>
      <x:c r="F697" s="51" t="str">
        <x:v>Attack</x:v>
      </x:c>
      <x:c r="G697" s="51" t="str">
        <x:v>Rotation</x:v>
      </x:c>
      <x:c r="H697" s="55" t="n">
        <x:v>0.35</x:v>
      </x:c>
      <x:c r="I697" s="51" t="str"/>
      <x:c r="J697" s="72" t="str"/>
      <x:c r="K697" s="72" t="str"/>
      <x:c r="L697" s="72" t="str"/>
      <x:c r="M697" s="72" t="str"/>
      <x:c r="N697" s="72" t="str"/>
      <x:c r="O697" s="72" t="str"/>
      <x:c r="P697" s="72" t="str">
        <x:v>Available</x:v>
      </x:c>
      <x:c r="Q697" s="72" t="n">
        <x:v>0</x:v>
      </x:c>
      <x:c r="R697" s="55" t="str">
        <x:f>IF($D697="","",ROUND(MAX(0,MIN(100,0.35*$J697+0.2*$K697+0.15*$L697+0.15*$M697+0.1*$N697+0.05*$O697-IF(OR($P697="Out",$P697="Suspended"),$Q697,IF($P697="Doubtful",$Q697*0.5,IF($P697="Limited",$Q697*0.25,0))))),2))</x:f>
      </x:c>
      <x:c r="S697" s="55" t="n">
        <x:f>IF($D697="",0,ROUND(IF(OR($P697="Out",$P697="Suspended"),$Q697*$H697,IF($P697="Doubtful",$Q697*$H697*0.5,IF($P697="Limited",$Q697*$H697*0.25,0))),2))</x:f>
        <x:v>0</x:v>
      </x:c>
      <x:c r="T697" s="55" t="str"/>
      <x:c r="U697" s="51" t="str"/>
    </x:row>
    <x:row r="698">
      <x:c r="A698" s="51" t="str">
        <x:v>Iran</x:v>
      </x:c>
      <x:c r="B698" s="51" t="str">
        <x:v>G</x:v>
      </x:c>
      <x:c r="C698" s="51" t="n">
        <x:v>18</x:v>
      </x:c>
      <x:c r="D698" s="71" t="str"/>
      <x:c r="E698" s="51" t="str">
        <x:v>AM</x:v>
      </x:c>
      <x:c r="F698" s="51" t="str">
        <x:v>Attack</x:v>
      </x:c>
      <x:c r="G698" s="51" t="str">
        <x:v>Rotation</x:v>
      </x:c>
      <x:c r="H698" s="55" t="n">
        <x:v>0.35</x:v>
      </x:c>
      <x:c r="I698" s="51" t="str"/>
      <x:c r="J698" s="72" t="str"/>
      <x:c r="K698" s="72" t="str"/>
      <x:c r="L698" s="72" t="str"/>
      <x:c r="M698" s="72" t="str"/>
      <x:c r="N698" s="72" t="str"/>
      <x:c r="O698" s="72" t="str"/>
      <x:c r="P698" s="72" t="str">
        <x:v>Available</x:v>
      </x:c>
      <x:c r="Q698" s="72" t="n">
        <x:v>0</x:v>
      </x:c>
      <x:c r="R698" s="55" t="str">
        <x:f>IF($D698="","",ROUND(MAX(0,MIN(100,0.35*$J698+0.2*$K698+0.15*$L698+0.15*$M698+0.1*$N698+0.05*$O698-IF(OR($P698="Out",$P698="Suspended"),$Q698,IF($P698="Doubtful",$Q698*0.5,IF($P698="Limited",$Q698*0.25,0))))),2))</x:f>
      </x:c>
      <x:c r="S698" s="55" t="n">
        <x:f>IF($D698="",0,ROUND(IF(OR($P698="Out",$P698="Suspended"),$Q698*$H698,IF($P698="Doubtful",$Q698*$H698*0.5,IF($P698="Limited",$Q698*$H698*0.25,0))),2))</x:f>
        <x:v>0</x:v>
      </x:c>
      <x:c r="T698" s="55" t="str"/>
      <x:c r="U698" s="51" t="str"/>
    </x:row>
    <x:row r="699">
      <x:c r="A699" s="51" t="str">
        <x:v>Iran</x:v>
      </x:c>
      <x:c r="B699" s="51" t="str">
        <x:v>G</x:v>
      </x:c>
      <x:c r="C699" s="51" t="n">
        <x:v>19</x:v>
      </x:c>
      <x:c r="D699" s="71" t="str"/>
      <x:c r="E699" s="51" t="str">
        <x:v>AM</x:v>
      </x:c>
      <x:c r="F699" s="51" t="str">
        <x:v>Attack</x:v>
      </x:c>
      <x:c r="G699" s="51" t="str">
        <x:v>Rotation</x:v>
      </x:c>
      <x:c r="H699" s="55" t="n">
        <x:v>0.35</x:v>
      </x:c>
      <x:c r="I699" s="51" t="str"/>
      <x:c r="J699" s="72" t="str"/>
      <x:c r="K699" s="72" t="str"/>
      <x:c r="L699" s="72" t="str"/>
      <x:c r="M699" s="72" t="str"/>
      <x:c r="N699" s="72" t="str"/>
      <x:c r="O699" s="72" t="str"/>
      <x:c r="P699" s="72" t="str">
        <x:v>Available</x:v>
      </x:c>
      <x:c r="Q699" s="72" t="n">
        <x:v>0</x:v>
      </x:c>
      <x:c r="R699" s="55" t="str">
        <x:f>IF($D699="","",ROUND(MAX(0,MIN(100,0.35*$J699+0.2*$K699+0.15*$L699+0.15*$M699+0.1*$N699+0.05*$O699-IF(OR($P699="Out",$P699="Suspended"),$Q699,IF($P699="Doubtful",$Q699*0.5,IF($P699="Limited",$Q699*0.25,0))))),2))</x:f>
      </x:c>
      <x:c r="S699" s="55" t="n">
        <x:f>IF($D699="",0,ROUND(IF(OR($P699="Out",$P699="Suspended"),$Q699*$H699,IF($P699="Doubtful",$Q699*$H699*0.5,IF($P699="Limited",$Q699*$H699*0.25,0))),2))</x:f>
        <x:v>0</x:v>
      </x:c>
      <x:c r="T699" s="55" t="str"/>
      <x:c r="U699" s="51" t="str"/>
    </x:row>
    <x:row r="700">
      <x:c r="A700" s="51" t="str">
        <x:v>Iran</x:v>
      </x:c>
      <x:c r="B700" s="51" t="str">
        <x:v>G</x:v>
      </x:c>
      <x:c r="C700" s="51" t="n">
        <x:v>20</x:v>
      </x:c>
      <x:c r="D700" s="71" t="str"/>
      <x:c r="E700" s="51" t="str">
        <x:v>Winger</x:v>
      </x:c>
      <x:c r="F700" s="51" t="str">
        <x:v>Attack</x:v>
      </x:c>
      <x:c r="G700" s="51" t="str">
        <x:v>Rotation</x:v>
      </x:c>
      <x:c r="H700" s="55" t="n">
        <x:v>0.35</x:v>
      </x:c>
      <x:c r="I700" s="51" t="str"/>
      <x:c r="J700" s="72" t="str"/>
      <x:c r="K700" s="72" t="str"/>
      <x:c r="L700" s="72" t="str"/>
      <x:c r="M700" s="72" t="str"/>
      <x:c r="N700" s="72" t="str"/>
      <x:c r="O700" s="72" t="str"/>
      <x:c r="P700" s="72" t="str">
        <x:v>Available</x:v>
      </x:c>
      <x:c r="Q700" s="72" t="n">
        <x:v>0</x:v>
      </x:c>
      <x:c r="R700" s="55" t="str">
        <x:f>IF($D700="","",ROUND(MAX(0,MIN(100,0.35*$J700+0.2*$K700+0.15*$L700+0.15*$M700+0.1*$N700+0.05*$O700-IF(OR($P700="Out",$P700="Suspended"),$Q700,IF($P700="Doubtful",$Q700*0.5,IF($P700="Limited",$Q700*0.25,0))))),2))</x:f>
      </x:c>
      <x:c r="S700" s="55" t="n">
        <x:f>IF($D700="",0,ROUND(IF(OR($P700="Out",$P700="Suspended"),$Q700*$H700,IF($P700="Doubtful",$Q700*$H700*0.5,IF($P700="Limited",$Q700*$H700*0.25,0))),2))</x:f>
        <x:v>0</x:v>
      </x:c>
      <x:c r="T700" s="55" t="str"/>
      <x:c r="U700" s="51" t="str"/>
    </x:row>
    <x:row r="701">
      <x:c r="A701" s="51" t="str">
        <x:v>Iran</x:v>
      </x:c>
      <x:c r="B701" s="51" t="str">
        <x:v>G</x:v>
      </x:c>
      <x:c r="C701" s="51" t="n">
        <x:v>21</x:v>
      </x:c>
      <x:c r="D701" s="71" t="str"/>
      <x:c r="E701" s="51" t="str">
        <x:v>Winger</x:v>
      </x:c>
      <x:c r="F701" s="51" t="str">
        <x:v>Attack</x:v>
      </x:c>
      <x:c r="G701" s="51" t="str">
        <x:v>Depth</x:v>
      </x:c>
      <x:c r="H701" s="55" t="n">
        <x:v>0.1</x:v>
      </x:c>
      <x:c r="I701" s="51" t="str"/>
      <x:c r="J701" s="72" t="str"/>
      <x:c r="K701" s="72" t="str"/>
      <x:c r="L701" s="72" t="str"/>
      <x:c r="M701" s="72" t="str"/>
      <x:c r="N701" s="72" t="str"/>
      <x:c r="O701" s="72" t="str"/>
      <x:c r="P701" s="72" t="str">
        <x:v>Available</x:v>
      </x:c>
      <x:c r="Q701" s="72" t="n">
        <x:v>0</x:v>
      </x:c>
      <x:c r="R701" s="55" t="str">
        <x:f>IF($D701="","",ROUND(MAX(0,MIN(100,0.35*$J701+0.2*$K701+0.15*$L701+0.15*$M701+0.1*$N701+0.05*$O701-IF(OR($P701="Out",$P701="Suspended"),$Q701,IF($P701="Doubtful",$Q701*0.5,IF($P701="Limited",$Q701*0.25,0))))),2))</x:f>
      </x:c>
      <x:c r="S701" s="55" t="n">
        <x:f>IF($D701="",0,ROUND(IF(OR($P701="Out",$P701="Suspended"),$Q701*$H701,IF($P701="Doubtful",$Q701*$H701*0.5,IF($P701="Limited",$Q701*$H701*0.25,0))),2))</x:f>
        <x:v>0</x:v>
      </x:c>
      <x:c r="T701" s="55" t="str"/>
      <x:c r="U701" s="51" t="str"/>
    </x:row>
    <x:row r="702">
      <x:c r="A702" s="51" t="str">
        <x:v>Iran</x:v>
      </x:c>
      <x:c r="B702" s="51" t="str">
        <x:v>G</x:v>
      </x:c>
      <x:c r="C702" s="51" t="n">
        <x:v>22</x:v>
      </x:c>
      <x:c r="D702" s="71" t="str"/>
      <x:c r="E702" s="51" t="str">
        <x:v>Winger</x:v>
      </x:c>
      <x:c r="F702" s="51" t="str">
        <x:v>Attack</x:v>
      </x:c>
      <x:c r="G702" s="51" t="str">
        <x:v>Depth</x:v>
      </x:c>
      <x:c r="H702" s="55" t="n">
        <x:v>0.1</x:v>
      </x:c>
      <x:c r="I702" s="51" t="str"/>
      <x:c r="J702" s="72" t="str"/>
      <x:c r="K702" s="72" t="str"/>
      <x:c r="L702" s="72" t="str"/>
      <x:c r="M702" s="72" t="str"/>
      <x:c r="N702" s="72" t="str"/>
      <x:c r="O702" s="72" t="str"/>
      <x:c r="P702" s="72" t="str">
        <x:v>Available</x:v>
      </x:c>
      <x:c r="Q702" s="72" t="n">
        <x:v>0</x:v>
      </x:c>
      <x:c r="R702" s="55" t="str">
        <x:f>IF($D702="","",ROUND(MAX(0,MIN(100,0.35*$J702+0.2*$K702+0.15*$L702+0.15*$M702+0.1*$N702+0.05*$O702-IF(OR($P702="Out",$P702="Suspended"),$Q702,IF($P702="Doubtful",$Q702*0.5,IF($P702="Limited",$Q702*0.25,0))))),2))</x:f>
      </x:c>
      <x:c r="S702" s="55" t="n">
        <x:f>IF($D702="",0,ROUND(IF(OR($P702="Out",$P702="Suspended"),$Q702*$H702,IF($P702="Doubtful",$Q702*$H702*0.5,IF($P702="Limited",$Q702*$H702*0.25,0))),2))</x:f>
        <x:v>0</x:v>
      </x:c>
      <x:c r="T702" s="55" t="str"/>
      <x:c r="U702" s="51" t="str"/>
    </x:row>
    <x:row r="703">
      <x:c r="A703" s="51" t="str">
        <x:v>Iran</x:v>
      </x:c>
      <x:c r="B703" s="51" t="str">
        <x:v>G</x:v>
      </x:c>
      <x:c r="C703" s="51" t="n">
        <x:v>23</x:v>
      </x:c>
      <x:c r="D703" s="71" t="str"/>
      <x:c r="E703" s="51" t="str">
        <x:v>Winger</x:v>
      </x:c>
      <x:c r="F703" s="51" t="str">
        <x:v>Attack</x:v>
      </x:c>
      <x:c r="G703" s="51" t="str">
        <x:v>Depth</x:v>
      </x:c>
      <x:c r="H703" s="55" t="n">
        <x:v>0.1</x:v>
      </x:c>
      <x:c r="I703" s="51" t="str"/>
      <x:c r="J703" s="72" t="str"/>
      <x:c r="K703" s="72" t="str"/>
      <x:c r="L703" s="72" t="str"/>
      <x:c r="M703" s="72" t="str"/>
      <x:c r="N703" s="72" t="str"/>
      <x:c r="O703" s="72" t="str"/>
      <x:c r="P703" s="72" t="str">
        <x:v>Available</x:v>
      </x:c>
      <x:c r="Q703" s="72" t="n">
        <x:v>0</x:v>
      </x:c>
      <x:c r="R703" s="55" t="str">
        <x:f>IF($D703="","",ROUND(MAX(0,MIN(100,0.35*$J703+0.2*$K703+0.15*$L703+0.15*$M703+0.1*$N703+0.05*$O703-IF(OR($P703="Out",$P703="Suspended"),$Q703,IF($P703="Doubtful",$Q703*0.5,IF($P703="Limited",$Q703*0.25,0))))),2))</x:f>
      </x:c>
      <x:c r="S703" s="55" t="n">
        <x:f>IF($D703="",0,ROUND(IF(OR($P703="Out",$P703="Suspended"),$Q703*$H703,IF($P703="Doubtful",$Q703*$H703*0.5,IF($P703="Limited",$Q703*$H703*0.25,0))),2))</x:f>
        <x:v>0</x:v>
      </x:c>
      <x:c r="T703" s="55" t="str"/>
      <x:c r="U703" s="51" t="str"/>
    </x:row>
    <x:row r="704">
      <x:c r="A704" s="51" t="str">
        <x:v>Iran</x:v>
      </x:c>
      <x:c r="B704" s="51" t="str">
        <x:v>G</x:v>
      </x:c>
      <x:c r="C704" s="51" t="n">
        <x:v>24</x:v>
      </x:c>
      <x:c r="D704" s="71" t="str"/>
      <x:c r="E704" s="51" t="str">
        <x:v>ST</x:v>
      </x:c>
      <x:c r="F704" s="51" t="str">
        <x:v>Attack</x:v>
      </x:c>
      <x:c r="G704" s="51" t="str">
        <x:v>Depth</x:v>
      </x:c>
      <x:c r="H704" s="55" t="n">
        <x:v>0.1</x:v>
      </x:c>
      <x:c r="I704" s="51" t="str"/>
      <x:c r="J704" s="72" t="str"/>
      <x:c r="K704" s="72" t="str"/>
      <x:c r="L704" s="72" t="str"/>
      <x:c r="M704" s="72" t="str"/>
      <x:c r="N704" s="72" t="str"/>
      <x:c r="O704" s="72" t="str"/>
      <x:c r="P704" s="72" t="str">
        <x:v>Available</x:v>
      </x:c>
      <x:c r="Q704" s="72" t="n">
        <x:v>0</x:v>
      </x:c>
      <x:c r="R704" s="55" t="str">
        <x:f>IF($D704="","",ROUND(MAX(0,MIN(100,0.35*$J704+0.2*$K704+0.15*$L704+0.15*$M704+0.1*$N704+0.05*$O704-IF(OR($P704="Out",$P704="Suspended"),$Q704,IF($P704="Doubtful",$Q704*0.5,IF($P704="Limited",$Q704*0.25,0))))),2))</x:f>
      </x:c>
      <x:c r="S704" s="55" t="n">
        <x:f>IF($D704="",0,ROUND(IF(OR($P704="Out",$P704="Suspended"),$Q704*$H704,IF($P704="Doubtful",$Q704*$H704*0.5,IF($P704="Limited",$Q704*$H704*0.25,0))),2))</x:f>
        <x:v>0</x:v>
      </x:c>
      <x:c r="T704" s="55" t="str"/>
      <x:c r="U704" s="51" t="str"/>
    </x:row>
    <x:row r="705">
      <x:c r="A705" s="51" t="str">
        <x:v>Iran</x:v>
      </x:c>
      <x:c r="B705" s="51" t="str">
        <x:v>G</x:v>
      </x:c>
      <x:c r="C705" s="51" t="n">
        <x:v>25</x:v>
      </x:c>
      <x:c r="D705" s="71" t="str"/>
      <x:c r="E705" s="51" t="str">
        <x:v>ST</x:v>
      </x:c>
      <x:c r="F705" s="51" t="str">
        <x:v>Attack</x:v>
      </x:c>
      <x:c r="G705" s="51" t="str">
        <x:v>Depth</x:v>
      </x:c>
      <x:c r="H705" s="55" t="n">
        <x:v>0.1</x:v>
      </x:c>
      <x:c r="I705" s="51" t="str"/>
      <x:c r="J705" s="72" t="str"/>
      <x:c r="K705" s="72" t="str"/>
      <x:c r="L705" s="72" t="str"/>
      <x:c r="M705" s="72" t="str"/>
      <x:c r="N705" s="72" t="str"/>
      <x:c r="O705" s="72" t="str"/>
      <x:c r="P705" s="72" t="str">
        <x:v>Available</x:v>
      </x:c>
      <x:c r="Q705" s="72" t="n">
        <x:v>0</x:v>
      </x:c>
      <x:c r="R705" s="55" t="str">
        <x:f>IF($D705="","",ROUND(MAX(0,MIN(100,0.35*$J705+0.2*$K705+0.15*$L705+0.15*$M705+0.1*$N705+0.05*$O705-IF(OR($P705="Out",$P705="Suspended"),$Q705,IF($P705="Doubtful",$Q705*0.5,IF($P705="Limited",$Q705*0.25,0))))),2))</x:f>
      </x:c>
      <x:c r="S705" s="55" t="n">
        <x:f>IF($D705="",0,ROUND(IF(OR($P705="Out",$P705="Suspended"),$Q705*$H705,IF($P705="Doubtful",$Q705*$H705*0.5,IF($P705="Limited",$Q705*$H705*0.25,0))),2))</x:f>
        <x:v>0</x:v>
      </x:c>
      <x:c r="T705" s="55" t="str"/>
      <x:c r="U705" s="51" t="str"/>
    </x:row>
    <x:row r="706">
      <x:c r="A706" s="51" t="str">
        <x:v>Iran</x:v>
      </x:c>
      <x:c r="B706" s="51" t="str">
        <x:v>G</x:v>
      </x:c>
      <x:c r="C706" s="51" t="n">
        <x:v>26</x:v>
      </x:c>
      <x:c r="D706" s="71" t="str"/>
      <x:c r="E706" s="51" t="str">
        <x:v>ST</x:v>
      </x:c>
      <x:c r="F706" s="51" t="str">
        <x:v>Attack</x:v>
      </x:c>
      <x:c r="G706" s="51" t="str">
        <x:v>Depth</x:v>
      </x:c>
      <x:c r="H706" s="55" t="n">
        <x:v>0.1</x:v>
      </x:c>
      <x:c r="I706" s="51" t="str"/>
      <x:c r="J706" s="72" t="str"/>
      <x:c r="K706" s="72" t="str"/>
      <x:c r="L706" s="72" t="str"/>
      <x:c r="M706" s="72" t="str"/>
      <x:c r="N706" s="72" t="str"/>
      <x:c r="O706" s="72" t="str"/>
      <x:c r="P706" s="72" t="str">
        <x:v>Available</x:v>
      </x:c>
      <x:c r="Q706" s="72" t="n">
        <x:v>0</x:v>
      </x:c>
      <x:c r="R706" s="55" t="str">
        <x:f>IF($D706="","",ROUND(MAX(0,MIN(100,0.35*$J706+0.2*$K706+0.15*$L706+0.15*$M706+0.1*$N706+0.05*$O706-IF(OR($P706="Out",$P706="Suspended"),$Q706,IF($P706="Doubtful",$Q706*0.5,IF($P706="Limited",$Q706*0.25,0))))),2))</x:f>
      </x:c>
      <x:c r="S706" s="55" t="n">
        <x:f>IF($D706="",0,ROUND(IF(OR($P706="Out",$P706="Suspended"),$Q706*$H706,IF($P706="Doubtful",$Q706*$H706*0.5,IF($P706="Limited",$Q706*$H706*0.25,0))),2))</x:f>
        <x:v>0</x:v>
      </x:c>
      <x:c r="T706" s="55" t="str"/>
      <x:c r="U706" s="51" t="str"/>
    </x:row>
    <x:row r="707">
      <x:c r="A707" s="51" t="str">
        <x:v>New Zealand</x:v>
      </x:c>
      <x:c r="B707" s="51" t="str">
        <x:v>G</x:v>
      </x:c>
      <x:c r="C707" s="51" t="n">
        <x:v>1</x:v>
      </x:c>
      <x:c r="D707" s="71" t="str"/>
      <x:c r="E707" s="51" t="str">
        <x:v>GK</x:v>
      </x:c>
      <x:c r="F707" s="51" t="str">
        <x:v>GK</x:v>
      </x:c>
      <x:c r="G707" s="51" t="str">
        <x:v>Starter</x:v>
      </x:c>
      <x:c r="H707" s="55" t="n">
        <x:v>1</x:v>
      </x:c>
      <x:c r="I707" s="51" t="str"/>
      <x:c r="J707" s="72" t="str"/>
      <x:c r="K707" s="72" t="str"/>
      <x:c r="L707" s="72" t="str"/>
      <x:c r="M707" s="72" t="str"/>
      <x:c r="N707" s="72" t="str"/>
      <x:c r="O707" s="72" t="str"/>
      <x:c r="P707" s="72" t="str">
        <x:v>Available</x:v>
      </x:c>
      <x:c r="Q707" s="72" t="n">
        <x:v>0</x:v>
      </x:c>
      <x:c r="R707" s="55" t="str">
        <x:f>IF($D707="","",ROUND(MAX(0,MIN(100,0.35*$J707+0.2*$K707+0.15*$L707+0.15*$M707+0.1*$N707+0.05*$O707-IF(OR($P707="Out",$P707="Suspended"),$Q707,IF($P707="Doubtful",$Q707*0.5,IF($P707="Limited",$Q707*0.25,0))))),2))</x:f>
      </x:c>
      <x:c r="S707" s="55" t="n">
        <x:f>IF($D707="",0,ROUND(IF(OR($P707="Out",$P707="Suspended"),$Q707*$H707,IF($P707="Doubtful",$Q707*$H707*0.5,IF($P707="Limited",$Q707*$H707*0.25,0))),2))</x:f>
        <x:v>0</x:v>
      </x:c>
      <x:c r="T707" s="55" t="str"/>
      <x:c r="U707" s="51" t="str"/>
    </x:row>
    <x:row r="708">
      <x:c r="A708" s="51" t="str">
        <x:v>New Zealand</x:v>
      </x:c>
      <x:c r="B708" s="51" t="str">
        <x:v>G</x:v>
      </x:c>
      <x:c r="C708" s="51" t="n">
        <x:v>2</x:v>
      </x:c>
      <x:c r="D708" s="71" t="str"/>
      <x:c r="E708" s="51" t="str">
        <x:v>GK</x:v>
      </x:c>
      <x:c r="F708" s="51" t="str">
        <x:v>GK</x:v>
      </x:c>
      <x:c r="G708" s="51" t="str">
        <x:v>Starter</x:v>
      </x:c>
      <x:c r="H708" s="55" t="n">
        <x:v>1</x:v>
      </x:c>
      <x:c r="I708" s="51" t="str"/>
      <x:c r="J708" s="72" t="str"/>
      <x:c r="K708" s="72" t="str"/>
      <x:c r="L708" s="72" t="str"/>
      <x:c r="M708" s="72" t="str"/>
      <x:c r="N708" s="72" t="str"/>
      <x:c r="O708" s="72" t="str"/>
      <x:c r="P708" s="72" t="str">
        <x:v>Available</x:v>
      </x:c>
      <x:c r="Q708" s="72" t="n">
        <x:v>0</x:v>
      </x:c>
      <x:c r="R708" s="55" t="str">
        <x:f>IF($D708="","",ROUND(MAX(0,MIN(100,0.35*$J708+0.2*$K708+0.15*$L708+0.15*$M708+0.1*$N708+0.05*$O708-IF(OR($P708="Out",$P708="Suspended"),$Q708,IF($P708="Doubtful",$Q708*0.5,IF($P708="Limited",$Q708*0.25,0))))),2))</x:f>
      </x:c>
      <x:c r="S708" s="55" t="n">
        <x:f>IF($D708="",0,ROUND(IF(OR($P708="Out",$P708="Suspended"),$Q708*$H708,IF($P708="Doubtful",$Q708*$H708*0.5,IF($P708="Limited",$Q708*$H708*0.25,0))),2))</x:f>
        <x:v>0</x:v>
      </x:c>
      <x:c r="T708" s="55" t="str"/>
      <x:c r="U708" s="51" t="str"/>
    </x:row>
    <x:row r="709">
      <x:c r="A709" s="51" t="str">
        <x:v>New Zealand</x:v>
      </x:c>
      <x:c r="B709" s="51" t="str">
        <x:v>G</x:v>
      </x:c>
      <x:c r="C709" s="51" t="n">
        <x:v>3</x:v>
      </x:c>
      <x:c r="D709" s="71" t="str"/>
      <x:c r="E709" s="51" t="str">
        <x:v>GK</x:v>
      </x:c>
      <x:c r="F709" s="51" t="str">
        <x:v>GK</x:v>
      </x:c>
      <x:c r="G709" s="51" t="str">
        <x:v>Starter</x:v>
      </x:c>
      <x:c r="H709" s="55" t="n">
        <x:v>1</x:v>
      </x:c>
      <x:c r="I709" s="51" t="str"/>
      <x:c r="J709" s="72" t="str"/>
      <x:c r="K709" s="72" t="str"/>
      <x:c r="L709" s="72" t="str"/>
      <x:c r="M709" s="72" t="str"/>
      <x:c r="N709" s="72" t="str"/>
      <x:c r="O709" s="72" t="str"/>
      <x:c r="P709" s="72" t="str">
        <x:v>Available</x:v>
      </x:c>
      <x:c r="Q709" s="72" t="n">
        <x:v>0</x:v>
      </x:c>
      <x:c r="R709" s="55" t="str">
        <x:f>IF($D709="","",ROUND(MAX(0,MIN(100,0.35*$J709+0.2*$K709+0.15*$L709+0.15*$M709+0.1*$N709+0.05*$O709-IF(OR($P709="Out",$P709="Suspended"),$Q709,IF($P709="Doubtful",$Q709*0.5,IF($P709="Limited",$Q709*0.25,0))))),2))</x:f>
      </x:c>
      <x:c r="S709" s="55" t="n">
        <x:f>IF($D709="",0,ROUND(IF(OR($P709="Out",$P709="Suspended"),$Q709*$H709,IF($P709="Doubtful",$Q709*$H709*0.5,IF($P709="Limited",$Q709*$H709*0.25,0))),2))</x:f>
        <x:v>0</x:v>
      </x:c>
      <x:c r="T709" s="55" t="str"/>
      <x:c r="U709" s="51" t="str"/>
    </x:row>
    <x:row r="710">
      <x:c r="A710" s="51" t="str">
        <x:v>New Zealand</x:v>
      </x:c>
      <x:c r="B710" s="51" t="str">
        <x:v>G</x:v>
      </x:c>
      <x:c r="C710" s="51" t="n">
        <x:v>4</x:v>
      </x:c>
      <x:c r="D710" s="71" t="str"/>
      <x:c r="E710" s="51" t="str">
        <x:v>CB</x:v>
      </x:c>
      <x:c r="F710" s="51" t="str">
        <x:v>Defence</x:v>
      </x:c>
      <x:c r="G710" s="51" t="str">
        <x:v>Starter</x:v>
      </x:c>
      <x:c r="H710" s="55" t="n">
        <x:v>1</x:v>
      </x:c>
      <x:c r="I710" s="51" t="str"/>
      <x:c r="J710" s="72" t="str"/>
      <x:c r="K710" s="72" t="str"/>
      <x:c r="L710" s="72" t="str"/>
      <x:c r="M710" s="72" t="str"/>
      <x:c r="N710" s="72" t="str"/>
      <x:c r="O710" s="72" t="str"/>
      <x:c r="P710" s="72" t="str">
        <x:v>Available</x:v>
      </x:c>
      <x:c r="Q710" s="72" t="n">
        <x:v>0</x:v>
      </x:c>
      <x:c r="R710" s="55" t="str">
        <x:f>IF($D710="","",ROUND(MAX(0,MIN(100,0.35*$J710+0.2*$K710+0.15*$L710+0.15*$M710+0.1*$N710+0.05*$O710-IF(OR($P710="Out",$P710="Suspended"),$Q710,IF($P710="Doubtful",$Q710*0.5,IF($P710="Limited",$Q710*0.25,0))))),2))</x:f>
      </x:c>
      <x:c r="S710" s="55" t="n">
        <x:f>IF($D710="",0,ROUND(IF(OR($P710="Out",$P710="Suspended"),$Q710*$H710,IF($P710="Doubtful",$Q710*$H710*0.5,IF($P710="Limited",$Q710*$H710*0.25,0))),2))</x:f>
        <x:v>0</x:v>
      </x:c>
      <x:c r="T710" s="55" t="str"/>
      <x:c r="U710" s="51" t="str"/>
    </x:row>
    <x:row r="711">
      <x:c r="A711" s="51" t="str">
        <x:v>New Zealand</x:v>
      </x:c>
      <x:c r="B711" s="51" t="str">
        <x:v>G</x:v>
      </x:c>
      <x:c r="C711" s="51" t="n">
        <x:v>5</x:v>
      </x:c>
      <x:c r="D711" s="71" t="str"/>
      <x:c r="E711" s="51" t="str">
        <x:v>CB</x:v>
      </x:c>
      <x:c r="F711" s="51" t="str">
        <x:v>Defence</x:v>
      </x:c>
      <x:c r="G711" s="51" t="str">
        <x:v>Starter</x:v>
      </x:c>
      <x:c r="H711" s="55" t="n">
        <x:v>1</x:v>
      </x:c>
      <x:c r="I711" s="51" t="str"/>
      <x:c r="J711" s="72" t="str"/>
      <x:c r="K711" s="72" t="str"/>
      <x:c r="L711" s="72" t="str"/>
      <x:c r="M711" s="72" t="str"/>
      <x:c r="N711" s="72" t="str"/>
      <x:c r="O711" s="72" t="str"/>
      <x:c r="P711" s="72" t="str">
        <x:v>Available</x:v>
      </x:c>
      <x:c r="Q711" s="72" t="n">
        <x:v>0</x:v>
      </x:c>
      <x:c r="R711" s="55" t="str">
        <x:f>IF($D711="","",ROUND(MAX(0,MIN(100,0.35*$J711+0.2*$K711+0.15*$L711+0.15*$M711+0.1*$N711+0.05*$O711-IF(OR($P711="Out",$P711="Suspended"),$Q711,IF($P711="Doubtful",$Q711*0.5,IF($P711="Limited",$Q711*0.25,0))))),2))</x:f>
      </x:c>
      <x:c r="S711" s="55" t="n">
        <x:f>IF($D711="",0,ROUND(IF(OR($P711="Out",$P711="Suspended"),$Q711*$H711,IF($P711="Doubtful",$Q711*$H711*0.5,IF($P711="Limited",$Q711*$H711*0.25,0))),2))</x:f>
        <x:v>0</x:v>
      </x:c>
      <x:c r="T711" s="55" t="str"/>
      <x:c r="U711" s="51" t="str"/>
    </x:row>
    <x:row r="712">
      <x:c r="A712" s="51" t="str">
        <x:v>New Zealand</x:v>
      </x:c>
      <x:c r="B712" s="51" t="str">
        <x:v>G</x:v>
      </x:c>
      <x:c r="C712" s="51" t="n">
        <x:v>6</x:v>
      </x:c>
      <x:c r="D712" s="71" t="str"/>
      <x:c r="E712" s="51" t="str">
        <x:v>CB</x:v>
      </x:c>
      <x:c r="F712" s="51" t="str">
        <x:v>Defence</x:v>
      </x:c>
      <x:c r="G712" s="51" t="str">
        <x:v>Starter</x:v>
      </x:c>
      <x:c r="H712" s="55" t="n">
        <x:v>1</x:v>
      </x:c>
      <x:c r="I712" s="51" t="str"/>
      <x:c r="J712" s="72" t="str"/>
      <x:c r="K712" s="72" t="str"/>
      <x:c r="L712" s="72" t="str"/>
      <x:c r="M712" s="72" t="str"/>
      <x:c r="N712" s="72" t="str"/>
      <x:c r="O712" s="72" t="str"/>
      <x:c r="P712" s="72" t="str">
        <x:v>Available</x:v>
      </x:c>
      <x:c r="Q712" s="72" t="n">
        <x:v>0</x:v>
      </x:c>
      <x:c r="R712" s="55" t="str">
        <x:f>IF($D712="","",ROUND(MAX(0,MIN(100,0.35*$J712+0.2*$K712+0.15*$L712+0.15*$M712+0.1*$N712+0.05*$O712-IF(OR($P712="Out",$P712="Suspended"),$Q712,IF($P712="Doubtful",$Q712*0.5,IF($P712="Limited",$Q712*0.25,0))))),2))</x:f>
      </x:c>
      <x:c r="S712" s="55" t="n">
        <x:f>IF($D712="",0,ROUND(IF(OR($P712="Out",$P712="Suspended"),$Q712*$H712,IF($P712="Doubtful",$Q712*$H712*0.5,IF($P712="Limited",$Q712*$H712*0.25,0))),2))</x:f>
        <x:v>0</x:v>
      </x:c>
      <x:c r="T712" s="55" t="str"/>
      <x:c r="U712" s="51" t="str"/>
    </x:row>
    <x:row r="713">
      <x:c r="A713" s="51" t="str">
        <x:v>New Zealand</x:v>
      </x:c>
      <x:c r="B713" s="51" t="str">
        <x:v>G</x:v>
      </x:c>
      <x:c r="C713" s="51" t="n">
        <x:v>7</x:v>
      </x:c>
      <x:c r="D713" s="71" t="str"/>
      <x:c r="E713" s="51" t="str">
        <x:v>FB</x:v>
      </x:c>
      <x:c r="F713" s="51" t="str">
        <x:v>Defence</x:v>
      </x:c>
      <x:c r="G713" s="51" t="str">
        <x:v>Starter</x:v>
      </x:c>
      <x:c r="H713" s="55" t="n">
        <x:v>1</x:v>
      </x:c>
      <x:c r="I713" s="51" t="str"/>
      <x:c r="J713" s="72" t="str"/>
      <x:c r="K713" s="72" t="str"/>
      <x:c r="L713" s="72" t="str"/>
      <x:c r="M713" s="72" t="str"/>
      <x:c r="N713" s="72" t="str"/>
      <x:c r="O713" s="72" t="str"/>
      <x:c r="P713" s="72" t="str">
        <x:v>Available</x:v>
      </x:c>
      <x:c r="Q713" s="72" t="n">
        <x:v>0</x:v>
      </x:c>
      <x:c r="R713" s="55" t="str">
        <x:f>IF($D713="","",ROUND(MAX(0,MIN(100,0.35*$J713+0.2*$K713+0.15*$L713+0.15*$M713+0.1*$N713+0.05*$O713-IF(OR($P713="Out",$P713="Suspended"),$Q713,IF($P713="Doubtful",$Q713*0.5,IF($P713="Limited",$Q713*0.25,0))))),2))</x:f>
      </x:c>
      <x:c r="S713" s="55" t="n">
        <x:f>IF($D713="",0,ROUND(IF(OR($P713="Out",$P713="Suspended"),$Q713*$H713,IF($P713="Doubtful",$Q713*$H713*0.5,IF($P713="Limited",$Q713*$H713*0.25,0))),2))</x:f>
        <x:v>0</x:v>
      </x:c>
      <x:c r="T713" s="55" t="str"/>
      <x:c r="U713" s="51" t="str"/>
    </x:row>
    <x:row r="714">
      <x:c r="A714" s="51" t="str">
        <x:v>New Zealand</x:v>
      </x:c>
      <x:c r="B714" s="51" t="str">
        <x:v>G</x:v>
      </x:c>
      <x:c r="C714" s="51" t="n">
        <x:v>8</x:v>
      </x:c>
      <x:c r="D714" s="71" t="str"/>
      <x:c r="E714" s="51" t="str">
        <x:v>FB</x:v>
      </x:c>
      <x:c r="F714" s="51" t="str">
        <x:v>Defence</x:v>
      </x:c>
      <x:c r="G714" s="51" t="str">
        <x:v>Starter</x:v>
      </x:c>
      <x:c r="H714" s="55" t="n">
        <x:v>1</x:v>
      </x:c>
      <x:c r="I714" s="51" t="str"/>
      <x:c r="J714" s="72" t="str"/>
      <x:c r="K714" s="72" t="str"/>
      <x:c r="L714" s="72" t="str"/>
      <x:c r="M714" s="72" t="str"/>
      <x:c r="N714" s="72" t="str"/>
      <x:c r="O714" s="72" t="str"/>
      <x:c r="P714" s="72" t="str">
        <x:v>Available</x:v>
      </x:c>
      <x:c r="Q714" s="72" t="n">
        <x:v>0</x:v>
      </x:c>
      <x:c r="R714" s="55" t="str">
        <x:f>IF($D714="","",ROUND(MAX(0,MIN(100,0.35*$J714+0.2*$K714+0.15*$L714+0.15*$M714+0.1*$N714+0.05*$O714-IF(OR($P714="Out",$P714="Suspended"),$Q714,IF($P714="Doubtful",$Q714*0.5,IF($P714="Limited",$Q714*0.25,0))))),2))</x:f>
      </x:c>
      <x:c r="S714" s="55" t="n">
        <x:f>IF($D714="",0,ROUND(IF(OR($P714="Out",$P714="Suspended"),$Q714*$H714,IF($P714="Doubtful",$Q714*$H714*0.5,IF($P714="Limited",$Q714*$H714*0.25,0))),2))</x:f>
        <x:v>0</x:v>
      </x:c>
      <x:c r="T714" s="55" t="str"/>
      <x:c r="U714" s="51" t="str"/>
    </x:row>
    <x:row r="715">
      <x:c r="A715" s="51" t="str">
        <x:v>New Zealand</x:v>
      </x:c>
      <x:c r="B715" s="51" t="str">
        <x:v>G</x:v>
      </x:c>
      <x:c r="C715" s="51" t="n">
        <x:v>9</x:v>
      </x:c>
      <x:c r="D715" s="71" t="str"/>
      <x:c r="E715" s="51" t="str">
        <x:v>DM</x:v>
      </x:c>
      <x:c r="F715" s="51" t="str">
        <x:v>Midfield</x:v>
      </x:c>
      <x:c r="G715" s="51" t="str">
        <x:v>Starter</x:v>
      </x:c>
      <x:c r="H715" s="55" t="n">
        <x:v>1</x:v>
      </x:c>
      <x:c r="I715" s="51" t="str"/>
      <x:c r="J715" s="72" t="str"/>
      <x:c r="K715" s="72" t="str"/>
      <x:c r="L715" s="72" t="str"/>
      <x:c r="M715" s="72" t="str"/>
      <x:c r="N715" s="72" t="str"/>
      <x:c r="O715" s="72" t="str"/>
      <x:c r="P715" s="72" t="str">
        <x:v>Available</x:v>
      </x:c>
      <x:c r="Q715" s="72" t="n">
        <x:v>0</x:v>
      </x:c>
      <x:c r="R715" s="55" t="str">
        <x:f>IF($D715="","",ROUND(MAX(0,MIN(100,0.35*$J715+0.2*$K715+0.15*$L715+0.15*$M715+0.1*$N715+0.05*$O715-IF(OR($P715="Out",$P715="Suspended"),$Q715,IF($P715="Doubtful",$Q715*0.5,IF($P715="Limited",$Q715*0.25,0))))),2))</x:f>
      </x:c>
      <x:c r="S715" s="55" t="n">
        <x:f>IF($D715="",0,ROUND(IF(OR($P715="Out",$P715="Suspended"),$Q715*$H715,IF($P715="Doubtful",$Q715*$H715*0.5,IF($P715="Limited",$Q715*$H715*0.25,0))),2))</x:f>
        <x:v>0</x:v>
      </x:c>
      <x:c r="T715" s="55" t="str"/>
      <x:c r="U715" s="51" t="str"/>
    </x:row>
    <x:row r="716">
      <x:c r="A716" s="51" t="str">
        <x:v>New Zealand</x:v>
      </x:c>
      <x:c r="B716" s="51" t="str">
        <x:v>G</x:v>
      </x:c>
      <x:c r="C716" s="51" t="n">
        <x:v>10</x:v>
      </x:c>
      <x:c r="D716" s="71" t="str"/>
      <x:c r="E716" s="51" t="str">
        <x:v>DM</x:v>
      </x:c>
      <x:c r="F716" s="51" t="str">
        <x:v>Midfield</x:v>
      </x:c>
      <x:c r="G716" s="51" t="str">
        <x:v>Starter</x:v>
      </x:c>
      <x:c r="H716" s="55" t="n">
        <x:v>1</x:v>
      </x:c>
      <x:c r="I716" s="51" t="str"/>
      <x:c r="J716" s="72" t="str"/>
      <x:c r="K716" s="72" t="str"/>
      <x:c r="L716" s="72" t="str"/>
      <x:c r="M716" s="72" t="str"/>
      <x:c r="N716" s="72" t="str"/>
      <x:c r="O716" s="72" t="str"/>
      <x:c r="P716" s="72" t="str">
        <x:v>Available</x:v>
      </x:c>
      <x:c r="Q716" s="72" t="n">
        <x:v>0</x:v>
      </x:c>
      <x:c r="R716" s="55" t="str">
        <x:f>IF($D716="","",ROUND(MAX(0,MIN(100,0.35*$J716+0.2*$K716+0.15*$L716+0.15*$M716+0.1*$N716+0.05*$O716-IF(OR($P716="Out",$P716="Suspended"),$Q716,IF($P716="Doubtful",$Q716*0.5,IF($P716="Limited",$Q716*0.25,0))))),2))</x:f>
      </x:c>
      <x:c r="S716" s="55" t="n">
        <x:f>IF($D716="",0,ROUND(IF(OR($P716="Out",$P716="Suspended"),$Q716*$H716,IF($P716="Doubtful",$Q716*$H716*0.5,IF($P716="Limited",$Q716*$H716*0.25,0))),2))</x:f>
        <x:v>0</x:v>
      </x:c>
      <x:c r="T716" s="55" t="str"/>
      <x:c r="U716" s="51" t="str"/>
    </x:row>
    <x:row r="717">
      <x:c r="A717" s="51" t="str">
        <x:v>New Zealand</x:v>
      </x:c>
      <x:c r="B717" s="51" t="str">
        <x:v>G</x:v>
      </x:c>
      <x:c r="C717" s="51" t="n">
        <x:v>11</x:v>
      </x:c>
      <x:c r="D717" s="71" t="str"/>
      <x:c r="E717" s="51" t="str">
        <x:v>DM</x:v>
      </x:c>
      <x:c r="F717" s="51" t="str">
        <x:v>Midfield</x:v>
      </x:c>
      <x:c r="G717" s="51" t="str">
        <x:v>Starter</x:v>
      </x:c>
      <x:c r="H717" s="55" t="n">
        <x:v>1</x:v>
      </x:c>
      <x:c r="I717" s="51" t="str"/>
      <x:c r="J717" s="72" t="str"/>
      <x:c r="K717" s="72" t="str"/>
      <x:c r="L717" s="72" t="str"/>
      <x:c r="M717" s="72" t="str"/>
      <x:c r="N717" s="72" t="str"/>
      <x:c r="O717" s="72" t="str"/>
      <x:c r="P717" s="72" t="str">
        <x:v>Available</x:v>
      </x:c>
      <x:c r="Q717" s="72" t="n">
        <x:v>0</x:v>
      </x:c>
      <x:c r="R717" s="55" t="str">
        <x:f>IF($D717="","",ROUND(MAX(0,MIN(100,0.35*$J717+0.2*$K717+0.15*$L717+0.15*$M717+0.1*$N717+0.05*$O717-IF(OR($P717="Out",$P717="Suspended"),$Q717,IF($P717="Doubtful",$Q717*0.5,IF($P717="Limited",$Q717*0.25,0))))),2))</x:f>
      </x:c>
      <x:c r="S717" s="55" t="n">
        <x:f>IF($D717="",0,ROUND(IF(OR($P717="Out",$P717="Suspended"),$Q717*$H717,IF($P717="Doubtful",$Q717*$H717*0.5,IF($P717="Limited",$Q717*$H717*0.25,0))),2))</x:f>
        <x:v>0</x:v>
      </x:c>
      <x:c r="T717" s="55" t="str"/>
      <x:c r="U717" s="51" t="str"/>
    </x:row>
    <x:row r="718">
      <x:c r="A718" s="51" t="str">
        <x:v>New Zealand</x:v>
      </x:c>
      <x:c r="B718" s="51" t="str">
        <x:v>G</x:v>
      </x:c>
      <x:c r="C718" s="51" t="n">
        <x:v>12</x:v>
      </x:c>
      <x:c r="D718" s="71" t="str"/>
      <x:c r="E718" s="51" t="str">
        <x:v>CM</x:v>
      </x:c>
      <x:c r="F718" s="51" t="str">
        <x:v>Midfield</x:v>
      </x:c>
      <x:c r="G718" s="51" t="str">
        <x:v>Rotation</x:v>
      </x:c>
      <x:c r="H718" s="55" t="n">
        <x:v>0.35</x:v>
      </x:c>
      <x:c r="I718" s="51" t="str"/>
      <x:c r="J718" s="72" t="str"/>
      <x:c r="K718" s="72" t="str"/>
      <x:c r="L718" s="72" t="str"/>
      <x:c r="M718" s="72" t="str"/>
      <x:c r="N718" s="72" t="str"/>
      <x:c r="O718" s="72" t="str"/>
      <x:c r="P718" s="72" t="str">
        <x:v>Available</x:v>
      </x:c>
      <x:c r="Q718" s="72" t="n">
        <x:v>0</x:v>
      </x:c>
      <x:c r="R718" s="55" t="str">
        <x:f>IF($D718="","",ROUND(MAX(0,MIN(100,0.35*$J718+0.2*$K718+0.15*$L718+0.15*$M718+0.1*$N718+0.05*$O718-IF(OR($P718="Out",$P718="Suspended"),$Q718,IF($P718="Doubtful",$Q718*0.5,IF($P718="Limited",$Q718*0.25,0))))),2))</x:f>
      </x:c>
      <x:c r="S718" s="55" t="n">
        <x:f>IF($D718="",0,ROUND(IF(OR($P718="Out",$P718="Suspended"),$Q718*$H718,IF($P718="Doubtful",$Q718*$H718*0.5,IF($P718="Limited",$Q718*$H718*0.25,0))),2))</x:f>
        <x:v>0</x:v>
      </x:c>
      <x:c r="T718" s="55" t="str"/>
      <x:c r="U718" s="51" t="str"/>
    </x:row>
    <x:row r="719">
      <x:c r="A719" s="51" t="str">
        <x:v>New Zealand</x:v>
      </x:c>
      <x:c r="B719" s="51" t="str">
        <x:v>G</x:v>
      </x:c>
      <x:c r="C719" s="51" t="n">
        <x:v>13</x:v>
      </x:c>
      <x:c r="D719" s="71" t="str"/>
      <x:c r="E719" s="51" t="str">
        <x:v>CM</x:v>
      </x:c>
      <x:c r="F719" s="51" t="str">
        <x:v>Midfield</x:v>
      </x:c>
      <x:c r="G719" s="51" t="str">
        <x:v>Rotation</x:v>
      </x:c>
      <x:c r="H719" s="55" t="n">
        <x:v>0.35</x:v>
      </x:c>
      <x:c r="I719" s="51" t="str"/>
      <x:c r="J719" s="72" t="str"/>
      <x:c r="K719" s="72" t="str"/>
      <x:c r="L719" s="72" t="str"/>
      <x:c r="M719" s="72" t="str"/>
      <x:c r="N719" s="72" t="str"/>
      <x:c r="O719" s="72" t="str"/>
      <x:c r="P719" s="72" t="str">
        <x:v>Available</x:v>
      </x:c>
      <x:c r="Q719" s="72" t="n">
        <x:v>0</x:v>
      </x:c>
      <x:c r="R719" s="55" t="str">
        <x:f>IF($D719="","",ROUND(MAX(0,MIN(100,0.35*$J719+0.2*$K719+0.15*$L719+0.15*$M719+0.1*$N719+0.05*$O719-IF(OR($P719="Out",$P719="Suspended"),$Q719,IF($P719="Doubtful",$Q719*0.5,IF($P719="Limited",$Q719*0.25,0))))),2))</x:f>
      </x:c>
      <x:c r="S719" s="55" t="n">
        <x:f>IF($D719="",0,ROUND(IF(OR($P719="Out",$P719="Suspended"),$Q719*$H719,IF($P719="Doubtful",$Q719*$H719*0.5,IF($P719="Limited",$Q719*$H719*0.25,0))),2))</x:f>
        <x:v>0</x:v>
      </x:c>
      <x:c r="T719" s="55" t="str"/>
      <x:c r="U719" s="51" t="str"/>
    </x:row>
    <x:row r="720">
      <x:c r="A720" s="51" t="str">
        <x:v>New Zealand</x:v>
      </x:c>
      <x:c r="B720" s="51" t="str">
        <x:v>G</x:v>
      </x:c>
      <x:c r="C720" s="51" t="n">
        <x:v>14</x:v>
      </x:c>
      <x:c r="D720" s="71" t="str"/>
      <x:c r="E720" s="51" t="str">
        <x:v>CM</x:v>
      </x:c>
      <x:c r="F720" s="51" t="str">
        <x:v>Midfield</x:v>
      </x:c>
      <x:c r="G720" s="51" t="str">
        <x:v>Rotation</x:v>
      </x:c>
      <x:c r="H720" s="55" t="n">
        <x:v>0.35</x:v>
      </x:c>
      <x:c r="I720" s="51" t="str"/>
      <x:c r="J720" s="72" t="str"/>
      <x:c r="K720" s="72" t="str"/>
      <x:c r="L720" s="72" t="str"/>
      <x:c r="M720" s="72" t="str"/>
      <x:c r="N720" s="72" t="str"/>
      <x:c r="O720" s="72" t="str"/>
      <x:c r="P720" s="72" t="str">
        <x:v>Available</x:v>
      </x:c>
      <x:c r="Q720" s="72" t="n">
        <x:v>0</x:v>
      </x:c>
      <x:c r="R720" s="55" t="str">
        <x:f>IF($D720="","",ROUND(MAX(0,MIN(100,0.35*$J720+0.2*$K720+0.15*$L720+0.15*$M720+0.1*$N720+0.05*$O720-IF(OR($P720="Out",$P720="Suspended"),$Q720,IF($P720="Doubtful",$Q720*0.5,IF($P720="Limited",$Q720*0.25,0))))),2))</x:f>
      </x:c>
      <x:c r="S720" s="55" t="n">
        <x:f>IF($D720="",0,ROUND(IF(OR($P720="Out",$P720="Suspended"),$Q720*$H720,IF($P720="Doubtful",$Q720*$H720*0.5,IF($P720="Limited",$Q720*$H720*0.25,0))),2))</x:f>
        <x:v>0</x:v>
      </x:c>
      <x:c r="T720" s="55" t="str"/>
      <x:c r="U720" s="51" t="str"/>
    </x:row>
    <x:row r="721">
      <x:c r="A721" s="51" t="str">
        <x:v>New Zealand</x:v>
      </x:c>
      <x:c r="B721" s="51" t="str">
        <x:v>G</x:v>
      </x:c>
      <x:c r="C721" s="51" t="n">
        <x:v>15</x:v>
      </x:c>
      <x:c r="D721" s="71" t="str"/>
      <x:c r="E721" s="51" t="str">
        <x:v>CM</x:v>
      </x:c>
      <x:c r="F721" s="51" t="str">
        <x:v>Midfield</x:v>
      </x:c>
      <x:c r="G721" s="51" t="str">
        <x:v>Rotation</x:v>
      </x:c>
      <x:c r="H721" s="55" t="n">
        <x:v>0.35</x:v>
      </x:c>
      <x:c r="I721" s="51" t="str"/>
      <x:c r="J721" s="72" t="str"/>
      <x:c r="K721" s="72" t="str"/>
      <x:c r="L721" s="72" t="str"/>
      <x:c r="M721" s="72" t="str"/>
      <x:c r="N721" s="72" t="str"/>
      <x:c r="O721" s="72" t="str"/>
      <x:c r="P721" s="72" t="str">
        <x:v>Available</x:v>
      </x:c>
      <x:c r="Q721" s="72" t="n">
        <x:v>0</x:v>
      </x:c>
      <x:c r="R721" s="55" t="str">
        <x:f>IF($D721="","",ROUND(MAX(0,MIN(100,0.35*$J721+0.2*$K721+0.15*$L721+0.15*$M721+0.1*$N721+0.05*$O721-IF(OR($P721="Out",$P721="Suspended"),$Q721,IF($P721="Doubtful",$Q721*0.5,IF($P721="Limited",$Q721*0.25,0))))),2))</x:f>
      </x:c>
      <x:c r="S721" s="55" t="n">
        <x:f>IF($D721="",0,ROUND(IF(OR($P721="Out",$P721="Suspended"),$Q721*$H721,IF($P721="Doubtful",$Q721*$H721*0.5,IF($P721="Limited",$Q721*$H721*0.25,0))),2))</x:f>
        <x:v>0</x:v>
      </x:c>
      <x:c r="T721" s="55" t="str"/>
      <x:c r="U721" s="51" t="str"/>
    </x:row>
    <x:row r="722">
      <x:c r="A722" s="51" t="str">
        <x:v>New Zealand</x:v>
      </x:c>
      <x:c r="B722" s="51" t="str">
        <x:v>G</x:v>
      </x:c>
      <x:c r="C722" s="51" t="n">
        <x:v>16</x:v>
      </x:c>
      <x:c r="D722" s="71" t="str"/>
      <x:c r="E722" s="51" t="str">
        <x:v>AM</x:v>
      </x:c>
      <x:c r="F722" s="51" t="str">
        <x:v>Attack</x:v>
      </x:c>
      <x:c r="G722" s="51" t="str">
        <x:v>Rotation</x:v>
      </x:c>
      <x:c r="H722" s="55" t="n">
        <x:v>0.35</x:v>
      </x:c>
      <x:c r="I722" s="51" t="str"/>
      <x:c r="J722" s="72" t="str"/>
      <x:c r="K722" s="72" t="str"/>
      <x:c r="L722" s="72" t="str"/>
      <x:c r="M722" s="72" t="str"/>
      <x:c r="N722" s="72" t="str"/>
      <x:c r="O722" s="72" t="str"/>
      <x:c r="P722" s="72" t="str">
        <x:v>Available</x:v>
      </x:c>
      <x:c r="Q722" s="72" t="n">
        <x:v>0</x:v>
      </x:c>
      <x:c r="R722" s="55" t="str">
        <x:f>IF($D722="","",ROUND(MAX(0,MIN(100,0.35*$J722+0.2*$K722+0.15*$L722+0.15*$M722+0.1*$N722+0.05*$O722-IF(OR($P722="Out",$P722="Suspended"),$Q722,IF($P722="Doubtful",$Q722*0.5,IF($P722="Limited",$Q722*0.25,0))))),2))</x:f>
      </x:c>
      <x:c r="S722" s="55" t="n">
        <x:f>IF($D722="",0,ROUND(IF(OR($P722="Out",$P722="Suspended"),$Q722*$H722,IF($P722="Doubtful",$Q722*$H722*0.5,IF($P722="Limited",$Q722*$H722*0.25,0))),2))</x:f>
        <x:v>0</x:v>
      </x:c>
      <x:c r="T722" s="55" t="str"/>
      <x:c r="U722" s="51" t="str"/>
    </x:row>
    <x:row r="723">
      <x:c r="A723" s="51" t="str">
        <x:v>New Zealand</x:v>
      </x:c>
      <x:c r="B723" s="51" t="str">
        <x:v>G</x:v>
      </x:c>
      <x:c r="C723" s="51" t="n">
        <x:v>17</x:v>
      </x:c>
      <x:c r="D723" s="71" t="str"/>
      <x:c r="E723" s="51" t="str">
        <x:v>AM</x:v>
      </x:c>
      <x:c r="F723" s="51" t="str">
        <x:v>Attack</x:v>
      </x:c>
      <x:c r="G723" s="51" t="str">
        <x:v>Rotation</x:v>
      </x:c>
      <x:c r="H723" s="55" t="n">
        <x:v>0.35</x:v>
      </x:c>
      <x:c r="I723" s="51" t="str"/>
      <x:c r="J723" s="72" t="str"/>
      <x:c r="K723" s="72" t="str"/>
      <x:c r="L723" s="72" t="str"/>
      <x:c r="M723" s="72" t="str"/>
      <x:c r="N723" s="72" t="str"/>
      <x:c r="O723" s="72" t="str"/>
      <x:c r="P723" s="72" t="str">
        <x:v>Available</x:v>
      </x:c>
      <x:c r="Q723" s="72" t="n">
        <x:v>0</x:v>
      </x:c>
      <x:c r="R723" s="55" t="str">
        <x:f>IF($D723="","",ROUND(MAX(0,MIN(100,0.35*$J723+0.2*$K723+0.15*$L723+0.15*$M723+0.1*$N723+0.05*$O723-IF(OR($P723="Out",$P723="Suspended"),$Q723,IF($P723="Doubtful",$Q723*0.5,IF($P723="Limited",$Q723*0.25,0))))),2))</x:f>
      </x:c>
      <x:c r="S723" s="55" t="n">
        <x:f>IF($D723="",0,ROUND(IF(OR($P723="Out",$P723="Suspended"),$Q723*$H723,IF($P723="Doubtful",$Q723*$H723*0.5,IF($P723="Limited",$Q723*$H723*0.25,0))),2))</x:f>
        <x:v>0</x:v>
      </x:c>
      <x:c r="T723" s="55" t="str"/>
      <x:c r="U723" s="51" t="str"/>
    </x:row>
    <x:row r="724">
      <x:c r="A724" s="51" t="str">
        <x:v>New Zealand</x:v>
      </x:c>
      <x:c r="B724" s="51" t="str">
        <x:v>G</x:v>
      </x:c>
      <x:c r="C724" s="51" t="n">
        <x:v>18</x:v>
      </x:c>
      <x:c r="D724" s="71" t="str"/>
      <x:c r="E724" s="51" t="str">
        <x:v>AM</x:v>
      </x:c>
      <x:c r="F724" s="51" t="str">
        <x:v>Attack</x:v>
      </x:c>
      <x:c r="G724" s="51" t="str">
        <x:v>Rotation</x:v>
      </x:c>
      <x:c r="H724" s="55" t="n">
        <x:v>0.35</x:v>
      </x:c>
      <x:c r="I724" s="51" t="str"/>
      <x:c r="J724" s="72" t="str"/>
      <x:c r="K724" s="72" t="str"/>
      <x:c r="L724" s="72" t="str"/>
      <x:c r="M724" s="72" t="str"/>
      <x:c r="N724" s="72" t="str"/>
      <x:c r="O724" s="72" t="str"/>
      <x:c r="P724" s="72" t="str">
        <x:v>Available</x:v>
      </x:c>
      <x:c r="Q724" s="72" t="n">
        <x:v>0</x:v>
      </x:c>
      <x:c r="R724" s="55" t="str">
        <x:f>IF($D724="","",ROUND(MAX(0,MIN(100,0.35*$J724+0.2*$K724+0.15*$L724+0.15*$M724+0.1*$N724+0.05*$O724-IF(OR($P724="Out",$P724="Suspended"),$Q724,IF($P724="Doubtful",$Q724*0.5,IF($P724="Limited",$Q724*0.25,0))))),2))</x:f>
      </x:c>
      <x:c r="S724" s="55" t="n">
        <x:f>IF($D724="",0,ROUND(IF(OR($P724="Out",$P724="Suspended"),$Q724*$H724,IF($P724="Doubtful",$Q724*$H724*0.5,IF($P724="Limited",$Q724*$H724*0.25,0))),2))</x:f>
        <x:v>0</x:v>
      </x:c>
      <x:c r="T724" s="55" t="str"/>
      <x:c r="U724" s="51" t="str"/>
    </x:row>
    <x:row r="725">
      <x:c r="A725" s="51" t="str">
        <x:v>New Zealand</x:v>
      </x:c>
      <x:c r="B725" s="51" t="str">
        <x:v>G</x:v>
      </x:c>
      <x:c r="C725" s="51" t="n">
        <x:v>19</x:v>
      </x:c>
      <x:c r="D725" s="71" t="str"/>
      <x:c r="E725" s="51" t="str">
        <x:v>AM</x:v>
      </x:c>
      <x:c r="F725" s="51" t="str">
        <x:v>Attack</x:v>
      </x:c>
      <x:c r="G725" s="51" t="str">
        <x:v>Rotation</x:v>
      </x:c>
      <x:c r="H725" s="55" t="n">
        <x:v>0.35</x:v>
      </x:c>
      <x:c r="I725" s="51" t="str"/>
      <x:c r="J725" s="72" t="str"/>
      <x:c r="K725" s="72" t="str"/>
      <x:c r="L725" s="72" t="str"/>
      <x:c r="M725" s="72" t="str"/>
      <x:c r="N725" s="72" t="str"/>
      <x:c r="O725" s="72" t="str"/>
      <x:c r="P725" s="72" t="str">
        <x:v>Available</x:v>
      </x:c>
      <x:c r="Q725" s="72" t="n">
        <x:v>0</x:v>
      </x:c>
      <x:c r="R725" s="55" t="str">
        <x:f>IF($D725="","",ROUND(MAX(0,MIN(100,0.35*$J725+0.2*$K725+0.15*$L725+0.15*$M725+0.1*$N725+0.05*$O725-IF(OR($P725="Out",$P725="Suspended"),$Q725,IF($P725="Doubtful",$Q725*0.5,IF($P725="Limited",$Q725*0.25,0))))),2))</x:f>
      </x:c>
      <x:c r="S725" s="55" t="n">
        <x:f>IF($D725="",0,ROUND(IF(OR($P725="Out",$P725="Suspended"),$Q725*$H725,IF($P725="Doubtful",$Q725*$H725*0.5,IF($P725="Limited",$Q725*$H725*0.25,0))),2))</x:f>
        <x:v>0</x:v>
      </x:c>
      <x:c r="T725" s="55" t="str"/>
      <x:c r="U725" s="51" t="str"/>
    </x:row>
    <x:row r="726">
      <x:c r="A726" s="51" t="str">
        <x:v>New Zealand</x:v>
      </x:c>
      <x:c r="B726" s="51" t="str">
        <x:v>G</x:v>
      </x:c>
      <x:c r="C726" s="51" t="n">
        <x:v>20</x:v>
      </x:c>
      <x:c r="D726" s="71" t="str"/>
      <x:c r="E726" s="51" t="str">
        <x:v>Winger</x:v>
      </x:c>
      <x:c r="F726" s="51" t="str">
        <x:v>Attack</x:v>
      </x:c>
      <x:c r="G726" s="51" t="str">
        <x:v>Rotation</x:v>
      </x:c>
      <x:c r="H726" s="55" t="n">
        <x:v>0.35</x:v>
      </x:c>
      <x:c r="I726" s="51" t="str"/>
      <x:c r="J726" s="72" t="str"/>
      <x:c r="K726" s="72" t="str"/>
      <x:c r="L726" s="72" t="str"/>
      <x:c r="M726" s="72" t="str"/>
      <x:c r="N726" s="72" t="str"/>
      <x:c r="O726" s="72" t="str"/>
      <x:c r="P726" s="72" t="str">
        <x:v>Available</x:v>
      </x:c>
      <x:c r="Q726" s="72" t="n">
        <x:v>0</x:v>
      </x:c>
      <x:c r="R726" s="55" t="str">
        <x:f>IF($D726="","",ROUND(MAX(0,MIN(100,0.35*$J726+0.2*$K726+0.15*$L726+0.15*$M726+0.1*$N726+0.05*$O726-IF(OR($P726="Out",$P726="Suspended"),$Q726,IF($P726="Doubtful",$Q726*0.5,IF($P726="Limited",$Q726*0.25,0))))),2))</x:f>
      </x:c>
      <x:c r="S726" s="55" t="n">
        <x:f>IF($D726="",0,ROUND(IF(OR($P726="Out",$P726="Suspended"),$Q726*$H726,IF($P726="Doubtful",$Q726*$H726*0.5,IF($P726="Limited",$Q726*$H726*0.25,0))),2))</x:f>
        <x:v>0</x:v>
      </x:c>
      <x:c r="T726" s="55" t="str"/>
      <x:c r="U726" s="51" t="str"/>
    </x:row>
    <x:row r="727">
      <x:c r="A727" s="51" t="str">
        <x:v>New Zealand</x:v>
      </x:c>
      <x:c r="B727" s="51" t="str">
        <x:v>G</x:v>
      </x:c>
      <x:c r="C727" s="51" t="n">
        <x:v>21</x:v>
      </x:c>
      <x:c r="D727" s="71" t="str"/>
      <x:c r="E727" s="51" t="str">
        <x:v>Winger</x:v>
      </x:c>
      <x:c r="F727" s="51" t="str">
        <x:v>Attack</x:v>
      </x:c>
      <x:c r="G727" s="51" t="str">
        <x:v>Depth</x:v>
      </x:c>
      <x:c r="H727" s="55" t="n">
        <x:v>0.1</x:v>
      </x:c>
      <x:c r="I727" s="51" t="str"/>
      <x:c r="J727" s="72" t="str"/>
      <x:c r="K727" s="72" t="str"/>
      <x:c r="L727" s="72" t="str"/>
      <x:c r="M727" s="72" t="str"/>
      <x:c r="N727" s="72" t="str"/>
      <x:c r="O727" s="72" t="str"/>
      <x:c r="P727" s="72" t="str">
        <x:v>Available</x:v>
      </x:c>
      <x:c r="Q727" s="72" t="n">
        <x:v>0</x:v>
      </x:c>
      <x:c r="R727" s="55" t="str">
        <x:f>IF($D727="","",ROUND(MAX(0,MIN(100,0.35*$J727+0.2*$K727+0.15*$L727+0.15*$M727+0.1*$N727+0.05*$O727-IF(OR($P727="Out",$P727="Suspended"),$Q727,IF($P727="Doubtful",$Q727*0.5,IF($P727="Limited",$Q727*0.25,0))))),2))</x:f>
      </x:c>
      <x:c r="S727" s="55" t="n">
        <x:f>IF($D727="",0,ROUND(IF(OR($P727="Out",$P727="Suspended"),$Q727*$H727,IF($P727="Doubtful",$Q727*$H727*0.5,IF($P727="Limited",$Q727*$H727*0.25,0))),2))</x:f>
        <x:v>0</x:v>
      </x:c>
      <x:c r="T727" s="55" t="str"/>
      <x:c r="U727" s="51" t="str"/>
    </x:row>
    <x:row r="728">
      <x:c r="A728" s="51" t="str">
        <x:v>New Zealand</x:v>
      </x:c>
      <x:c r="B728" s="51" t="str">
        <x:v>G</x:v>
      </x:c>
      <x:c r="C728" s="51" t="n">
        <x:v>22</x:v>
      </x:c>
      <x:c r="D728" s="71" t="str"/>
      <x:c r="E728" s="51" t="str">
        <x:v>Winger</x:v>
      </x:c>
      <x:c r="F728" s="51" t="str">
        <x:v>Attack</x:v>
      </x:c>
      <x:c r="G728" s="51" t="str">
        <x:v>Depth</x:v>
      </x:c>
      <x:c r="H728" s="55" t="n">
        <x:v>0.1</x:v>
      </x:c>
      <x:c r="I728" s="51" t="str"/>
      <x:c r="J728" s="72" t="str"/>
      <x:c r="K728" s="72" t="str"/>
      <x:c r="L728" s="72" t="str"/>
      <x:c r="M728" s="72" t="str"/>
      <x:c r="N728" s="72" t="str"/>
      <x:c r="O728" s="72" t="str"/>
      <x:c r="P728" s="72" t="str">
        <x:v>Available</x:v>
      </x:c>
      <x:c r="Q728" s="72" t="n">
        <x:v>0</x:v>
      </x:c>
      <x:c r="R728" s="55" t="str">
        <x:f>IF($D728="","",ROUND(MAX(0,MIN(100,0.35*$J728+0.2*$K728+0.15*$L728+0.15*$M728+0.1*$N728+0.05*$O728-IF(OR($P728="Out",$P728="Suspended"),$Q728,IF($P728="Doubtful",$Q728*0.5,IF($P728="Limited",$Q728*0.25,0))))),2))</x:f>
      </x:c>
      <x:c r="S728" s="55" t="n">
        <x:f>IF($D728="",0,ROUND(IF(OR($P728="Out",$P728="Suspended"),$Q728*$H728,IF($P728="Doubtful",$Q728*$H728*0.5,IF($P728="Limited",$Q728*$H728*0.25,0))),2))</x:f>
        <x:v>0</x:v>
      </x:c>
      <x:c r="T728" s="55" t="str"/>
      <x:c r="U728" s="51" t="str"/>
    </x:row>
    <x:row r="729">
      <x:c r="A729" s="51" t="str">
        <x:v>New Zealand</x:v>
      </x:c>
      <x:c r="B729" s="51" t="str">
        <x:v>G</x:v>
      </x:c>
      <x:c r="C729" s="51" t="n">
        <x:v>23</x:v>
      </x:c>
      <x:c r="D729" s="71" t="str"/>
      <x:c r="E729" s="51" t="str">
        <x:v>Winger</x:v>
      </x:c>
      <x:c r="F729" s="51" t="str">
        <x:v>Attack</x:v>
      </x:c>
      <x:c r="G729" s="51" t="str">
        <x:v>Depth</x:v>
      </x:c>
      <x:c r="H729" s="55" t="n">
        <x:v>0.1</x:v>
      </x:c>
      <x:c r="I729" s="51" t="str"/>
      <x:c r="J729" s="72" t="str"/>
      <x:c r="K729" s="72" t="str"/>
      <x:c r="L729" s="72" t="str"/>
      <x:c r="M729" s="72" t="str"/>
      <x:c r="N729" s="72" t="str"/>
      <x:c r="O729" s="72" t="str"/>
      <x:c r="P729" s="72" t="str">
        <x:v>Available</x:v>
      </x:c>
      <x:c r="Q729" s="72" t="n">
        <x:v>0</x:v>
      </x:c>
      <x:c r="R729" s="55" t="str">
        <x:f>IF($D729="","",ROUND(MAX(0,MIN(100,0.35*$J729+0.2*$K729+0.15*$L729+0.15*$M729+0.1*$N729+0.05*$O729-IF(OR($P729="Out",$P729="Suspended"),$Q729,IF($P729="Doubtful",$Q729*0.5,IF($P729="Limited",$Q729*0.25,0))))),2))</x:f>
      </x:c>
      <x:c r="S729" s="55" t="n">
        <x:f>IF($D729="",0,ROUND(IF(OR($P729="Out",$P729="Suspended"),$Q729*$H729,IF($P729="Doubtful",$Q729*$H729*0.5,IF($P729="Limited",$Q729*$H729*0.25,0))),2))</x:f>
        <x:v>0</x:v>
      </x:c>
      <x:c r="T729" s="55" t="str"/>
      <x:c r="U729" s="51" t="str"/>
    </x:row>
    <x:row r="730">
      <x:c r="A730" s="51" t="str">
        <x:v>New Zealand</x:v>
      </x:c>
      <x:c r="B730" s="51" t="str">
        <x:v>G</x:v>
      </x:c>
      <x:c r="C730" s="51" t="n">
        <x:v>24</x:v>
      </x:c>
      <x:c r="D730" s="71" t="str"/>
      <x:c r="E730" s="51" t="str">
        <x:v>ST</x:v>
      </x:c>
      <x:c r="F730" s="51" t="str">
        <x:v>Attack</x:v>
      </x:c>
      <x:c r="G730" s="51" t="str">
        <x:v>Depth</x:v>
      </x:c>
      <x:c r="H730" s="55" t="n">
        <x:v>0.1</x:v>
      </x:c>
      <x:c r="I730" s="51" t="str"/>
      <x:c r="J730" s="72" t="str"/>
      <x:c r="K730" s="72" t="str"/>
      <x:c r="L730" s="72" t="str"/>
      <x:c r="M730" s="72" t="str"/>
      <x:c r="N730" s="72" t="str"/>
      <x:c r="O730" s="72" t="str"/>
      <x:c r="P730" s="72" t="str">
        <x:v>Available</x:v>
      </x:c>
      <x:c r="Q730" s="72" t="n">
        <x:v>0</x:v>
      </x:c>
      <x:c r="R730" s="55" t="str">
        <x:f>IF($D730="","",ROUND(MAX(0,MIN(100,0.35*$J730+0.2*$K730+0.15*$L730+0.15*$M730+0.1*$N730+0.05*$O730-IF(OR($P730="Out",$P730="Suspended"),$Q730,IF($P730="Doubtful",$Q730*0.5,IF($P730="Limited",$Q730*0.25,0))))),2))</x:f>
      </x:c>
      <x:c r="S730" s="55" t="n">
        <x:f>IF($D730="",0,ROUND(IF(OR($P730="Out",$P730="Suspended"),$Q730*$H730,IF($P730="Doubtful",$Q730*$H730*0.5,IF($P730="Limited",$Q730*$H730*0.25,0))),2))</x:f>
        <x:v>0</x:v>
      </x:c>
      <x:c r="T730" s="55" t="str"/>
      <x:c r="U730" s="51" t="str"/>
    </x:row>
    <x:row r="731">
      <x:c r="A731" s="51" t="str">
        <x:v>New Zealand</x:v>
      </x:c>
      <x:c r="B731" s="51" t="str">
        <x:v>G</x:v>
      </x:c>
      <x:c r="C731" s="51" t="n">
        <x:v>25</x:v>
      </x:c>
      <x:c r="D731" s="71" t="str"/>
      <x:c r="E731" s="51" t="str">
        <x:v>ST</x:v>
      </x:c>
      <x:c r="F731" s="51" t="str">
        <x:v>Attack</x:v>
      </x:c>
      <x:c r="G731" s="51" t="str">
        <x:v>Depth</x:v>
      </x:c>
      <x:c r="H731" s="55" t="n">
        <x:v>0.1</x:v>
      </x:c>
      <x:c r="I731" s="51" t="str"/>
      <x:c r="J731" s="72" t="str"/>
      <x:c r="K731" s="72" t="str"/>
      <x:c r="L731" s="72" t="str"/>
      <x:c r="M731" s="72" t="str"/>
      <x:c r="N731" s="72" t="str"/>
      <x:c r="O731" s="72" t="str"/>
      <x:c r="P731" s="72" t="str">
        <x:v>Available</x:v>
      </x:c>
      <x:c r="Q731" s="72" t="n">
        <x:v>0</x:v>
      </x:c>
      <x:c r="R731" s="55" t="str">
        <x:f>IF($D731="","",ROUND(MAX(0,MIN(100,0.35*$J731+0.2*$K731+0.15*$L731+0.15*$M731+0.1*$N731+0.05*$O731-IF(OR($P731="Out",$P731="Suspended"),$Q731,IF($P731="Doubtful",$Q731*0.5,IF($P731="Limited",$Q731*0.25,0))))),2))</x:f>
      </x:c>
      <x:c r="S731" s="55" t="n">
        <x:f>IF($D731="",0,ROUND(IF(OR($P731="Out",$P731="Suspended"),$Q731*$H731,IF($P731="Doubtful",$Q731*$H731*0.5,IF($P731="Limited",$Q731*$H731*0.25,0))),2))</x:f>
        <x:v>0</x:v>
      </x:c>
      <x:c r="T731" s="55" t="str"/>
      <x:c r="U731" s="51" t="str"/>
    </x:row>
    <x:row r="732">
      <x:c r="A732" s="51" t="str">
        <x:v>New Zealand</x:v>
      </x:c>
      <x:c r="B732" s="51" t="str">
        <x:v>G</x:v>
      </x:c>
      <x:c r="C732" s="51" t="n">
        <x:v>26</x:v>
      </x:c>
      <x:c r="D732" s="71" t="str"/>
      <x:c r="E732" s="51" t="str">
        <x:v>ST</x:v>
      </x:c>
      <x:c r="F732" s="51" t="str">
        <x:v>Attack</x:v>
      </x:c>
      <x:c r="G732" s="51" t="str">
        <x:v>Depth</x:v>
      </x:c>
      <x:c r="H732" s="55" t="n">
        <x:v>0.1</x:v>
      </x:c>
      <x:c r="I732" s="51" t="str"/>
      <x:c r="J732" s="72" t="str"/>
      <x:c r="K732" s="72" t="str"/>
      <x:c r="L732" s="72" t="str"/>
      <x:c r="M732" s="72" t="str"/>
      <x:c r="N732" s="72" t="str"/>
      <x:c r="O732" s="72" t="str"/>
      <x:c r="P732" s="72" t="str">
        <x:v>Available</x:v>
      </x:c>
      <x:c r="Q732" s="72" t="n">
        <x:v>0</x:v>
      </x:c>
      <x:c r="R732" s="55" t="str">
        <x:f>IF($D732="","",ROUND(MAX(0,MIN(100,0.35*$J732+0.2*$K732+0.15*$L732+0.15*$M732+0.1*$N732+0.05*$O732-IF(OR($P732="Out",$P732="Suspended"),$Q732,IF($P732="Doubtful",$Q732*0.5,IF($P732="Limited",$Q732*0.25,0))))),2))</x:f>
      </x:c>
      <x:c r="S732" s="55" t="n">
        <x:f>IF($D732="",0,ROUND(IF(OR($P732="Out",$P732="Suspended"),$Q732*$H732,IF($P732="Doubtful",$Q732*$H732*0.5,IF($P732="Limited",$Q732*$H732*0.25,0))),2))</x:f>
        <x:v>0</x:v>
      </x:c>
      <x:c r="T732" s="55" t="str"/>
      <x:c r="U732" s="51" t="str"/>
    </x:row>
    <x:row r="733">
      <x:c r="A733" s="51" t="str">
        <x:v>Cape Verde</x:v>
      </x:c>
      <x:c r="B733" s="51" t="str">
        <x:v>H</x:v>
      </x:c>
      <x:c r="C733" s="51" t="n">
        <x:v>1</x:v>
      </x:c>
      <x:c r="D733" s="71" t="str"/>
      <x:c r="E733" s="51" t="str">
        <x:v>GK</x:v>
      </x:c>
      <x:c r="F733" s="51" t="str">
        <x:v>GK</x:v>
      </x:c>
      <x:c r="G733" s="51" t="str">
        <x:v>Starter</x:v>
      </x:c>
      <x:c r="H733" s="55" t="n">
        <x:v>1</x:v>
      </x:c>
      <x:c r="I733" s="51" t="str"/>
      <x:c r="J733" s="72" t="str"/>
      <x:c r="K733" s="72" t="str"/>
      <x:c r="L733" s="72" t="str"/>
      <x:c r="M733" s="72" t="str"/>
      <x:c r="N733" s="72" t="str"/>
      <x:c r="O733" s="72" t="str"/>
      <x:c r="P733" s="72" t="str">
        <x:v>Available</x:v>
      </x:c>
      <x:c r="Q733" s="72" t="n">
        <x:v>0</x:v>
      </x:c>
      <x:c r="R733" s="55" t="str">
        <x:f>IF($D733="","",ROUND(MAX(0,MIN(100,0.35*$J733+0.2*$K733+0.15*$L733+0.15*$M733+0.1*$N733+0.05*$O733-IF(OR($P733="Out",$P733="Suspended"),$Q733,IF($P733="Doubtful",$Q733*0.5,IF($P733="Limited",$Q733*0.25,0))))),2))</x:f>
      </x:c>
      <x:c r="S733" s="55" t="n">
        <x:f>IF($D733="",0,ROUND(IF(OR($P733="Out",$P733="Suspended"),$Q733*$H733,IF($P733="Doubtful",$Q733*$H733*0.5,IF($P733="Limited",$Q733*$H733*0.25,0))),2))</x:f>
        <x:v>0</x:v>
      </x:c>
      <x:c r="T733" s="55" t="str"/>
      <x:c r="U733" s="51" t="str"/>
    </x:row>
    <x:row r="734">
      <x:c r="A734" s="51" t="str">
        <x:v>Cape Verde</x:v>
      </x:c>
      <x:c r="B734" s="51" t="str">
        <x:v>H</x:v>
      </x:c>
      <x:c r="C734" s="51" t="n">
        <x:v>2</x:v>
      </x:c>
      <x:c r="D734" s="71" t="str"/>
      <x:c r="E734" s="51" t="str">
        <x:v>GK</x:v>
      </x:c>
      <x:c r="F734" s="51" t="str">
        <x:v>GK</x:v>
      </x:c>
      <x:c r="G734" s="51" t="str">
        <x:v>Starter</x:v>
      </x:c>
      <x:c r="H734" s="55" t="n">
        <x:v>1</x:v>
      </x:c>
      <x:c r="I734" s="51" t="str"/>
      <x:c r="J734" s="72" t="str"/>
      <x:c r="K734" s="72" t="str"/>
      <x:c r="L734" s="72" t="str"/>
      <x:c r="M734" s="72" t="str"/>
      <x:c r="N734" s="72" t="str"/>
      <x:c r="O734" s="72" t="str"/>
      <x:c r="P734" s="72" t="str">
        <x:v>Available</x:v>
      </x:c>
      <x:c r="Q734" s="72" t="n">
        <x:v>0</x:v>
      </x:c>
      <x:c r="R734" s="55" t="str">
        <x:f>IF($D734="","",ROUND(MAX(0,MIN(100,0.35*$J734+0.2*$K734+0.15*$L734+0.15*$M734+0.1*$N734+0.05*$O734-IF(OR($P734="Out",$P734="Suspended"),$Q734,IF($P734="Doubtful",$Q734*0.5,IF($P734="Limited",$Q734*0.25,0))))),2))</x:f>
      </x:c>
      <x:c r="S734" s="55" t="n">
        <x:f>IF($D734="",0,ROUND(IF(OR($P734="Out",$P734="Suspended"),$Q734*$H734,IF($P734="Doubtful",$Q734*$H734*0.5,IF($P734="Limited",$Q734*$H734*0.25,0))),2))</x:f>
        <x:v>0</x:v>
      </x:c>
      <x:c r="T734" s="55" t="str"/>
      <x:c r="U734" s="51" t="str"/>
    </x:row>
    <x:row r="735">
      <x:c r="A735" s="51" t="str">
        <x:v>Cape Verde</x:v>
      </x:c>
      <x:c r="B735" s="51" t="str">
        <x:v>H</x:v>
      </x:c>
      <x:c r="C735" s="51" t="n">
        <x:v>3</x:v>
      </x:c>
      <x:c r="D735" s="71" t="str"/>
      <x:c r="E735" s="51" t="str">
        <x:v>GK</x:v>
      </x:c>
      <x:c r="F735" s="51" t="str">
        <x:v>GK</x:v>
      </x:c>
      <x:c r="G735" s="51" t="str">
        <x:v>Starter</x:v>
      </x:c>
      <x:c r="H735" s="55" t="n">
        <x:v>1</x:v>
      </x:c>
      <x:c r="I735" s="51" t="str"/>
      <x:c r="J735" s="72" t="str"/>
      <x:c r="K735" s="72" t="str"/>
      <x:c r="L735" s="72" t="str"/>
      <x:c r="M735" s="72" t="str"/>
      <x:c r="N735" s="72" t="str"/>
      <x:c r="O735" s="72" t="str"/>
      <x:c r="P735" s="72" t="str">
        <x:v>Available</x:v>
      </x:c>
      <x:c r="Q735" s="72" t="n">
        <x:v>0</x:v>
      </x:c>
      <x:c r="R735" s="55" t="str">
        <x:f>IF($D735="","",ROUND(MAX(0,MIN(100,0.35*$J735+0.2*$K735+0.15*$L735+0.15*$M735+0.1*$N735+0.05*$O735-IF(OR($P735="Out",$P735="Suspended"),$Q735,IF($P735="Doubtful",$Q735*0.5,IF($P735="Limited",$Q735*0.25,0))))),2))</x:f>
      </x:c>
      <x:c r="S735" s="55" t="n">
        <x:f>IF($D735="",0,ROUND(IF(OR($P735="Out",$P735="Suspended"),$Q735*$H735,IF($P735="Doubtful",$Q735*$H735*0.5,IF($P735="Limited",$Q735*$H735*0.25,0))),2))</x:f>
        <x:v>0</x:v>
      </x:c>
      <x:c r="T735" s="55" t="str"/>
      <x:c r="U735" s="51" t="str"/>
    </x:row>
    <x:row r="736">
      <x:c r="A736" s="51" t="str">
        <x:v>Cape Verde</x:v>
      </x:c>
      <x:c r="B736" s="51" t="str">
        <x:v>H</x:v>
      </x:c>
      <x:c r="C736" s="51" t="n">
        <x:v>4</x:v>
      </x:c>
      <x:c r="D736" s="71" t="str"/>
      <x:c r="E736" s="51" t="str">
        <x:v>CB</x:v>
      </x:c>
      <x:c r="F736" s="51" t="str">
        <x:v>Defence</x:v>
      </x:c>
      <x:c r="G736" s="51" t="str">
        <x:v>Starter</x:v>
      </x:c>
      <x:c r="H736" s="55" t="n">
        <x:v>1</x:v>
      </x:c>
      <x:c r="I736" s="51" t="str"/>
      <x:c r="J736" s="72" t="str"/>
      <x:c r="K736" s="72" t="str"/>
      <x:c r="L736" s="72" t="str"/>
      <x:c r="M736" s="72" t="str"/>
      <x:c r="N736" s="72" t="str"/>
      <x:c r="O736" s="72" t="str"/>
      <x:c r="P736" s="72" t="str">
        <x:v>Available</x:v>
      </x:c>
      <x:c r="Q736" s="72" t="n">
        <x:v>0</x:v>
      </x:c>
      <x:c r="R736" s="55" t="str">
        <x:f>IF($D736="","",ROUND(MAX(0,MIN(100,0.35*$J736+0.2*$K736+0.15*$L736+0.15*$M736+0.1*$N736+0.05*$O736-IF(OR($P736="Out",$P736="Suspended"),$Q736,IF($P736="Doubtful",$Q736*0.5,IF($P736="Limited",$Q736*0.25,0))))),2))</x:f>
      </x:c>
      <x:c r="S736" s="55" t="n">
        <x:f>IF($D736="",0,ROUND(IF(OR($P736="Out",$P736="Suspended"),$Q736*$H736,IF($P736="Doubtful",$Q736*$H736*0.5,IF($P736="Limited",$Q736*$H736*0.25,0))),2))</x:f>
        <x:v>0</x:v>
      </x:c>
      <x:c r="T736" s="55" t="str"/>
      <x:c r="U736" s="51" t="str"/>
    </x:row>
    <x:row r="737">
      <x:c r="A737" s="51" t="str">
        <x:v>Cape Verde</x:v>
      </x:c>
      <x:c r="B737" s="51" t="str">
        <x:v>H</x:v>
      </x:c>
      <x:c r="C737" s="51" t="n">
        <x:v>5</x:v>
      </x:c>
      <x:c r="D737" s="71" t="str"/>
      <x:c r="E737" s="51" t="str">
        <x:v>CB</x:v>
      </x:c>
      <x:c r="F737" s="51" t="str">
        <x:v>Defence</x:v>
      </x:c>
      <x:c r="G737" s="51" t="str">
        <x:v>Starter</x:v>
      </x:c>
      <x:c r="H737" s="55" t="n">
        <x:v>1</x:v>
      </x:c>
      <x:c r="I737" s="51" t="str"/>
      <x:c r="J737" s="72" t="str"/>
      <x:c r="K737" s="72" t="str"/>
      <x:c r="L737" s="72" t="str"/>
      <x:c r="M737" s="72" t="str"/>
      <x:c r="N737" s="72" t="str"/>
      <x:c r="O737" s="72" t="str"/>
      <x:c r="P737" s="72" t="str">
        <x:v>Available</x:v>
      </x:c>
      <x:c r="Q737" s="72" t="n">
        <x:v>0</x:v>
      </x:c>
      <x:c r="R737" s="55" t="str">
        <x:f>IF($D737="","",ROUND(MAX(0,MIN(100,0.35*$J737+0.2*$K737+0.15*$L737+0.15*$M737+0.1*$N737+0.05*$O737-IF(OR($P737="Out",$P737="Suspended"),$Q737,IF($P737="Doubtful",$Q737*0.5,IF($P737="Limited",$Q737*0.25,0))))),2))</x:f>
      </x:c>
      <x:c r="S737" s="55" t="n">
        <x:f>IF($D737="",0,ROUND(IF(OR($P737="Out",$P737="Suspended"),$Q737*$H737,IF($P737="Doubtful",$Q737*$H737*0.5,IF($P737="Limited",$Q737*$H737*0.25,0))),2))</x:f>
        <x:v>0</x:v>
      </x:c>
      <x:c r="T737" s="55" t="str"/>
      <x:c r="U737" s="51" t="str"/>
    </x:row>
    <x:row r="738">
      <x:c r="A738" s="51" t="str">
        <x:v>Cape Verde</x:v>
      </x:c>
      <x:c r="B738" s="51" t="str">
        <x:v>H</x:v>
      </x:c>
      <x:c r="C738" s="51" t="n">
        <x:v>6</x:v>
      </x:c>
      <x:c r="D738" s="71" t="str"/>
      <x:c r="E738" s="51" t="str">
        <x:v>CB</x:v>
      </x:c>
      <x:c r="F738" s="51" t="str">
        <x:v>Defence</x:v>
      </x:c>
      <x:c r="G738" s="51" t="str">
        <x:v>Starter</x:v>
      </x:c>
      <x:c r="H738" s="55" t="n">
        <x:v>1</x:v>
      </x:c>
      <x:c r="I738" s="51" t="str"/>
      <x:c r="J738" s="72" t="str"/>
      <x:c r="K738" s="72" t="str"/>
      <x:c r="L738" s="72" t="str"/>
      <x:c r="M738" s="72" t="str"/>
      <x:c r="N738" s="72" t="str"/>
      <x:c r="O738" s="72" t="str"/>
      <x:c r="P738" s="72" t="str">
        <x:v>Available</x:v>
      </x:c>
      <x:c r="Q738" s="72" t="n">
        <x:v>0</x:v>
      </x:c>
      <x:c r="R738" s="55" t="str">
        <x:f>IF($D738="","",ROUND(MAX(0,MIN(100,0.35*$J738+0.2*$K738+0.15*$L738+0.15*$M738+0.1*$N738+0.05*$O738-IF(OR($P738="Out",$P738="Suspended"),$Q738,IF($P738="Doubtful",$Q738*0.5,IF($P738="Limited",$Q738*0.25,0))))),2))</x:f>
      </x:c>
      <x:c r="S738" s="55" t="n">
        <x:f>IF($D738="",0,ROUND(IF(OR($P738="Out",$P738="Suspended"),$Q738*$H738,IF($P738="Doubtful",$Q738*$H738*0.5,IF($P738="Limited",$Q738*$H738*0.25,0))),2))</x:f>
        <x:v>0</x:v>
      </x:c>
      <x:c r="T738" s="55" t="str"/>
      <x:c r="U738" s="51" t="str"/>
    </x:row>
    <x:row r="739">
      <x:c r="A739" s="51" t="str">
        <x:v>Cape Verde</x:v>
      </x:c>
      <x:c r="B739" s="51" t="str">
        <x:v>H</x:v>
      </x:c>
      <x:c r="C739" s="51" t="n">
        <x:v>7</x:v>
      </x:c>
      <x:c r="D739" s="71" t="str"/>
      <x:c r="E739" s="51" t="str">
        <x:v>FB</x:v>
      </x:c>
      <x:c r="F739" s="51" t="str">
        <x:v>Defence</x:v>
      </x:c>
      <x:c r="G739" s="51" t="str">
        <x:v>Starter</x:v>
      </x:c>
      <x:c r="H739" s="55" t="n">
        <x:v>1</x:v>
      </x:c>
      <x:c r="I739" s="51" t="str"/>
      <x:c r="J739" s="72" t="str"/>
      <x:c r="K739" s="72" t="str"/>
      <x:c r="L739" s="72" t="str"/>
      <x:c r="M739" s="72" t="str"/>
      <x:c r="N739" s="72" t="str"/>
      <x:c r="O739" s="72" t="str"/>
      <x:c r="P739" s="72" t="str">
        <x:v>Available</x:v>
      </x:c>
      <x:c r="Q739" s="72" t="n">
        <x:v>0</x:v>
      </x:c>
      <x:c r="R739" s="55" t="str">
        <x:f>IF($D739="","",ROUND(MAX(0,MIN(100,0.35*$J739+0.2*$K739+0.15*$L739+0.15*$M739+0.1*$N739+0.05*$O739-IF(OR($P739="Out",$P739="Suspended"),$Q739,IF($P739="Doubtful",$Q739*0.5,IF($P739="Limited",$Q739*0.25,0))))),2))</x:f>
      </x:c>
      <x:c r="S739" s="55" t="n">
        <x:f>IF($D739="",0,ROUND(IF(OR($P739="Out",$P739="Suspended"),$Q739*$H739,IF($P739="Doubtful",$Q739*$H739*0.5,IF($P739="Limited",$Q739*$H739*0.25,0))),2))</x:f>
        <x:v>0</x:v>
      </x:c>
      <x:c r="T739" s="55" t="str"/>
      <x:c r="U739" s="51" t="str"/>
    </x:row>
    <x:row r="740">
      <x:c r="A740" s="51" t="str">
        <x:v>Cape Verde</x:v>
      </x:c>
      <x:c r="B740" s="51" t="str">
        <x:v>H</x:v>
      </x:c>
      <x:c r="C740" s="51" t="n">
        <x:v>8</x:v>
      </x:c>
      <x:c r="D740" s="71" t="str"/>
      <x:c r="E740" s="51" t="str">
        <x:v>FB</x:v>
      </x:c>
      <x:c r="F740" s="51" t="str">
        <x:v>Defence</x:v>
      </x:c>
      <x:c r="G740" s="51" t="str">
        <x:v>Starter</x:v>
      </x:c>
      <x:c r="H740" s="55" t="n">
        <x:v>1</x:v>
      </x:c>
      <x:c r="I740" s="51" t="str"/>
      <x:c r="J740" s="72" t="str"/>
      <x:c r="K740" s="72" t="str"/>
      <x:c r="L740" s="72" t="str"/>
      <x:c r="M740" s="72" t="str"/>
      <x:c r="N740" s="72" t="str"/>
      <x:c r="O740" s="72" t="str"/>
      <x:c r="P740" s="72" t="str">
        <x:v>Available</x:v>
      </x:c>
      <x:c r="Q740" s="72" t="n">
        <x:v>0</x:v>
      </x:c>
      <x:c r="R740" s="55" t="str">
        <x:f>IF($D740="","",ROUND(MAX(0,MIN(100,0.35*$J740+0.2*$K740+0.15*$L740+0.15*$M740+0.1*$N740+0.05*$O740-IF(OR($P740="Out",$P740="Suspended"),$Q740,IF($P740="Doubtful",$Q740*0.5,IF($P740="Limited",$Q740*0.25,0))))),2))</x:f>
      </x:c>
      <x:c r="S740" s="55" t="n">
        <x:f>IF($D740="",0,ROUND(IF(OR($P740="Out",$P740="Suspended"),$Q740*$H740,IF($P740="Doubtful",$Q740*$H740*0.5,IF($P740="Limited",$Q740*$H740*0.25,0))),2))</x:f>
        <x:v>0</x:v>
      </x:c>
      <x:c r="T740" s="55" t="str"/>
      <x:c r="U740" s="51" t="str"/>
    </x:row>
    <x:row r="741">
      <x:c r="A741" s="51" t="str">
        <x:v>Cape Verde</x:v>
      </x:c>
      <x:c r="B741" s="51" t="str">
        <x:v>H</x:v>
      </x:c>
      <x:c r="C741" s="51" t="n">
        <x:v>9</x:v>
      </x:c>
      <x:c r="D741" s="71" t="str"/>
      <x:c r="E741" s="51" t="str">
        <x:v>DM</x:v>
      </x:c>
      <x:c r="F741" s="51" t="str">
        <x:v>Midfield</x:v>
      </x:c>
      <x:c r="G741" s="51" t="str">
        <x:v>Starter</x:v>
      </x:c>
      <x:c r="H741" s="55" t="n">
        <x:v>1</x:v>
      </x:c>
      <x:c r="I741" s="51" t="str"/>
      <x:c r="J741" s="72" t="str"/>
      <x:c r="K741" s="72" t="str"/>
      <x:c r="L741" s="72" t="str"/>
      <x:c r="M741" s="72" t="str"/>
      <x:c r="N741" s="72" t="str"/>
      <x:c r="O741" s="72" t="str"/>
      <x:c r="P741" s="72" t="str">
        <x:v>Available</x:v>
      </x:c>
      <x:c r="Q741" s="72" t="n">
        <x:v>0</x:v>
      </x:c>
      <x:c r="R741" s="55" t="str">
        <x:f>IF($D741="","",ROUND(MAX(0,MIN(100,0.35*$J741+0.2*$K741+0.15*$L741+0.15*$M741+0.1*$N741+0.05*$O741-IF(OR($P741="Out",$P741="Suspended"),$Q741,IF($P741="Doubtful",$Q741*0.5,IF($P741="Limited",$Q741*0.25,0))))),2))</x:f>
      </x:c>
      <x:c r="S741" s="55" t="n">
        <x:f>IF($D741="",0,ROUND(IF(OR($P741="Out",$P741="Suspended"),$Q741*$H741,IF($P741="Doubtful",$Q741*$H741*0.5,IF($P741="Limited",$Q741*$H741*0.25,0))),2))</x:f>
        <x:v>0</x:v>
      </x:c>
      <x:c r="T741" s="55" t="str"/>
      <x:c r="U741" s="51" t="str"/>
    </x:row>
    <x:row r="742">
      <x:c r="A742" s="51" t="str">
        <x:v>Cape Verde</x:v>
      </x:c>
      <x:c r="B742" s="51" t="str">
        <x:v>H</x:v>
      </x:c>
      <x:c r="C742" s="51" t="n">
        <x:v>10</x:v>
      </x:c>
      <x:c r="D742" s="71" t="str"/>
      <x:c r="E742" s="51" t="str">
        <x:v>DM</x:v>
      </x:c>
      <x:c r="F742" s="51" t="str">
        <x:v>Midfield</x:v>
      </x:c>
      <x:c r="G742" s="51" t="str">
        <x:v>Starter</x:v>
      </x:c>
      <x:c r="H742" s="55" t="n">
        <x:v>1</x:v>
      </x:c>
      <x:c r="I742" s="51" t="str"/>
      <x:c r="J742" s="72" t="str"/>
      <x:c r="K742" s="72" t="str"/>
      <x:c r="L742" s="72" t="str"/>
      <x:c r="M742" s="72" t="str"/>
      <x:c r="N742" s="72" t="str"/>
      <x:c r="O742" s="72" t="str"/>
      <x:c r="P742" s="72" t="str">
        <x:v>Available</x:v>
      </x:c>
      <x:c r="Q742" s="72" t="n">
        <x:v>0</x:v>
      </x:c>
      <x:c r="R742" s="55" t="str">
        <x:f>IF($D742="","",ROUND(MAX(0,MIN(100,0.35*$J742+0.2*$K742+0.15*$L742+0.15*$M742+0.1*$N742+0.05*$O742-IF(OR($P742="Out",$P742="Suspended"),$Q742,IF($P742="Doubtful",$Q742*0.5,IF($P742="Limited",$Q742*0.25,0))))),2))</x:f>
      </x:c>
      <x:c r="S742" s="55" t="n">
        <x:f>IF($D742="",0,ROUND(IF(OR($P742="Out",$P742="Suspended"),$Q742*$H742,IF($P742="Doubtful",$Q742*$H742*0.5,IF($P742="Limited",$Q742*$H742*0.25,0))),2))</x:f>
        <x:v>0</x:v>
      </x:c>
      <x:c r="T742" s="55" t="str"/>
      <x:c r="U742" s="51" t="str"/>
    </x:row>
    <x:row r="743">
      <x:c r="A743" s="51" t="str">
        <x:v>Cape Verde</x:v>
      </x:c>
      <x:c r="B743" s="51" t="str">
        <x:v>H</x:v>
      </x:c>
      <x:c r="C743" s="51" t="n">
        <x:v>11</x:v>
      </x:c>
      <x:c r="D743" s="71" t="str"/>
      <x:c r="E743" s="51" t="str">
        <x:v>DM</x:v>
      </x:c>
      <x:c r="F743" s="51" t="str">
        <x:v>Midfield</x:v>
      </x:c>
      <x:c r="G743" s="51" t="str">
        <x:v>Starter</x:v>
      </x:c>
      <x:c r="H743" s="55" t="n">
        <x:v>1</x:v>
      </x:c>
      <x:c r="I743" s="51" t="str"/>
      <x:c r="J743" s="72" t="str"/>
      <x:c r="K743" s="72" t="str"/>
      <x:c r="L743" s="72" t="str"/>
      <x:c r="M743" s="72" t="str"/>
      <x:c r="N743" s="72" t="str"/>
      <x:c r="O743" s="72" t="str"/>
      <x:c r="P743" s="72" t="str">
        <x:v>Available</x:v>
      </x:c>
      <x:c r="Q743" s="72" t="n">
        <x:v>0</x:v>
      </x:c>
      <x:c r="R743" s="55" t="str">
        <x:f>IF($D743="","",ROUND(MAX(0,MIN(100,0.35*$J743+0.2*$K743+0.15*$L743+0.15*$M743+0.1*$N743+0.05*$O743-IF(OR($P743="Out",$P743="Suspended"),$Q743,IF($P743="Doubtful",$Q743*0.5,IF($P743="Limited",$Q743*0.25,0))))),2))</x:f>
      </x:c>
      <x:c r="S743" s="55" t="n">
        <x:f>IF($D743="",0,ROUND(IF(OR($P743="Out",$P743="Suspended"),$Q743*$H743,IF($P743="Doubtful",$Q743*$H743*0.5,IF($P743="Limited",$Q743*$H743*0.25,0))),2))</x:f>
        <x:v>0</x:v>
      </x:c>
      <x:c r="T743" s="55" t="str"/>
      <x:c r="U743" s="51" t="str"/>
    </x:row>
    <x:row r="744">
      <x:c r="A744" s="51" t="str">
        <x:v>Cape Verde</x:v>
      </x:c>
      <x:c r="B744" s="51" t="str">
        <x:v>H</x:v>
      </x:c>
      <x:c r="C744" s="51" t="n">
        <x:v>12</x:v>
      </x:c>
      <x:c r="D744" s="71" t="str"/>
      <x:c r="E744" s="51" t="str">
        <x:v>CM</x:v>
      </x:c>
      <x:c r="F744" s="51" t="str">
        <x:v>Midfield</x:v>
      </x:c>
      <x:c r="G744" s="51" t="str">
        <x:v>Rotation</x:v>
      </x:c>
      <x:c r="H744" s="55" t="n">
        <x:v>0.35</x:v>
      </x:c>
      <x:c r="I744" s="51" t="str"/>
      <x:c r="J744" s="72" t="str"/>
      <x:c r="K744" s="72" t="str"/>
      <x:c r="L744" s="72" t="str"/>
      <x:c r="M744" s="72" t="str"/>
      <x:c r="N744" s="72" t="str"/>
      <x:c r="O744" s="72" t="str"/>
      <x:c r="P744" s="72" t="str">
        <x:v>Available</x:v>
      </x:c>
      <x:c r="Q744" s="72" t="n">
        <x:v>0</x:v>
      </x:c>
      <x:c r="R744" s="55" t="str">
        <x:f>IF($D744="","",ROUND(MAX(0,MIN(100,0.35*$J744+0.2*$K744+0.15*$L744+0.15*$M744+0.1*$N744+0.05*$O744-IF(OR($P744="Out",$P744="Suspended"),$Q744,IF($P744="Doubtful",$Q744*0.5,IF($P744="Limited",$Q744*0.25,0))))),2))</x:f>
      </x:c>
      <x:c r="S744" s="55" t="n">
        <x:f>IF($D744="",0,ROUND(IF(OR($P744="Out",$P744="Suspended"),$Q744*$H744,IF($P744="Doubtful",$Q744*$H744*0.5,IF($P744="Limited",$Q744*$H744*0.25,0))),2))</x:f>
        <x:v>0</x:v>
      </x:c>
      <x:c r="T744" s="55" t="str"/>
      <x:c r="U744" s="51" t="str"/>
    </x:row>
    <x:row r="745">
      <x:c r="A745" s="51" t="str">
        <x:v>Cape Verde</x:v>
      </x:c>
      <x:c r="B745" s="51" t="str">
        <x:v>H</x:v>
      </x:c>
      <x:c r="C745" s="51" t="n">
        <x:v>13</x:v>
      </x:c>
      <x:c r="D745" s="71" t="str"/>
      <x:c r="E745" s="51" t="str">
        <x:v>CM</x:v>
      </x:c>
      <x:c r="F745" s="51" t="str">
        <x:v>Midfield</x:v>
      </x:c>
      <x:c r="G745" s="51" t="str">
        <x:v>Rotation</x:v>
      </x:c>
      <x:c r="H745" s="55" t="n">
        <x:v>0.35</x:v>
      </x:c>
      <x:c r="I745" s="51" t="str"/>
      <x:c r="J745" s="72" t="str"/>
      <x:c r="K745" s="72" t="str"/>
      <x:c r="L745" s="72" t="str"/>
      <x:c r="M745" s="72" t="str"/>
      <x:c r="N745" s="72" t="str"/>
      <x:c r="O745" s="72" t="str"/>
      <x:c r="P745" s="72" t="str">
        <x:v>Available</x:v>
      </x:c>
      <x:c r="Q745" s="72" t="n">
        <x:v>0</x:v>
      </x:c>
      <x:c r="R745" s="55" t="str">
        <x:f>IF($D745="","",ROUND(MAX(0,MIN(100,0.35*$J745+0.2*$K745+0.15*$L745+0.15*$M745+0.1*$N745+0.05*$O745-IF(OR($P745="Out",$P745="Suspended"),$Q745,IF($P745="Doubtful",$Q745*0.5,IF($P745="Limited",$Q745*0.25,0))))),2))</x:f>
      </x:c>
      <x:c r="S745" s="55" t="n">
        <x:f>IF($D745="",0,ROUND(IF(OR($P745="Out",$P745="Suspended"),$Q745*$H745,IF($P745="Doubtful",$Q745*$H745*0.5,IF($P745="Limited",$Q745*$H745*0.25,0))),2))</x:f>
        <x:v>0</x:v>
      </x:c>
      <x:c r="T745" s="55" t="str"/>
      <x:c r="U745" s="51" t="str"/>
    </x:row>
    <x:row r="746">
      <x:c r="A746" s="51" t="str">
        <x:v>Cape Verde</x:v>
      </x:c>
      <x:c r="B746" s="51" t="str">
        <x:v>H</x:v>
      </x:c>
      <x:c r="C746" s="51" t="n">
        <x:v>14</x:v>
      </x:c>
      <x:c r="D746" s="71" t="str"/>
      <x:c r="E746" s="51" t="str">
        <x:v>CM</x:v>
      </x:c>
      <x:c r="F746" s="51" t="str">
        <x:v>Midfield</x:v>
      </x:c>
      <x:c r="G746" s="51" t="str">
        <x:v>Rotation</x:v>
      </x:c>
      <x:c r="H746" s="55" t="n">
        <x:v>0.35</x:v>
      </x:c>
      <x:c r="I746" s="51" t="str"/>
      <x:c r="J746" s="72" t="str"/>
      <x:c r="K746" s="72" t="str"/>
      <x:c r="L746" s="72" t="str"/>
      <x:c r="M746" s="72" t="str"/>
      <x:c r="N746" s="72" t="str"/>
      <x:c r="O746" s="72" t="str"/>
      <x:c r="P746" s="72" t="str">
        <x:v>Available</x:v>
      </x:c>
      <x:c r="Q746" s="72" t="n">
        <x:v>0</x:v>
      </x:c>
      <x:c r="R746" s="55" t="str">
        <x:f>IF($D746="","",ROUND(MAX(0,MIN(100,0.35*$J746+0.2*$K746+0.15*$L746+0.15*$M746+0.1*$N746+0.05*$O746-IF(OR($P746="Out",$P746="Suspended"),$Q746,IF($P746="Doubtful",$Q746*0.5,IF($P746="Limited",$Q746*0.25,0))))),2))</x:f>
      </x:c>
      <x:c r="S746" s="55" t="n">
        <x:f>IF($D746="",0,ROUND(IF(OR($P746="Out",$P746="Suspended"),$Q746*$H746,IF($P746="Doubtful",$Q746*$H746*0.5,IF($P746="Limited",$Q746*$H746*0.25,0))),2))</x:f>
        <x:v>0</x:v>
      </x:c>
      <x:c r="T746" s="55" t="str"/>
      <x:c r="U746" s="51" t="str"/>
    </x:row>
    <x:row r="747">
      <x:c r="A747" s="51" t="str">
        <x:v>Cape Verde</x:v>
      </x:c>
      <x:c r="B747" s="51" t="str">
        <x:v>H</x:v>
      </x:c>
      <x:c r="C747" s="51" t="n">
        <x:v>15</x:v>
      </x:c>
      <x:c r="D747" s="71" t="str"/>
      <x:c r="E747" s="51" t="str">
        <x:v>CM</x:v>
      </x:c>
      <x:c r="F747" s="51" t="str">
        <x:v>Midfield</x:v>
      </x:c>
      <x:c r="G747" s="51" t="str">
        <x:v>Rotation</x:v>
      </x:c>
      <x:c r="H747" s="55" t="n">
        <x:v>0.35</x:v>
      </x:c>
      <x:c r="I747" s="51" t="str"/>
      <x:c r="J747" s="72" t="str"/>
      <x:c r="K747" s="72" t="str"/>
      <x:c r="L747" s="72" t="str"/>
      <x:c r="M747" s="72" t="str"/>
      <x:c r="N747" s="72" t="str"/>
      <x:c r="O747" s="72" t="str"/>
      <x:c r="P747" s="72" t="str">
        <x:v>Available</x:v>
      </x:c>
      <x:c r="Q747" s="72" t="n">
        <x:v>0</x:v>
      </x:c>
      <x:c r="R747" s="55" t="str">
        <x:f>IF($D747="","",ROUND(MAX(0,MIN(100,0.35*$J747+0.2*$K747+0.15*$L747+0.15*$M747+0.1*$N747+0.05*$O747-IF(OR($P747="Out",$P747="Suspended"),$Q747,IF($P747="Doubtful",$Q747*0.5,IF($P747="Limited",$Q747*0.25,0))))),2))</x:f>
      </x:c>
      <x:c r="S747" s="55" t="n">
        <x:f>IF($D747="",0,ROUND(IF(OR($P747="Out",$P747="Suspended"),$Q747*$H747,IF($P747="Doubtful",$Q747*$H747*0.5,IF($P747="Limited",$Q747*$H747*0.25,0))),2))</x:f>
        <x:v>0</x:v>
      </x:c>
      <x:c r="T747" s="55" t="str"/>
      <x:c r="U747" s="51" t="str"/>
    </x:row>
    <x:row r="748">
      <x:c r="A748" s="51" t="str">
        <x:v>Cape Verde</x:v>
      </x:c>
      <x:c r="B748" s="51" t="str">
        <x:v>H</x:v>
      </x:c>
      <x:c r="C748" s="51" t="n">
        <x:v>16</x:v>
      </x:c>
      <x:c r="D748" s="71" t="str"/>
      <x:c r="E748" s="51" t="str">
        <x:v>AM</x:v>
      </x:c>
      <x:c r="F748" s="51" t="str">
        <x:v>Attack</x:v>
      </x:c>
      <x:c r="G748" s="51" t="str">
        <x:v>Rotation</x:v>
      </x:c>
      <x:c r="H748" s="55" t="n">
        <x:v>0.35</x:v>
      </x:c>
      <x:c r="I748" s="51" t="str"/>
      <x:c r="J748" s="72" t="str"/>
      <x:c r="K748" s="72" t="str"/>
      <x:c r="L748" s="72" t="str"/>
      <x:c r="M748" s="72" t="str"/>
      <x:c r="N748" s="72" t="str"/>
      <x:c r="O748" s="72" t="str"/>
      <x:c r="P748" s="72" t="str">
        <x:v>Available</x:v>
      </x:c>
      <x:c r="Q748" s="72" t="n">
        <x:v>0</x:v>
      </x:c>
      <x:c r="R748" s="55" t="str">
        <x:f>IF($D748="","",ROUND(MAX(0,MIN(100,0.35*$J748+0.2*$K748+0.15*$L748+0.15*$M748+0.1*$N748+0.05*$O748-IF(OR($P748="Out",$P748="Suspended"),$Q748,IF($P748="Doubtful",$Q748*0.5,IF($P748="Limited",$Q748*0.25,0))))),2))</x:f>
      </x:c>
      <x:c r="S748" s="55" t="n">
        <x:f>IF($D748="",0,ROUND(IF(OR($P748="Out",$P748="Suspended"),$Q748*$H748,IF($P748="Doubtful",$Q748*$H748*0.5,IF($P748="Limited",$Q748*$H748*0.25,0))),2))</x:f>
        <x:v>0</x:v>
      </x:c>
      <x:c r="T748" s="55" t="str"/>
      <x:c r="U748" s="51" t="str"/>
    </x:row>
    <x:row r="749">
      <x:c r="A749" s="51" t="str">
        <x:v>Cape Verde</x:v>
      </x:c>
      <x:c r="B749" s="51" t="str">
        <x:v>H</x:v>
      </x:c>
      <x:c r="C749" s="51" t="n">
        <x:v>17</x:v>
      </x:c>
      <x:c r="D749" s="71" t="str"/>
      <x:c r="E749" s="51" t="str">
        <x:v>AM</x:v>
      </x:c>
      <x:c r="F749" s="51" t="str">
        <x:v>Attack</x:v>
      </x:c>
      <x:c r="G749" s="51" t="str">
        <x:v>Rotation</x:v>
      </x:c>
      <x:c r="H749" s="55" t="n">
        <x:v>0.35</x:v>
      </x:c>
      <x:c r="I749" s="51" t="str"/>
      <x:c r="J749" s="72" t="str"/>
      <x:c r="K749" s="72" t="str"/>
      <x:c r="L749" s="72" t="str"/>
      <x:c r="M749" s="72" t="str"/>
      <x:c r="N749" s="72" t="str"/>
      <x:c r="O749" s="72" t="str"/>
      <x:c r="P749" s="72" t="str">
        <x:v>Available</x:v>
      </x:c>
      <x:c r="Q749" s="72" t="n">
        <x:v>0</x:v>
      </x:c>
      <x:c r="R749" s="55" t="str">
        <x:f>IF($D749="","",ROUND(MAX(0,MIN(100,0.35*$J749+0.2*$K749+0.15*$L749+0.15*$M749+0.1*$N749+0.05*$O749-IF(OR($P749="Out",$P749="Suspended"),$Q749,IF($P749="Doubtful",$Q749*0.5,IF($P749="Limited",$Q749*0.25,0))))),2))</x:f>
      </x:c>
      <x:c r="S749" s="55" t="n">
        <x:f>IF($D749="",0,ROUND(IF(OR($P749="Out",$P749="Suspended"),$Q749*$H749,IF($P749="Doubtful",$Q749*$H749*0.5,IF($P749="Limited",$Q749*$H749*0.25,0))),2))</x:f>
        <x:v>0</x:v>
      </x:c>
      <x:c r="T749" s="55" t="str"/>
      <x:c r="U749" s="51" t="str"/>
    </x:row>
    <x:row r="750">
      <x:c r="A750" s="51" t="str">
        <x:v>Cape Verde</x:v>
      </x:c>
      <x:c r="B750" s="51" t="str">
        <x:v>H</x:v>
      </x:c>
      <x:c r="C750" s="51" t="n">
        <x:v>18</x:v>
      </x:c>
      <x:c r="D750" s="71" t="str"/>
      <x:c r="E750" s="51" t="str">
        <x:v>AM</x:v>
      </x:c>
      <x:c r="F750" s="51" t="str">
        <x:v>Attack</x:v>
      </x:c>
      <x:c r="G750" s="51" t="str">
        <x:v>Rotation</x:v>
      </x:c>
      <x:c r="H750" s="55" t="n">
        <x:v>0.35</x:v>
      </x:c>
      <x:c r="I750" s="51" t="str"/>
      <x:c r="J750" s="72" t="str"/>
      <x:c r="K750" s="72" t="str"/>
      <x:c r="L750" s="72" t="str"/>
      <x:c r="M750" s="72" t="str"/>
      <x:c r="N750" s="72" t="str"/>
      <x:c r="O750" s="72" t="str"/>
      <x:c r="P750" s="72" t="str">
        <x:v>Available</x:v>
      </x:c>
      <x:c r="Q750" s="72" t="n">
        <x:v>0</x:v>
      </x:c>
      <x:c r="R750" s="55" t="str">
        <x:f>IF($D750="","",ROUND(MAX(0,MIN(100,0.35*$J750+0.2*$K750+0.15*$L750+0.15*$M750+0.1*$N750+0.05*$O750-IF(OR($P750="Out",$P750="Suspended"),$Q750,IF($P750="Doubtful",$Q750*0.5,IF($P750="Limited",$Q750*0.25,0))))),2))</x:f>
      </x:c>
      <x:c r="S750" s="55" t="n">
        <x:f>IF($D750="",0,ROUND(IF(OR($P750="Out",$P750="Suspended"),$Q750*$H750,IF($P750="Doubtful",$Q750*$H750*0.5,IF($P750="Limited",$Q750*$H750*0.25,0))),2))</x:f>
        <x:v>0</x:v>
      </x:c>
      <x:c r="T750" s="55" t="str"/>
      <x:c r="U750" s="51" t="str"/>
    </x:row>
    <x:row r="751">
      <x:c r="A751" s="51" t="str">
        <x:v>Cape Verde</x:v>
      </x:c>
      <x:c r="B751" s="51" t="str">
        <x:v>H</x:v>
      </x:c>
      <x:c r="C751" s="51" t="n">
        <x:v>19</x:v>
      </x:c>
      <x:c r="D751" s="71" t="str"/>
      <x:c r="E751" s="51" t="str">
        <x:v>AM</x:v>
      </x:c>
      <x:c r="F751" s="51" t="str">
        <x:v>Attack</x:v>
      </x:c>
      <x:c r="G751" s="51" t="str">
        <x:v>Rotation</x:v>
      </x:c>
      <x:c r="H751" s="55" t="n">
        <x:v>0.35</x:v>
      </x:c>
      <x:c r="I751" s="51" t="str"/>
      <x:c r="J751" s="72" t="str"/>
      <x:c r="K751" s="72" t="str"/>
      <x:c r="L751" s="72" t="str"/>
      <x:c r="M751" s="72" t="str"/>
      <x:c r="N751" s="72" t="str"/>
      <x:c r="O751" s="72" t="str"/>
      <x:c r="P751" s="72" t="str">
        <x:v>Available</x:v>
      </x:c>
      <x:c r="Q751" s="72" t="n">
        <x:v>0</x:v>
      </x:c>
      <x:c r="R751" s="55" t="str">
        <x:f>IF($D751="","",ROUND(MAX(0,MIN(100,0.35*$J751+0.2*$K751+0.15*$L751+0.15*$M751+0.1*$N751+0.05*$O751-IF(OR($P751="Out",$P751="Suspended"),$Q751,IF($P751="Doubtful",$Q751*0.5,IF($P751="Limited",$Q751*0.25,0))))),2))</x:f>
      </x:c>
      <x:c r="S751" s="55" t="n">
        <x:f>IF($D751="",0,ROUND(IF(OR($P751="Out",$P751="Suspended"),$Q751*$H751,IF($P751="Doubtful",$Q751*$H751*0.5,IF($P751="Limited",$Q751*$H751*0.25,0))),2))</x:f>
        <x:v>0</x:v>
      </x:c>
      <x:c r="T751" s="55" t="str"/>
      <x:c r="U751" s="51" t="str"/>
    </x:row>
    <x:row r="752">
      <x:c r="A752" s="51" t="str">
        <x:v>Cape Verde</x:v>
      </x:c>
      <x:c r="B752" s="51" t="str">
        <x:v>H</x:v>
      </x:c>
      <x:c r="C752" s="51" t="n">
        <x:v>20</x:v>
      </x:c>
      <x:c r="D752" s="71" t="str"/>
      <x:c r="E752" s="51" t="str">
        <x:v>Winger</x:v>
      </x:c>
      <x:c r="F752" s="51" t="str">
        <x:v>Attack</x:v>
      </x:c>
      <x:c r="G752" s="51" t="str">
        <x:v>Rotation</x:v>
      </x:c>
      <x:c r="H752" s="55" t="n">
        <x:v>0.35</x:v>
      </x:c>
      <x:c r="I752" s="51" t="str"/>
      <x:c r="J752" s="72" t="str"/>
      <x:c r="K752" s="72" t="str"/>
      <x:c r="L752" s="72" t="str"/>
      <x:c r="M752" s="72" t="str"/>
      <x:c r="N752" s="72" t="str"/>
      <x:c r="O752" s="72" t="str"/>
      <x:c r="P752" s="72" t="str">
        <x:v>Available</x:v>
      </x:c>
      <x:c r="Q752" s="72" t="n">
        <x:v>0</x:v>
      </x:c>
      <x:c r="R752" s="55" t="str">
        <x:f>IF($D752="","",ROUND(MAX(0,MIN(100,0.35*$J752+0.2*$K752+0.15*$L752+0.15*$M752+0.1*$N752+0.05*$O752-IF(OR($P752="Out",$P752="Suspended"),$Q752,IF($P752="Doubtful",$Q752*0.5,IF($P752="Limited",$Q752*0.25,0))))),2))</x:f>
      </x:c>
      <x:c r="S752" s="55" t="n">
        <x:f>IF($D752="",0,ROUND(IF(OR($P752="Out",$P752="Suspended"),$Q752*$H752,IF($P752="Doubtful",$Q752*$H752*0.5,IF($P752="Limited",$Q752*$H752*0.25,0))),2))</x:f>
        <x:v>0</x:v>
      </x:c>
      <x:c r="T752" s="55" t="str"/>
      <x:c r="U752" s="51" t="str"/>
    </x:row>
    <x:row r="753">
      <x:c r="A753" s="51" t="str">
        <x:v>Cape Verde</x:v>
      </x:c>
      <x:c r="B753" s="51" t="str">
        <x:v>H</x:v>
      </x:c>
      <x:c r="C753" s="51" t="n">
        <x:v>21</x:v>
      </x:c>
      <x:c r="D753" s="71" t="str"/>
      <x:c r="E753" s="51" t="str">
        <x:v>Winger</x:v>
      </x:c>
      <x:c r="F753" s="51" t="str">
        <x:v>Attack</x:v>
      </x:c>
      <x:c r="G753" s="51" t="str">
        <x:v>Depth</x:v>
      </x:c>
      <x:c r="H753" s="55" t="n">
        <x:v>0.1</x:v>
      </x:c>
      <x:c r="I753" s="51" t="str"/>
      <x:c r="J753" s="72" t="str"/>
      <x:c r="K753" s="72" t="str"/>
      <x:c r="L753" s="72" t="str"/>
      <x:c r="M753" s="72" t="str"/>
      <x:c r="N753" s="72" t="str"/>
      <x:c r="O753" s="72" t="str"/>
      <x:c r="P753" s="72" t="str">
        <x:v>Available</x:v>
      </x:c>
      <x:c r="Q753" s="72" t="n">
        <x:v>0</x:v>
      </x:c>
      <x:c r="R753" s="55" t="str">
        <x:f>IF($D753="","",ROUND(MAX(0,MIN(100,0.35*$J753+0.2*$K753+0.15*$L753+0.15*$M753+0.1*$N753+0.05*$O753-IF(OR($P753="Out",$P753="Suspended"),$Q753,IF($P753="Doubtful",$Q753*0.5,IF($P753="Limited",$Q753*0.25,0))))),2))</x:f>
      </x:c>
      <x:c r="S753" s="55" t="n">
        <x:f>IF($D753="",0,ROUND(IF(OR($P753="Out",$P753="Suspended"),$Q753*$H753,IF($P753="Doubtful",$Q753*$H753*0.5,IF($P753="Limited",$Q753*$H753*0.25,0))),2))</x:f>
        <x:v>0</x:v>
      </x:c>
      <x:c r="T753" s="55" t="str"/>
      <x:c r="U753" s="51" t="str"/>
    </x:row>
    <x:row r="754">
      <x:c r="A754" s="51" t="str">
        <x:v>Cape Verde</x:v>
      </x:c>
      <x:c r="B754" s="51" t="str">
        <x:v>H</x:v>
      </x:c>
      <x:c r="C754" s="51" t="n">
        <x:v>22</x:v>
      </x:c>
      <x:c r="D754" s="71" t="str"/>
      <x:c r="E754" s="51" t="str">
        <x:v>Winger</x:v>
      </x:c>
      <x:c r="F754" s="51" t="str">
        <x:v>Attack</x:v>
      </x:c>
      <x:c r="G754" s="51" t="str">
        <x:v>Depth</x:v>
      </x:c>
      <x:c r="H754" s="55" t="n">
        <x:v>0.1</x:v>
      </x:c>
      <x:c r="I754" s="51" t="str"/>
      <x:c r="J754" s="72" t="str"/>
      <x:c r="K754" s="72" t="str"/>
      <x:c r="L754" s="72" t="str"/>
      <x:c r="M754" s="72" t="str"/>
      <x:c r="N754" s="72" t="str"/>
      <x:c r="O754" s="72" t="str"/>
      <x:c r="P754" s="72" t="str">
        <x:v>Available</x:v>
      </x:c>
      <x:c r="Q754" s="72" t="n">
        <x:v>0</x:v>
      </x:c>
      <x:c r="R754" s="55" t="str">
        <x:f>IF($D754="","",ROUND(MAX(0,MIN(100,0.35*$J754+0.2*$K754+0.15*$L754+0.15*$M754+0.1*$N754+0.05*$O754-IF(OR($P754="Out",$P754="Suspended"),$Q754,IF($P754="Doubtful",$Q754*0.5,IF($P754="Limited",$Q754*0.25,0))))),2))</x:f>
      </x:c>
      <x:c r="S754" s="55" t="n">
        <x:f>IF($D754="",0,ROUND(IF(OR($P754="Out",$P754="Suspended"),$Q754*$H754,IF($P754="Doubtful",$Q754*$H754*0.5,IF($P754="Limited",$Q754*$H754*0.25,0))),2))</x:f>
        <x:v>0</x:v>
      </x:c>
      <x:c r="T754" s="55" t="str"/>
      <x:c r="U754" s="51" t="str"/>
    </x:row>
    <x:row r="755">
      <x:c r="A755" s="51" t="str">
        <x:v>Cape Verde</x:v>
      </x:c>
      <x:c r="B755" s="51" t="str">
        <x:v>H</x:v>
      </x:c>
      <x:c r="C755" s="51" t="n">
        <x:v>23</x:v>
      </x:c>
      <x:c r="D755" s="71" t="str"/>
      <x:c r="E755" s="51" t="str">
        <x:v>Winger</x:v>
      </x:c>
      <x:c r="F755" s="51" t="str">
        <x:v>Attack</x:v>
      </x:c>
      <x:c r="G755" s="51" t="str">
        <x:v>Depth</x:v>
      </x:c>
      <x:c r="H755" s="55" t="n">
        <x:v>0.1</x:v>
      </x:c>
      <x:c r="I755" s="51" t="str"/>
      <x:c r="J755" s="72" t="str"/>
      <x:c r="K755" s="72" t="str"/>
      <x:c r="L755" s="72" t="str"/>
      <x:c r="M755" s="72" t="str"/>
      <x:c r="N755" s="72" t="str"/>
      <x:c r="O755" s="72" t="str"/>
      <x:c r="P755" s="72" t="str">
        <x:v>Available</x:v>
      </x:c>
      <x:c r="Q755" s="72" t="n">
        <x:v>0</x:v>
      </x:c>
      <x:c r="R755" s="55" t="str">
        <x:f>IF($D755="","",ROUND(MAX(0,MIN(100,0.35*$J755+0.2*$K755+0.15*$L755+0.15*$M755+0.1*$N755+0.05*$O755-IF(OR($P755="Out",$P755="Suspended"),$Q755,IF($P755="Doubtful",$Q755*0.5,IF($P755="Limited",$Q755*0.25,0))))),2))</x:f>
      </x:c>
      <x:c r="S755" s="55" t="n">
        <x:f>IF($D755="",0,ROUND(IF(OR($P755="Out",$P755="Suspended"),$Q755*$H755,IF($P755="Doubtful",$Q755*$H755*0.5,IF($P755="Limited",$Q755*$H755*0.25,0))),2))</x:f>
        <x:v>0</x:v>
      </x:c>
      <x:c r="T755" s="55" t="str"/>
      <x:c r="U755" s="51" t="str"/>
    </x:row>
    <x:row r="756">
      <x:c r="A756" s="51" t="str">
        <x:v>Cape Verde</x:v>
      </x:c>
      <x:c r="B756" s="51" t="str">
        <x:v>H</x:v>
      </x:c>
      <x:c r="C756" s="51" t="n">
        <x:v>24</x:v>
      </x:c>
      <x:c r="D756" s="71" t="str"/>
      <x:c r="E756" s="51" t="str">
        <x:v>ST</x:v>
      </x:c>
      <x:c r="F756" s="51" t="str">
        <x:v>Attack</x:v>
      </x:c>
      <x:c r="G756" s="51" t="str">
        <x:v>Depth</x:v>
      </x:c>
      <x:c r="H756" s="55" t="n">
        <x:v>0.1</x:v>
      </x:c>
      <x:c r="I756" s="51" t="str"/>
      <x:c r="J756" s="72" t="str"/>
      <x:c r="K756" s="72" t="str"/>
      <x:c r="L756" s="72" t="str"/>
      <x:c r="M756" s="72" t="str"/>
      <x:c r="N756" s="72" t="str"/>
      <x:c r="O756" s="72" t="str"/>
      <x:c r="P756" s="72" t="str">
        <x:v>Available</x:v>
      </x:c>
      <x:c r="Q756" s="72" t="n">
        <x:v>0</x:v>
      </x:c>
      <x:c r="R756" s="55" t="str">
        <x:f>IF($D756="","",ROUND(MAX(0,MIN(100,0.35*$J756+0.2*$K756+0.15*$L756+0.15*$M756+0.1*$N756+0.05*$O756-IF(OR($P756="Out",$P756="Suspended"),$Q756,IF($P756="Doubtful",$Q756*0.5,IF($P756="Limited",$Q756*0.25,0))))),2))</x:f>
      </x:c>
      <x:c r="S756" s="55" t="n">
        <x:f>IF($D756="",0,ROUND(IF(OR($P756="Out",$P756="Suspended"),$Q756*$H756,IF($P756="Doubtful",$Q756*$H756*0.5,IF($P756="Limited",$Q756*$H756*0.25,0))),2))</x:f>
        <x:v>0</x:v>
      </x:c>
      <x:c r="T756" s="55" t="str"/>
      <x:c r="U756" s="51" t="str"/>
    </x:row>
    <x:row r="757">
      <x:c r="A757" s="51" t="str">
        <x:v>Cape Verde</x:v>
      </x:c>
      <x:c r="B757" s="51" t="str">
        <x:v>H</x:v>
      </x:c>
      <x:c r="C757" s="51" t="n">
        <x:v>25</x:v>
      </x:c>
      <x:c r="D757" s="71" t="str"/>
      <x:c r="E757" s="51" t="str">
        <x:v>ST</x:v>
      </x:c>
      <x:c r="F757" s="51" t="str">
        <x:v>Attack</x:v>
      </x:c>
      <x:c r="G757" s="51" t="str">
        <x:v>Depth</x:v>
      </x:c>
      <x:c r="H757" s="55" t="n">
        <x:v>0.1</x:v>
      </x:c>
      <x:c r="I757" s="51" t="str"/>
      <x:c r="J757" s="72" t="str"/>
      <x:c r="K757" s="72" t="str"/>
      <x:c r="L757" s="72" t="str"/>
      <x:c r="M757" s="72" t="str"/>
      <x:c r="N757" s="72" t="str"/>
      <x:c r="O757" s="72" t="str"/>
      <x:c r="P757" s="72" t="str">
        <x:v>Available</x:v>
      </x:c>
      <x:c r="Q757" s="72" t="n">
        <x:v>0</x:v>
      </x:c>
      <x:c r="R757" s="55" t="str">
        <x:f>IF($D757="","",ROUND(MAX(0,MIN(100,0.35*$J757+0.2*$K757+0.15*$L757+0.15*$M757+0.1*$N757+0.05*$O757-IF(OR($P757="Out",$P757="Suspended"),$Q757,IF($P757="Doubtful",$Q757*0.5,IF($P757="Limited",$Q757*0.25,0))))),2))</x:f>
      </x:c>
      <x:c r="S757" s="55" t="n">
        <x:f>IF($D757="",0,ROUND(IF(OR($P757="Out",$P757="Suspended"),$Q757*$H757,IF($P757="Doubtful",$Q757*$H757*0.5,IF($P757="Limited",$Q757*$H757*0.25,0))),2))</x:f>
        <x:v>0</x:v>
      </x:c>
      <x:c r="T757" s="55" t="str"/>
      <x:c r="U757" s="51" t="str"/>
    </x:row>
    <x:row r="758">
      <x:c r="A758" s="51" t="str">
        <x:v>Cape Verde</x:v>
      </x:c>
      <x:c r="B758" s="51" t="str">
        <x:v>H</x:v>
      </x:c>
      <x:c r="C758" s="51" t="n">
        <x:v>26</x:v>
      </x:c>
      <x:c r="D758" s="71" t="str"/>
      <x:c r="E758" s="51" t="str">
        <x:v>ST</x:v>
      </x:c>
      <x:c r="F758" s="51" t="str">
        <x:v>Attack</x:v>
      </x:c>
      <x:c r="G758" s="51" t="str">
        <x:v>Depth</x:v>
      </x:c>
      <x:c r="H758" s="55" t="n">
        <x:v>0.1</x:v>
      </x:c>
      <x:c r="I758" s="51" t="str"/>
      <x:c r="J758" s="72" t="str"/>
      <x:c r="K758" s="72" t="str"/>
      <x:c r="L758" s="72" t="str"/>
      <x:c r="M758" s="72" t="str"/>
      <x:c r="N758" s="72" t="str"/>
      <x:c r="O758" s="72" t="str"/>
      <x:c r="P758" s="72" t="str">
        <x:v>Available</x:v>
      </x:c>
      <x:c r="Q758" s="72" t="n">
        <x:v>0</x:v>
      </x:c>
      <x:c r="R758" s="55" t="str">
        <x:f>IF($D758="","",ROUND(MAX(0,MIN(100,0.35*$J758+0.2*$K758+0.15*$L758+0.15*$M758+0.1*$N758+0.05*$O758-IF(OR($P758="Out",$P758="Suspended"),$Q758,IF($P758="Doubtful",$Q758*0.5,IF($P758="Limited",$Q758*0.25,0))))),2))</x:f>
      </x:c>
      <x:c r="S758" s="55" t="n">
        <x:f>IF($D758="",0,ROUND(IF(OR($P758="Out",$P758="Suspended"),$Q758*$H758,IF($P758="Doubtful",$Q758*$H758*0.5,IF($P758="Limited",$Q758*$H758*0.25,0))),2))</x:f>
        <x:v>0</x:v>
      </x:c>
      <x:c r="T758" s="55" t="str"/>
      <x:c r="U758" s="51" t="str"/>
    </x:row>
    <x:row r="759">
      <x:c r="A759" s="51" t="str">
        <x:v>Saudi Arabia</x:v>
      </x:c>
      <x:c r="B759" s="51" t="str">
        <x:v>H</x:v>
      </x:c>
      <x:c r="C759" s="51" t="n">
        <x:v>1</x:v>
      </x:c>
      <x:c r="D759" s="71" t="str"/>
      <x:c r="E759" s="51" t="str">
        <x:v>GK</x:v>
      </x:c>
      <x:c r="F759" s="51" t="str">
        <x:v>GK</x:v>
      </x:c>
      <x:c r="G759" s="51" t="str">
        <x:v>Starter</x:v>
      </x:c>
      <x:c r="H759" s="55" t="n">
        <x:v>1</x:v>
      </x:c>
      <x:c r="I759" s="51" t="str"/>
      <x:c r="J759" s="72" t="str"/>
      <x:c r="K759" s="72" t="str"/>
      <x:c r="L759" s="72" t="str"/>
      <x:c r="M759" s="72" t="str"/>
      <x:c r="N759" s="72" t="str"/>
      <x:c r="O759" s="72" t="str"/>
      <x:c r="P759" s="72" t="str">
        <x:v>Available</x:v>
      </x:c>
      <x:c r="Q759" s="72" t="n">
        <x:v>0</x:v>
      </x:c>
      <x:c r="R759" s="55" t="str">
        <x:f>IF($D759="","",ROUND(MAX(0,MIN(100,0.35*$J759+0.2*$K759+0.15*$L759+0.15*$M759+0.1*$N759+0.05*$O759-IF(OR($P759="Out",$P759="Suspended"),$Q759,IF($P759="Doubtful",$Q759*0.5,IF($P759="Limited",$Q759*0.25,0))))),2))</x:f>
      </x:c>
      <x:c r="S759" s="55" t="n">
        <x:f>IF($D759="",0,ROUND(IF(OR($P759="Out",$P759="Suspended"),$Q759*$H759,IF($P759="Doubtful",$Q759*$H759*0.5,IF($P759="Limited",$Q759*$H759*0.25,0))),2))</x:f>
        <x:v>0</x:v>
      </x:c>
      <x:c r="T759" s="55" t="str"/>
      <x:c r="U759" s="51" t="str"/>
    </x:row>
    <x:row r="760">
      <x:c r="A760" s="51" t="str">
        <x:v>Saudi Arabia</x:v>
      </x:c>
      <x:c r="B760" s="51" t="str">
        <x:v>H</x:v>
      </x:c>
      <x:c r="C760" s="51" t="n">
        <x:v>2</x:v>
      </x:c>
      <x:c r="D760" s="71" t="str"/>
      <x:c r="E760" s="51" t="str">
        <x:v>GK</x:v>
      </x:c>
      <x:c r="F760" s="51" t="str">
        <x:v>GK</x:v>
      </x:c>
      <x:c r="G760" s="51" t="str">
        <x:v>Starter</x:v>
      </x:c>
      <x:c r="H760" s="55" t="n">
        <x:v>1</x:v>
      </x:c>
      <x:c r="I760" s="51" t="str"/>
      <x:c r="J760" s="72" t="str"/>
      <x:c r="K760" s="72" t="str"/>
      <x:c r="L760" s="72" t="str"/>
      <x:c r="M760" s="72" t="str"/>
      <x:c r="N760" s="72" t="str"/>
      <x:c r="O760" s="72" t="str"/>
      <x:c r="P760" s="72" t="str">
        <x:v>Available</x:v>
      </x:c>
      <x:c r="Q760" s="72" t="n">
        <x:v>0</x:v>
      </x:c>
      <x:c r="R760" s="55" t="str">
        <x:f>IF($D760="","",ROUND(MAX(0,MIN(100,0.35*$J760+0.2*$K760+0.15*$L760+0.15*$M760+0.1*$N760+0.05*$O760-IF(OR($P760="Out",$P760="Suspended"),$Q760,IF($P760="Doubtful",$Q760*0.5,IF($P760="Limited",$Q760*0.25,0))))),2))</x:f>
      </x:c>
      <x:c r="S760" s="55" t="n">
        <x:f>IF($D760="",0,ROUND(IF(OR($P760="Out",$P760="Suspended"),$Q760*$H760,IF($P760="Doubtful",$Q760*$H760*0.5,IF($P760="Limited",$Q760*$H760*0.25,0))),2))</x:f>
        <x:v>0</x:v>
      </x:c>
      <x:c r="T760" s="55" t="str"/>
      <x:c r="U760" s="51" t="str"/>
    </x:row>
    <x:row r="761">
      <x:c r="A761" s="51" t="str">
        <x:v>Saudi Arabia</x:v>
      </x:c>
      <x:c r="B761" s="51" t="str">
        <x:v>H</x:v>
      </x:c>
      <x:c r="C761" s="51" t="n">
        <x:v>3</x:v>
      </x:c>
      <x:c r="D761" s="71" t="str"/>
      <x:c r="E761" s="51" t="str">
        <x:v>GK</x:v>
      </x:c>
      <x:c r="F761" s="51" t="str">
        <x:v>GK</x:v>
      </x:c>
      <x:c r="G761" s="51" t="str">
        <x:v>Starter</x:v>
      </x:c>
      <x:c r="H761" s="55" t="n">
        <x:v>1</x:v>
      </x:c>
      <x:c r="I761" s="51" t="str"/>
      <x:c r="J761" s="72" t="str"/>
      <x:c r="K761" s="72" t="str"/>
      <x:c r="L761" s="72" t="str"/>
      <x:c r="M761" s="72" t="str"/>
      <x:c r="N761" s="72" t="str"/>
      <x:c r="O761" s="72" t="str"/>
      <x:c r="P761" s="72" t="str">
        <x:v>Available</x:v>
      </x:c>
      <x:c r="Q761" s="72" t="n">
        <x:v>0</x:v>
      </x:c>
      <x:c r="R761" s="55" t="str">
        <x:f>IF($D761="","",ROUND(MAX(0,MIN(100,0.35*$J761+0.2*$K761+0.15*$L761+0.15*$M761+0.1*$N761+0.05*$O761-IF(OR($P761="Out",$P761="Suspended"),$Q761,IF($P761="Doubtful",$Q761*0.5,IF($P761="Limited",$Q761*0.25,0))))),2))</x:f>
      </x:c>
      <x:c r="S761" s="55" t="n">
        <x:f>IF($D761="",0,ROUND(IF(OR($P761="Out",$P761="Suspended"),$Q761*$H761,IF($P761="Doubtful",$Q761*$H761*0.5,IF($P761="Limited",$Q761*$H761*0.25,0))),2))</x:f>
        <x:v>0</x:v>
      </x:c>
      <x:c r="T761" s="55" t="str"/>
      <x:c r="U761" s="51" t="str"/>
    </x:row>
    <x:row r="762">
      <x:c r="A762" s="51" t="str">
        <x:v>Saudi Arabia</x:v>
      </x:c>
      <x:c r="B762" s="51" t="str">
        <x:v>H</x:v>
      </x:c>
      <x:c r="C762" s="51" t="n">
        <x:v>4</x:v>
      </x:c>
      <x:c r="D762" s="71" t="str"/>
      <x:c r="E762" s="51" t="str">
        <x:v>CB</x:v>
      </x:c>
      <x:c r="F762" s="51" t="str">
        <x:v>Defence</x:v>
      </x:c>
      <x:c r="G762" s="51" t="str">
        <x:v>Starter</x:v>
      </x:c>
      <x:c r="H762" s="55" t="n">
        <x:v>1</x:v>
      </x:c>
      <x:c r="I762" s="51" t="str"/>
      <x:c r="J762" s="72" t="str"/>
      <x:c r="K762" s="72" t="str"/>
      <x:c r="L762" s="72" t="str"/>
      <x:c r="M762" s="72" t="str"/>
      <x:c r="N762" s="72" t="str"/>
      <x:c r="O762" s="72" t="str"/>
      <x:c r="P762" s="72" t="str">
        <x:v>Available</x:v>
      </x:c>
      <x:c r="Q762" s="72" t="n">
        <x:v>0</x:v>
      </x:c>
      <x:c r="R762" s="55" t="str">
        <x:f>IF($D762="","",ROUND(MAX(0,MIN(100,0.35*$J762+0.2*$K762+0.15*$L762+0.15*$M762+0.1*$N762+0.05*$O762-IF(OR($P762="Out",$P762="Suspended"),$Q762,IF($P762="Doubtful",$Q762*0.5,IF($P762="Limited",$Q762*0.25,0))))),2))</x:f>
      </x:c>
      <x:c r="S762" s="55" t="n">
        <x:f>IF($D762="",0,ROUND(IF(OR($P762="Out",$P762="Suspended"),$Q762*$H762,IF($P762="Doubtful",$Q762*$H762*0.5,IF($P762="Limited",$Q762*$H762*0.25,0))),2))</x:f>
        <x:v>0</x:v>
      </x:c>
      <x:c r="T762" s="55" t="str"/>
      <x:c r="U762" s="51" t="str"/>
    </x:row>
    <x:row r="763">
      <x:c r="A763" s="51" t="str">
        <x:v>Saudi Arabia</x:v>
      </x:c>
      <x:c r="B763" s="51" t="str">
        <x:v>H</x:v>
      </x:c>
      <x:c r="C763" s="51" t="n">
        <x:v>5</x:v>
      </x:c>
      <x:c r="D763" s="71" t="str"/>
      <x:c r="E763" s="51" t="str">
        <x:v>CB</x:v>
      </x:c>
      <x:c r="F763" s="51" t="str">
        <x:v>Defence</x:v>
      </x:c>
      <x:c r="G763" s="51" t="str">
        <x:v>Starter</x:v>
      </x:c>
      <x:c r="H763" s="55" t="n">
        <x:v>1</x:v>
      </x:c>
      <x:c r="I763" s="51" t="str"/>
      <x:c r="J763" s="72" t="str"/>
      <x:c r="K763" s="72" t="str"/>
      <x:c r="L763" s="72" t="str"/>
      <x:c r="M763" s="72" t="str"/>
      <x:c r="N763" s="72" t="str"/>
      <x:c r="O763" s="72" t="str"/>
      <x:c r="P763" s="72" t="str">
        <x:v>Available</x:v>
      </x:c>
      <x:c r="Q763" s="72" t="n">
        <x:v>0</x:v>
      </x:c>
      <x:c r="R763" s="55" t="str">
        <x:f>IF($D763="","",ROUND(MAX(0,MIN(100,0.35*$J763+0.2*$K763+0.15*$L763+0.15*$M763+0.1*$N763+0.05*$O763-IF(OR($P763="Out",$P763="Suspended"),$Q763,IF($P763="Doubtful",$Q763*0.5,IF($P763="Limited",$Q763*0.25,0))))),2))</x:f>
      </x:c>
      <x:c r="S763" s="55" t="n">
        <x:f>IF($D763="",0,ROUND(IF(OR($P763="Out",$P763="Suspended"),$Q763*$H763,IF($P763="Doubtful",$Q763*$H763*0.5,IF($P763="Limited",$Q763*$H763*0.25,0))),2))</x:f>
        <x:v>0</x:v>
      </x:c>
      <x:c r="T763" s="55" t="str"/>
      <x:c r="U763" s="51" t="str"/>
    </x:row>
    <x:row r="764">
      <x:c r="A764" s="51" t="str">
        <x:v>Saudi Arabia</x:v>
      </x:c>
      <x:c r="B764" s="51" t="str">
        <x:v>H</x:v>
      </x:c>
      <x:c r="C764" s="51" t="n">
        <x:v>6</x:v>
      </x:c>
      <x:c r="D764" s="71" t="str"/>
      <x:c r="E764" s="51" t="str">
        <x:v>CB</x:v>
      </x:c>
      <x:c r="F764" s="51" t="str">
        <x:v>Defence</x:v>
      </x:c>
      <x:c r="G764" s="51" t="str">
        <x:v>Starter</x:v>
      </x:c>
      <x:c r="H764" s="55" t="n">
        <x:v>1</x:v>
      </x:c>
      <x:c r="I764" s="51" t="str"/>
      <x:c r="J764" s="72" t="str"/>
      <x:c r="K764" s="72" t="str"/>
      <x:c r="L764" s="72" t="str"/>
      <x:c r="M764" s="72" t="str"/>
      <x:c r="N764" s="72" t="str"/>
      <x:c r="O764" s="72" t="str"/>
      <x:c r="P764" s="72" t="str">
        <x:v>Available</x:v>
      </x:c>
      <x:c r="Q764" s="72" t="n">
        <x:v>0</x:v>
      </x:c>
      <x:c r="R764" s="55" t="str">
        <x:f>IF($D764="","",ROUND(MAX(0,MIN(100,0.35*$J764+0.2*$K764+0.15*$L764+0.15*$M764+0.1*$N764+0.05*$O764-IF(OR($P764="Out",$P764="Suspended"),$Q764,IF($P764="Doubtful",$Q764*0.5,IF($P764="Limited",$Q764*0.25,0))))),2))</x:f>
      </x:c>
      <x:c r="S764" s="55" t="n">
        <x:f>IF($D764="",0,ROUND(IF(OR($P764="Out",$P764="Suspended"),$Q764*$H764,IF($P764="Doubtful",$Q764*$H764*0.5,IF($P764="Limited",$Q764*$H764*0.25,0))),2))</x:f>
        <x:v>0</x:v>
      </x:c>
      <x:c r="T764" s="55" t="str"/>
      <x:c r="U764" s="51" t="str"/>
    </x:row>
    <x:row r="765">
      <x:c r="A765" s="51" t="str">
        <x:v>Saudi Arabia</x:v>
      </x:c>
      <x:c r="B765" s="51" t="str">
        <x:v>H</x:v>
      </x:c>
      <x:c r="C765" s="51" t="n">
        <x:v>7</x:v>
      </x:c>
      <x:c r="D765" s="71" t="str"/>
      <x:c r="E765" s="51" t="str">
        <x:v>FB</x:v>
      </x:c>
      <x:c r="F765" s="51" t="str">
        <x:v>Defence</x:v>
      </x:c>
      <x:c r="G765" s="51" t="str">
        <x:v>Starter</x:v>
      </x:c>
      <x:c r="H765" s="55" t="n">
        <x:v>1</x:v>
      </x:c>
      <x:c r="I765" s="51" t="str"/>
      <x:c r="J765" s="72" t="str"/>
      <x:c r="K765" s="72" t="str"/>
      <x:c r="L765" s="72" t="str"/>
      <x:c r="M765" s="72" t="str"/>
      <x:c r="N765" s="72" t="str"/>
      <x:c r="O765" s="72" t="str"/>
      <x:c r="P765" s="72" t="str">
        <x:v>Available</x:v>
      </x:c>
      <x:c r="Q765" s="72" t="n">
        <x:v>0</x:v>
      </x:c>
      <x:c r="R765" s="55" t="str">
        <x:f>IF($D765="","",ROUND(MAX(0,MIN(100,0.35*$J765+0.2*$K765+0.15*$L765+0.15*$M765+0.1*$N765+0.05*$O765-IF(OR($P765="Out",$P765="Suspended"),$Q765,IF($P765="Doubtful",$Q765*0.5,IF($P765="Limited",$Q765*0.25,0))))),2))</x:f>
      </x:c>
      <x:c r="S765" s="55" t="n">
        <x:f>IF($D765="",0,ROUND(IF(OR($P765="Out",$P765="Suspended"),$Q765*$H765,IF($P765="Doubtful",$Q765*$H765*0.5,IF($P765="Limited",$Q765*$H765*0.25,0))),2))</x:f>
        <x:v>0</x:v>
      </x:c>
      <x:c r="T765" s="55" t="str"/>
      <x:c r="U765" s="51" t="str"/>
    </x:row>
    <x:row r="766">
      <x:c r="A766" s="51" t="str">
        <x:v>Saudi Arabia</x:v>
      </x:c>
      <x:c r="B766" s="51" t="str">
        <x:v>H</x:v>
      </x:c>
      <x:c r="C766" s="51" t="n">
        <x:v>8</x:v>
      </x:c>
      <x:c r="D766" s="71" t="str"/>
      <x:c r="E766" s="51" t="str">
        <x:v>FB</x:v>
      </x:c>
      <x:c r="F766" s="51" t="str">
        <x:v>Defence</x:v>
      </x:c>
      <x:c r="G766" s="51" t="str">
        <x:v>Starter</x:v>
      </x:c>
      <x:c r="H766" s="55" t="n">
        <x:v>1</x:v>
      </x:c>
      <x:c r="I766" s="51" t="str"/>
      <x:c r="J766" s="72" t="str"/>
      <x:c r="K766" s="72" t="str"/>
      <x:c r="L766" s="72" t="str"/>
      <x:c r="M766" s="72" t="str"/>
      <x:c r="N766" s="72" t="str"/>
      <x:c r="O766" s="72" t="str"/>
      <x:c r="P766" s="72" t="str">
        <x:v>Available</x:v>
      </x:c>
      <x:c r="Q766" s="72" t="n">
        <x:v>0</x:v>
      </x:c>
      <x:c r="R766" s="55" t="str">
        <x:f>IF($D766="","",ROUND(MAX(0,MIN(100,0.35*$J766+0.2*$K766+0.15*$L766+0.15*$M766+0.1*$N766+0.05*$O766-IF(OR($P766="Out",$P766="Suspended"),$Q766,IF($P766="Doubtful",$Q766*0.5,IF($P766="Limited",$Q766*0.25,0))))),2))</x:f>
      </x:c>
      <x:c r="S766" s="55" t="n">
        <x:f>IF($D766="",0,ROUND(IF(OR($P766="Out",$P766="Suspended"),$Q766*$H766,IF($P766="Doubtful",$Q766*$H766*0.5,IF($P766="Limited",$Q766*$H766*0.25,0))),2))</x:f>
        <x:v>0</x:v>
      </x:c>
      <x:c r="T766" s="55" t="str"/>
      <x:c r="U766" s="51" t="str"/>
    </x:row>
    <x:row r="767">
      <x:c r="A767" s="51" t="str">
        <x:v>Saudi Arabia</x:v>
      </x:c>
      <x:c r="B767" s="51" t="str">
        <x:v>H</x:v>
      </x:c>
      <x:c r="C767" s="51" t="n">
        <x:v>9</x:v>
      </x:c>
      <x:c r="D767" s="71" t="str"/>
      <x:c r="E767" s="51" t="str">
        <x:v>DM</x:v>
      </x:c>
      <x:c r="F767" s="51" t="str">
        <x:v>Midfield</x:v>
      </x:c>
      <x:c r="G767" s="51" t="str">
        <x:v>Starter</x:v>
      </x:c>
      <x:c r="H767" s="55" t="n">
        <x:v>1</x:v>
      </x:c>
      <x:c r="I767" s="51" t="str"/>
      <x:c r="J767" s="72" t="str"/>
      <x:c r="K767" s="72" t="str"/>
      <x:c r="L767" s="72" t="str"/>
      <x:c r="M767" s="72" t="str"/>
      <x:c r="N767" s="72" t="str"/>
      <x:c r="O767" s="72" t="str"/>
      <x:c r="P767" s="72" t="str">
        <x:v>Available</x:v>
      </x:c>
      <x:c r="Q767" s="72" t="n">
        <x:v>0</x:v>
      </x:c>
      <x:c r="R767" s="55" t="str">
        <x:f>IF($D767="","",ROUND(MAX(0,MIN(100,0.35*$J767+0.2*$K767+0.15*$L767+0.15*$M767+0.1*$N767+0.05*$O767-IF(OR($P767="Out",$P767="Suspended"),$Q767,IF($P767="Doubtful",$Q767*0.5,IF($P767="Limited",$Q767*0.25,0))))),2))</x:f>
      </x:c>
      <x:c r="S767" s="55" t="n">
        <x:f>IF($D767="",0,ROUND(IF(OR($P767="Out",$P767="Suspended"),$Q767*$H767,IF($P767="Doubtful",$Q767*$H767*0.5,IF($P767="Limited",$Q767*$H767*0.25,0))),2))</x:f>
        <x:v>0</x:v>
      </x:c>
      <x:c r="T767" s="55" t="str"/>
      <x:c r="U767" s="51" t="str"/>
    </x:row>
    <x:row r="768">
      <x:c r="A768" s="51" t="str">
        <x:v>Saudi Arabia</x:v>
      </x:c>
      <x:c r="B768" s="51" t="str">
        <x:v>H</x:v>
      </x:c>
      <x:c r="C768" s="51" t="n">
        <x:v>10</x:v>
      </x:c>
      <x:c r="D768" s="71" t="str"/>
      <x:c r="E768" s="51" t="str">
        <x:v>DM</x:v>
      </x:c>
      <x:c r="F768" s="51" t="str">
        <x:v>Midfield</x:v>
      </x:c>
      <x:c r="G768" s="51" t="str">
        <x:v>Starter</x:v>
      </x:c>
      <x:c r="H768" s="55" t="n">
        <x:v>1</x:v>
      </x:c>
      <x:c r="I768" s="51" t="str"/>
      <x:c r="J768" s="72" t="str"/>
      <x:c r="K768" s="72" t="str"/>
      <x:c r="L768" s="72" t="str"/>
      <x:c r="M768" s="72" t="str"/>
      <x:c r="N768" s="72" t="str"/>
      <x:c r="O768" s="72" t="str"/>
      <x:c r="P768" s="72" t="str">
        <x:v>Available</x:v>
      </x:c>
      <x:c r="Q768" s="72" t="n">
        <x:v>0</x:v>
      </x:c>
      <x:c r="R768" s="55" t="str">
        <x:f>IF($D768="","",ROUND(MAX(0,MIN(100,0.35*$J768+0.2*$K768+0.15*$L768+0.15*$M768+0.1*$N768+0.05*$O768-IF(OR($P768="Out",$P768="Suspended"),$Q768,IF($P768="Doubtful",$Q768*0.5,IF($P768="Limited",$Q768*0.25,0))))),2))</x:f>
      </x:c>
      <x:c r="S768" s="55" t="n">
        <x:f>IF($D768="",0,ROUND(IF(OR($P768="Out",$P768="Suspended"),$Q768*$H768,IF($P768="Doubtful",$Q768*$H768*0.5,IF($P768="Limited",$Q768*$H768*0.25,0))),2))</x:f>
        <x:v>0</x:v>
      </x:c>
      <x:c r="T768" s="55" t="str"/>
      <x:c r="U768" s="51" t="str"/>
    </x:row>
    <x:row r="769">
      <x:c r="A769" s="51" t="str">
        <x:v>Saudi Arabia</x:v>
      </x:c>
      <x:c r="B769" s="51" t="str">
        <x:v>H</x:v>
      </x:c>
      <x:c r="C769" s="51" t="n">
        <x:v>11</x:v>
      </x:c>
      <x:c r="D769" s="71" t="str"/>
      <x:c r="E769" s="51" t="str">
        <x:v>DM</x:v>
      </x:c>
      <x:c r="F769" s="51" t="str">
        <x:v>Midfield</x:v>
      </x:c>
      <x:c r="G769" s="51" t="str">
        <x:v>Starter</x:v>
      </x:c>
      <x:c r="H769" s="55" t="n">
        <x:v>1</x:v>
      </x:c>
      <x:c r="I769" s="51" t="str"/>
      <x:c r="J769" s="72" t="str"/>
      <x:c r="K769" s="72" t="str"/>
      <x:c r="L769" s="72" t="str"/>
      <x:c r="M769" s="72" t="str"/>
      <x:c r="N769" s="72" t="str"/>
      <x:c r="O769" s="72" t="str"/>
      <x:c r="P769" s="72" t="str">
        <x:v>Available</x:v>
      </x:c>
      <x:c r="Q769" s="72" t="n">
        <x:v>0</x:v>
      </x:c>
      <x:c r="R769" s="55" t="str">
        <x:f>IF($D769="","",ROUND(MAX(0,MIN(100,0.35*$J769+0.2*$K769+0.15*$L769+0.15*$M769+0.1*$N769+0.05*$O769-IF(OR($P769="Out",$P769="Suspended"),$Q769,IF($P769="Doubtful",$Q769*0.5,IF($P769="Limited",$Q769*0.25,0))))),2))</x:f>
      </x:c>
      <x:c r="S769" s="55" t="n">
        <x:f>IF($D769="",0,ROUND(IF(OR($P769="Out",$P769="Suspended"),$Q769*$H769,IF($P769="Doubtful",$Q769*$H769*0.5,IF($P769="Limited",$Q769*$H769*0.25,0))),2))</x:f>
        <x:v>0</x:v>
      </x:c>
      <x:c r="T769" s="55" t="str"/>
      <x:c r="U769" s="51" t="str"/>
    </x:row>
    <x:row r="770">
      <x:c r="A770" s="51" t="str">
        <x:v>Saudi Arabia</x:v>
      </x:c>
      <x:c r="B770" s="51" t="str">
        <x:v>H</x:v>
      </x:c>
      <x:c r="C770" s="51" t="n">
        <x:v>12</x:v>
      </x:c>
      <x:c r="D770" s="71" t="str"/>
      <x:c r="E770" s="51" t="str">
        <x:v>CM</x:v>
      </x:c>
      <x:c r="F770" s="51" t="str">
        <x:v>Midfield</x:v>
      </x:c>
      <x:c r="G770" s="51" t="str">
        <x:v>Rotation</x:v>
      </x:c>
      <x:c r="H770" s="55" t="n">
        <x:v>0.35</x:v>
      </x:c>
      <x:c r="I770" s="51" t="str"/>
      <x:c r="J770" s="72" t="str"/>
      <x:c r="K770" s="72" t="str"/>
      <x:c r="L770" s="72" t="str"/>
      <x:c r="M770" s="72" t="str"/>
      <x:c r="N770" s="72" t="str"/>
      <x:c r="O770" s="72" t="str"/>
      <x:c r="P770" s="72" t="str">
        <x:v>Available</x:v>
      </x:c>
      <x:c r="Q770" s="72" t="n">
        <x:v>0</x:v>
      </x:c>
      <x:c r="R770" s="55" t="str">
        <x:f>IF($D770="","",ROUND(MAX(0,MIN(100,0.35*$J770+0.2*$K770+0.15*$L770+0.15*$M770+0.1*$N770+0.05*$O770-IF(OR($P770="Out",$P770="Suspended"),$Q770,IF($P770="Doubtful",$Q770*0.5,IF($P770="Limited",$Q770*0.25,0))))),2))</x:f>
      </x:c>
      <x:c r="S770" s="55" t="n">
        <x:f>IF($D770="",0,ROUND(IF(OR($P770="Out",$P770="Suspended"),$Q770*$H770,IF($P770="Doubtful",$Q770*$H770*0.5,IF($P770="Limited",$Q770*$H770*0.25,0))),2))</x:f>
        <x:v>0</x:v>
      </x:c>
      <x:c r="T770" s="55" t="str"/>
      <x:c r="U770" s="51" t="str"/>
    </x:row>
    <x:row r="771">
      <x:c r="A771" s="51" t="str">
        <x:v>Saudi Arabia</x:v>
      </x:c>
      <x:c r="B771" s="51" t="str">
        <x:v>H</x:v>
      </x:c>
      <x:c r="C771" s="51" t="n">
        <x:v>13</x:v>
      </x:c>
      <x:c r="D771" s="71" t="str"/>
      <x:c r="E771" s="51" t="str">
        <x:v>CM</x:v>
      </x:c>
      <x:c r="F771" s="51" t="str">
        <x:v>Midfield</x:v>
      </x:c>
      <x:c r="G771" s="51" t="str">
        <x:v>Rotation</x:v>
      </x:c>
      <x:c r="H771" s="55" t="n">
        <x:v>0.35</x:v>
      </x:c>
      <x:c r="I771" s="51" t="str"/>
      <x:c r="J771" s="72" t="str"/>
      <x:c r="K771" s="72" t="str"/>
      <x:c r="L771" s="72" t="str"/>
      <x:c r="M771" s="72" t="str"/>
      <x:c r="N771" s="72" t="str"/>
      <x:c r="O771" s="72" t="str"/>
      <x:c r="P771" s="72" t="str">
        <x:v>Available</x:v>
      </x:c>
      <x:c r="Q771" s="72" t="n">
        <x:v>0</x:v>
      </x:c>
      <x:c r="R771" s="55" t="str">
        <x:f>IF($D771="","",ROUND(MAX(0,MIN(100,0.35*$J771+0.2*$K771+0.15*$L771+0.15*$M771+0.1*$N771+0.05*$O771-IF(OR($P771="Out",$P771="Suspended"),$Q771,IF($P771="Doubtful",$Q771*0.5,IF($P771="Limited",$Q771*0.25,0))))),2))</x:f>
      </x:c>
      <x:c r="S771" s="55" t="n">
        <x:f>IF($D771="",0,ROUND(IF(OR($P771="Out",$P771="Suspended"),$Q771*$H771,IF($P771="Doubtful",$Q771*$H771*0.5,IF($P771="Limited",$Q771*$H771*0.25,0))),2))</x:f>
        <x:v>0</x:v>
      </x:c>
      <x:c r="T771" s="55" t="str"/>
      <x:c r="U771" s="51" t="str"/>
    </x:row>
    <x:row r="772">
      <x:c r="A772" s="51" t="str">
        <x:v>Saudi Arabia</x:v>
      </x:c>
      <x:c r="B772" s="51" t="str">
        <x:v>H</x:v>
      </x:c>
      <x:c r="C772" s="51" t="n">
        <x:v>14</x:v>
      </x:c>
      <x:c r="D772" s="71" t="str"/>
      <x:c r="E772" s="51" t="str">
        <x:v>CM</x:v>
      </x:c>
      <x:c r="F772" s="51" t="str">
        <x:v>Midfield</x:v>
      </x:c>
      <x:c r="G772" s="51" t="str">
        <x:v>Rotation</x:v>
      </x:c>
      <x:c r="H772" s="55" t="n">
        <x:v>0.35</x:v>
      </x:c>
      <x:c r="I772" s="51" t="str"/>
      <x:c r="J772" s="72" t="str"/>
      <x:c r="K772" s="72" t="str"/>
      <x:c r="L772" s="72" t="str"/>
      <x:c r="M772" s="72" t="str"/>
      <x:c r="N772" s="72" t="str"/>
      <x:c r="O772" s="72" t="str"/>
      <x:c r="P772" s="72" t="str">
        <x:v>Available</x:v>
      </x:c>
      <x:c r="Q772" s="72" t="n">
        <x:v>0</x:v>
      </x:c>
      <x:c r="R772" s="55" t="str">
        <x:f>IF($D772="","",ROUND(MAX(0,MIN(100,0.35*$J772+0.2*$K772+0.15*$L772+0.15*$M772+0.1*$N772+0.05*$O772-IF(OR($P772="Out",$P772="Suspended"),$Q772,IF($P772="Doubtful",$Q772*0.5,IF($P772="Limited",$Q772*0.25,0))))),2))</x:f>
      </x:c>
      <x:c r="S772" s="55" t="n">
        <x:f>IF($D772="",0,ROUND(IF(OR($P772="Out",$P772="Suspended"),$Q772*$H772,IF($P772="Doubtful",$Q772*$H772*0.5,IF($P772="Limited",$Q772*$H772*0.25,0))),2))</x:f>
        <x:v>0</x:v>
      </x:c>
      <x:c r="T772" s="55" t="str"/>
      <x:c r="U772" s="51" t="str"/>
    </x:row>
    <x:row r="773">
      <x:c r="A773" s="51" t="str">
        <x:v>Saudi Arabia</x:v>
      </x:c>
      <x:c r="B773" s="51" t="str">
        <x:v>H</x:v>
      </x:c>
      <x:c r="C773" s="51" t="n">
        <x:v>15</x:v>
      </x:c>
      <x:c r="D773" s="71" t="str"/>
      <x:c r="E773" s="51" t="str">
        <x:v>CM</x:v>
      </x:c>
      <x:c r="F773" s="51" t="str">
        <x:v>Midfield</x:v>
      </x:c>
      <x:c r="G773" s="51" t="str">
        <x:v>Rotation</x:v>
      </x:c>
      <x:c r="H773" s="55" t="n">
        <x:v>0.35</x:v>
      </x:c>
      <x:c r="I773" s="51" t="str"/>
      <x:c r="J773" s="72" t="str"/>
      <x:c r="K773" s="72" t="str"/>
      <x:c r="L773" s="72" t="str"/>
      <x:c r="M773" s="72" t="str"/>
      <x:c r="N773" s="72" t="str"/>
      <x:c r="O773" s="72" t="str"/>
      <x:c r="P773" s="72" t="str">
        <x:v>Available</x:v>
      </x:c>
      <x:c r="Q773" s="72" t="n">
        <x:v>0</x:v>
      </x:c>
      <x:c r="R773" s="55" t="str">
        <x:f>IF($D773="","",ROUND(MAX(0,MIN(100,0.35*$J773+0.2*$K773+0.15*$L773+0.15*$M773+0.1*$N773+0.05*$O773-IF(OR($P773="Out",$P773="Suspended"),$Q773,IF($P773="Doubtful",$Q773*0.5,IF($P773="Limited",$Q773*0.25,0))))),2))</x:f>
      </x:c>
      <x:c r="S773" s="55" t="n">
        <x:f>IF($D773="",0,ROUND(IF(OR($P773="Out",$P773="Suspended"),$Q773*$H773,IF($P773="Doubtful",$Q773*$H773*0.5,IF($P773="Limited",$Q773*$H773*0.25,0))),2))</x:f>
        <x:v>0</x:v>
      </x:c>
      <x:c r="T773" s="55" t="str"/>
      <x:c r="U773" s="51" t="str"/>
    </x:row>
    <x:row r="774">
      <x:c r="A774" s="51" t="str">
        <x:v>Saudi Arabia</x:v>
      </x:c>
      <x:c r="B774" s="51" t="str">
        <x:v>H</x:v>
      </x:c>
      <x:c r="C774" s="51" t="n">
        <x:v>16</x:v>
      </x:c>
      <x:c r="D774" s="71" t="str"/>
      <x:c r="E774" s="51" t="str">
        <x:v>AM</x:v>
      </x:c>
      <x:c r="F774" s="51" t="str">
        <x:v>Attack</x:v>
      </x:c>
      <x:c r="G774" s="51" t="str">
        <x:v>Rotation</x:v>
      </x:c>
      <x:c r="H774" s="55" t="n">
        <x:v>0.35</x:v>
      </x:c>
      <x:c r="I774" s="51" t="str"/>
      <x:c r="J774" s="72" t="str"/>
      <x:c r="K774" s="72" t="str"/>
      <x:c r="L774" s="72" t="str"/>
      <x:c r="M774" s="72" t="str"/>
      <x:c r="N774" s="72" t="str"/>
      <x:c r="O774" s="72" t="str"/>
      <x:c r="P774" s="72" t="str">
        <x:v>Available</x:v>
      </x:c>
      <x:c r="Q774" s="72" t="n">
        <x:v>0</x:v>
      </x:c>
      <x:c r="R774" s="55" t="str">
        <x:f>IF($D774="","",ROUND(MAX(0,MIN(100,0.35*$J774+0.2*$K774+0.15*$L774+0.15*$M774+0.1*$N774+0.05*$O774-IF(OR($P774="Out",$P774="Suspended"),$Q774,IF($P774="Doubtful",$Q774*0.5,IF($P774="Limited",$Q774*0.25,0))))),2))</x:f>
      </x:c>
      <x:c r="S774" s="55" t="n">
        <x:f>IF($D774="",0,ROUND(IF(OR($P774="Out",$P774="Suspended"),$Q774*$H774,IF($P774="Doubtful",$Q774*$H774*0.5,IF($P774="Limited",$Q774*$H774*0.25,0))),2))</x:f>
        <x:v>0</x:v>
      </x:c>
      <x:c r="T774" s="55" t="str"/>
      <x:c r="U774" s="51" t="str"/>
    </x:row>
    <x:row r="775">
      <x:c r="A775" s="51" t="str">
        <x:v>Saudi Arabia</x:v>
      </x:c>
      <x:c r="B775" s="51" t="str">
        <x:v>H</x:v>
      </x:c>
      <x:c r="C775" s="51" t="n">
        <x:v>17</x:v>
      </x:c>
      <x:c r="D775" s="71" t="str"/>
      <x:c r="E775" s="51" t="str">
        <x:v>AM</x:v>
      </x:c>
      <x:c r="F775" s="51" t="str">
        <x:v>Attack</x:v>
      </x:c>
      <x:c r="G775" s="51" t="str">
        <x:v>Rotation</x:v>
      </x:c>
      <x:c r="H775" s="55" t="n">
        <x:v>0.35</x:v>
      </x:c>
      <x:c r="I775" s="51" t="str"/>
      <x:c r="J775" s="72" t="str"/>
      <x:c r="K775" s="72" t="str"/>
      <x:c r="L775" s="72" t="str"/>
      <x:c r="M775" s="72" t="str"/>
      <x:c r="N775" s="72" t="str"/>
      <x:c r="O775" s="72" t="str"/>
      <x:c r="P775" s="72" t="str">
        <x:v>Available</x:v>
      </x:c>
      <x:c r="Q775" s="72" t="n">
        <x:v>0</x:v>
      </x:c>
      <x:c r="R775" s="55" t="str">
        <x:f>IF($D775="","",ROUND(MAX(0,MIN(100,0.35*$J775+0.2*$K775+0.15*$L775+0.15*$M775+0.1*$N775+0.05*$O775-IF(OR($P775="Out",$P775="Suspended"),$Q775,IF($P775="Doubtful",$Q775*0.5,IF($P775="Limited",$Q775*0.25,0))))),2))</x:f>
      </x:c>
      <x:c r="S775" s="55" t="n">
        <x:f>IF($D775="",0,ROUND(IF(OR($P775="Out",$P775="Suspended"),$Q775*$H775,IF($P775="Doubtful",$Q775*$H775*0.5,IF($P775="Limited",$Q775*$H775*0.25,0))),2))</x:f>
        <x:v>0</x:v>
      </x:c>
      <x:c r="T775" s="55" t="str"/>
      <x:c r="U775" s="51" t="str"/>
    </x:row>
    <x:row r="776">
      <x:c r="A776" s="51" t="str">
        <x:v>Saudi Arabia</x:v>
      </x:c>
      <x:c r="B776" s="51" t="str">
        <x:v>H</x:v>
      </x:c>
      <x:c r="C776" s="51" t="n">
        <x:v>18</x:v>
      </x:c>
      <x:c r="D776" s="71" t="str"/>
      <x:c r="E776" s="51" t="str">
        <x:v>AM</x:v>
      </x:c>
      <x:c r="F776" s="51" t="str">
        <x:v>Attack</x:v>
      </x:c>
      <x:c r="G776" s="51" t="str">
        <x:v>Rotation</x:v>
      </x:c>
      <x:c r="H776" s="55" t="n">
        <x:v>0.35</x:v>
      </x:c>
      <x:c r="I776" s="51" t="str"/>
      <x:c r="J776" s="72" t="str"/>
      <x:c r="K776" s="72" t="str"/>
      <x:c r="L776" s="72" t="str"/>
      <x:c r="M776" s="72" t="str"/>
      <x:c r="N776" s="72" t="str"/>
      <x:c r="O776" s="72" t="str"/>
      <x:c r="P776" s="72" t="str">
        <x:v>Available</x:v>
      </x:c>
      <x:c r="Q776" s="72" t="n">
        <x:v>0</x:v>
      </x:c>
      <x:c r="R776" s="55" t="str">
        <x:f>IF($D776="","",ROUND(MAX(0,MIN(100,0.35*$J776+0.2*$K776+0.15*$L776+0.15*$M776+0.1*$N776+0.05*$O776-IF(OR($P776="Out",$P776="Suspended"),$Q776,IF($P776="Doubtful",$Q776*0.5,IF($P776="Limited",$Q776*0.25,0))))),2))</x:f>
      </x:c>
      <x:c r="S776" s="55" t="n">
        <x:f>IF($D776="",0,ROUND(IF(OR($P776="Out",$P776="Suspended"),$Q776*$H776,IF($P776="Doubtful",$Q776*$H776*0.5,IF($P776="Limited",$Q776*$H776*0.25,0))),2))</x:f>
        <x:v>0</x:v>
      </x:c>
      <x:c r="T776" s="55" t="str"/>
      <x:c r="U776" s="51" t="str"/>
    </x:row>
    <x:row r="777">
      <x:c r="A777" s="51" t="str">
        <x:v>Saudi Arabia</x:v>
      </x:c>
      <x:c r="B777" s="51" t="str">
        <x:v>H</x:v>
      </x:c>
      <x:c r="C777" s="51" t="n">
        <x:v>19</x:v>
      </x:c>
      <x:c r="D777" s="71" t="str"/>
      <x:c r="E777" s="51" t="str">
        <x:v>AM</x:v>
      </x:c>
      <x:c r="F777" s="51" t="str">
        <x:v>Attack</x:v>
      </x:c>
      <x:c r="G777" s="51" t="str">
        <x:v>Rotation</x:v>
      </x:c>
      <x:c r="H777" s="55" t="n">
        <x:v>0.35</x:v>
      </x:c>
      <x:c r="I777" s="51" t="str"/>
      <x:c r="J777" s="72" t="str"/>
      <x:c r="K777" s="72" t="str"/>
      <x:c r="L777" s="72" t="str"/>
      <x:c r="M777" s="72" t="str"/>
      <x:c r="N777" s="72" t="str"/>
      <x:c r="O777" s="72" t="str"/>
      <x:c r="P777" s="72" t="str">
        <x:v>Available</x:v>
      </x:c>
      <x:c r="Q777" s="72" t="n">
        <x:v>0</x:v>
      </x:c>
      <x:c r="R777" s="55" t="str">
        <x:f>IF($D777="","",ROUND(MAX(0,MIN(100,0.35*$J777+0.2*$K777+0.15*$L777+0.15*$M777+0.1*$N777+0.05*$O777-IF(OR($P777="Out",$P777="Suspended"),$Q777,IF($P777="Doubtful",$Q777*0.5,IF($P777="Limited",$Q777*0.25,0))))),2))</x:f>
      </x:c>
      <x:c r="S777" s="55" t="n">
        <x:f>IF($D777="",0,ROUND(IF(OR($P777="Out",$P777="Suspended"),$Q777*$H777,IF($P777="Doubtful",$Q777*$H777*0.5,IF($P777="Limited",$Q777*$H777*0.25,0))),2))</x:f>
        <x:v>0</x:v>
      </x:c>
      <x:c r="T777" s="55" t="str"/>
      <x:c r="U777" s="51" t="str"/>
    </x:row>
    <x:row r="778">
      <x:c r="A778" s="51" t="str">
        <x:v>Saudi Arabia</x:v>
      </x:c>
      <x:c r="B778" s="51" t="str">
        <x:v>H</x:v>
      </x:c>
      <x:c r="C778" s="51" t="n">
        <x:v>20</x:v>
      </x:c>
      <x:c r="D778" s="71" t="str"/>
      <x:c r="E778" s="51" t="str">
        <x:v>Winger</x:v>
      </x:c>
      <x:c r="F778" s="51" t="str">
        <x:v>Attack</x:v>
      </x:c>
      <x:c r="G778" s="51" t="str">
        <x:v>Rotation</x:v>
      </x:c>
      <x:c r="H778" s="55" t="n">
        <x:v>0.35</x:v>
      </x:c>
      <x:c r="I778" s="51" t="str"/>
      <x:c r="J778" s="72" t="str"/>
      <x:c r="K778" s="72" t="str"/>
      <x:c r="L778" s="72" t="str"/>
      <x:c r="M778" s="72" t="str"/>
      <x:c r="N778" s="72" t="str"/>
      <x:c r="O778" s="72" t="str"/>
      <x:c r="P778" s="72" t="str">
        <x:v>Available</x:v>
      </x:c>
      <x:c r="Q778" s="72" t="n">
        <x:v>0</x:v>
      </x:c>
      <x:c r="R778" s="55" t="str">
        <x:f>IF($D778="","",ROUND(MAX(0,MIN(100,0.35*$J778+0.2*$K778+0.15*$L778+0.15*$M778+0.1*$N778+0.05*$O778-IF(OR($P778="Out",$P778="Suspended"),$Q778,IF($P778="Doubtful",$Q778*0.5,IF($P778="Limited",$Q778*0.25,0))))),2))</x:f>
      </x:c>
      <x:c r="S778" s="55" t="n">
        <x:f>IF($D778="",0,ROUND(IF(OR($P778="Out",$P778="Suspended"),$Q778*$H778,IF($P778="Doubtful",$Q778*$H778*0.5,IF($P778="Limited",$Q778*$H778*0.25,0))),2))</x:f>
        <x:v>0</x:v>
      </x:c>
      <x:c r="T778" s="55" t="str"/>
      <x:c r="U778" s="51" t="str"/>
    </x:row>
    <x:row r="779">
      <x:c r="A779" s="51" t="str">
        <x:v>Saudi Arabia</x:v>
      </x:c>
      <x:c r="B779" s="51" t="str">
        <x:v>H</x:v>
      </x:c>
      <x:c r="C779" s="51" t="n">
        <x:v>21</x:v>
      </x:c>
      <x:c r="D779" s="71" t="str"/>
      <x:c r="E779" s="51" t="str">
        <x:v>Winger</x:v>
      </x:c>
      <x:c r="F779" s="51" t="str">
        <x:v>Attack</x:v>
      </x:c>
      <x:c r="G779" s="51" t="str">
        <x:v>Depth</x:v>
      </x:c>
      <x:c r="H779" s="55" t="n">
        <x:v>0.1</x:v>
      </x:c>
      <x:c r="I779" s="51" t="str"/>
      <x:c r="J779" s="72" t="str"/>
      <x:c r="K779" s="72" t="str"/>
      <x:c r="L779" s="72" t="str"/>
      <x:c r="M779" s="72" t="str"/>
      <x:c r="N779" s="72" t="str"/>
      <x:c r="O779" s="72" t="str"/>
      <x:c r="P779" s="72" t="str">
        <x:v>Available</x:v>
      </x:c>
      <x:c r="Q779" s="72" t="n">
        <x:v>0</x:v>
      </x:c>
      <x:c r="R779" s="55" t="str">
        <x:f>IF($D779="","",ROUND(MAX(0,MIN(100,0.35*$J779+0.2*$K779+0.15*$L779+0.15*$M779+0.1*$N779+0.05*$O779-IF(OR($P779="Out",$P779="Suspended"),$Q779,IF($P779="Doubtful",$Q779*0.5,IF($P779="Limited",$Q779*0.25,0))))),2))</x:f>
      </x:c>
      <x:c r="S779" s="55" t="n">
        <x:f>IF($D779="",0,ROUND(IF(OR($P779="Out",$P779="Suspended"),$Q779*$H779,IF($P779="Doubtful",$Q779*$H779*0.5,IF($P779="Limited",$Q779*$H779*0.25,0))),2))</x:f>
        <x:v>0</x:v>
      </x:c>
      <x:c r="T779" s="55" t="str"/>
      <x:c r="U779" s="51" t="str"/>
    </x:row>
    <x:row r="780">
      <x:c r="A780" s="51" t="str">
        <x:v>Saudi Arabia</x:v>
      </x:c>
      <x:c r="B780" s="51" t="str">
        <x:v>H</x:v>
      </x:c>
      <x:c r="C780" s="51" t="n">
        <x:v>22</x:v>
      </x:c>
      <x:c r="D780" s="71" t="str"/>
      <x:c r="E780" s="51" t="str">
        <x:v>Winger</x:v>
      </x:c>
      <x:c r="F780" s="51" t="str">
        <x:v>Attack</x:v>
      </x:c>
      <x:c r="G780" s="51" t="str">
        <x:v>Depth</x:v>
      </x:c>
      <x:c r="H780" s="55" t="n">
        <x:v>0.1</x:v>
      </x:c>
      <x:c r="I780" s="51" t="str"/>
      <x:c r="J780" s="72" t="str"/>
      <x:c r="K780" s="72" t="str"/>
      <x:c r="L780" s="72" t="str"/>
      <x:c r="M780" s="72" t="str"/>
      <x:c r="N780" s="72" t="str"/>
      <x:c r="O780" s="72" t="str"/>
      <x:c r="P780" s="72" t="str">
        <x:v>Available</x:v>
      </x:c>
      <x:c r="Q780" s="72" t="n">
        <x:v>0</x:v>
      </x:c>
      <x:c r="R780" s="55" t="str">
        <x:f>IF($D780="","",ROUND(MAX(0,MIN(100,0.35*$J780+0.2*$K780+0.15*$L780+0.15*$M780+0.1*$N780+0.05*$O780-IF(OR($P780="Out",$P780="Suspended"),$Q780,IF($P780="Doubtful",$Q780*0.5,IF($P780="Limited",$Q780*0.25,0))))),2))</x:f>
      </x:c>
      <x:c r="S780" s="55" t="n">
        <x:f>IF($D780="",0,ROUND(IF(OR($P780="Out",$P780="Suspended"),$Q780*$H780,IF($P780="Doubtful",$Q780*$H780*0.5,IF($P780="Limited",$Q780*$H780*0.25,0))),2))</x:f>
        <x:v>0</x:v>
      </x:c>
      <x:c r="T780" s="55" t="str"/>
      <x:c r="U780" s="51" t="str"/>
    </x:row>
    <x:row r="781">
      <x:c r="A781" s="51" t="str">
        <x:v>Saudi Arabia</x:v>
      </x:c>
      <x:c r="B781" s="51" t="str">
        <x:v>H</x:v>
      </x:c>
      <x:c r="C781" s="51" t="n">
        <x:v>23</x:v>
      </x:c>
      <x:c r="D781" s="71" t="str"/>
      <x:c r="E781" s="51" t="str">
        <x:v>Winger</x:v>
      </x:c>
      <x:c r="F781" s="51" t="str">
        <x:v>Attack</x:v>
      </x:c>
      <x:c r="G781" s="51" t="str">
        <x:v>Depth</x:v>
      </x:c>
      <x:c r="H781" s="55" t="n">
        <x:v>0.1</x:v>
      </x:c>
      <x:c r="I781" s="51" t="str"/>
      <x:c r="J781" s="72" t="str"/>
      <x:c r="K781" s="72" t="str"/>
      <x:c r="L781" s="72" t="str"/>
      <x:c r="M781" s="72" t="str"/>
      <x:c r="N781" s="72" t="str"/>
      <x:c r="O781" s="72" t="str"/>
      <x:c r="P781" s="72" t="str">
        <x:v>Available</x:v>
      </x:c>
      <x:c r="Q781" s="72" t="n">
        <x:v>0</x:v>
      </x:c>
      <x:c r="R781" s="55" t="str">
        <x:f>IF($D781="","",ROUND(MAX(0,MIN(100,0.35*$J781+0.2*$K781+0.15*$L781+0.15*$M781+0.1*$N781+0.05*$O781-IF(OR($P781="Out",$P781="Suspended"),$Q781,IF($P781="Doubtful",$Q781*0.5,IF($P781="Limited",$Q781*0.25,0))))),2))</x:f>
      </x:c>
      <x:c r="S781" s="55" t="n">
        <x:f>IF($D781="",0,ROUND(IF(OR($P781="Out",$P781="Suspended"),$Q781*$H781,IF($P781="Doubtful",$Q781*$H781*0.5,IF($P781="Limited",$Q781*$H781*0.25,0))),2))</x:f>
        <x:v>0</x:v>
      </x:c>
      <x:c r="T781" s="55" t="str"/>
      <x:c r="U781" s="51" t="str"/>
    </x:row>
    <x:row r="782">
      <x:c r="A782" s="51" t="str">
        <x:v>Saudi Arabia</x:v>
      </x:c>
      <x:c r="B782" s="51" t="str">
        <x:v>H</x:v>
      </x:c>
      <x:c r="C782" s="51" t="n">
        <x:v>24</x:v>
      </x:c>
      <x:c r="D782" s="71" t="str"/>
      <x:c r="E782" s="51" t="str">
        <x:v>ST</x:v>
      </x:c>
      <x:c r="F782" s="51" t="str">
        <x:v>Attack</x:v>
      </x:c>
      <x:c r="G782" s="51" t="str">
        <x:v>Depth</x:v>
      </x:c>
      <x:c r="H782" s="55" t="n">
        <x:v>0.1</x:v>
      </x:c>
      <x:c r="I782" s="51" t="str"/>
      <x:c r="J782" s="72" t="str"/>
      <x:c r="K782" s="72" t="str"/>
      <x:c r="L782" s="72" t="str"/>
      <x:c r="M782" s="72" t="str"/>
      <x:c r="N782" s="72" t="str"/>
      <x:c r="O782" s="72" t="str"/>
      <x:c r="P782" s="72" t="str">
        <x:v>Available</x:v>
      </x:c>
      <x:c r="Q782" s="72" t="n">
        <x:v>0</x:v>
      </x:c>
      <x:c r="R782" s="55" t="str">
        <x:f>IF($D782="","",ROUND(MAX(0,MIN(100,0.35*$J782+0.2*$K782+0.15*$L782+0.15*$M782+0.1*$N782+0.05*$O782-IF(OR($P782="Out",$P782="Suspended"),$Q782,IF($P782="Doubtful",$Q782*0.5,IF($P782="Limited",$Q782*0.25,0))))),2))</x:f>
      </x:c>
      <x:c r="S782" s="55" t="n">
        <x:f>IF($D782="",0,ROUND(IF(OR($P782="Out",$P782="Suspended"),$Q782*$H782,IF($P782="Doubtful",$Q782*$H782*0.5,IF($P782="Limited",$Q782*$H782*0.25,0))),2))</x:f>
        <x:v>0</x:v>
      </x:c>
      <x:c r="T782" s="55" t="str"/>
      <x:c r="U782" s="51" t="str"/>
    </x:row>
    <x:row r="783">
      <x:c r="A783" s="51" t="str">
        <x:v>Saudi Arabia</x:v>
      </x:c>
      <x:c r="B783" s="51" t="str">
        <x:v>H</x:v>
      </x:c>
      <x:c r="C783" s="51" t="n">
        <x:v>25</x:v>
      </x:c>
      <x:c r="D783" s="71" t="str"/>
      <x:c r="E783" s="51" t="str">
        <x:v>ST</x:v>
      </x:c>
      <x:c r="F783" s="51" t="str">
        <x:v>Attack</x:v>
      </x:c>
      <x:c r="G783" s="51" t="str">
        <x:v>Depth</x:v>
      </x:c>
      <x:c r="H783" s="55" t="n">
        <x:v>0.1</x:v>
      </x:c>
      <x:c r="I783" s="51" t="str"/>
      <x:c r="J783" s="72" t="str"/>
      <x:c r="K783" s="72" t="str"/>
      <x:c r="L783" s="72" t="str"/>
      <x:c r="M783" s="72" t="str"/>
      <x:c r="N783" s="72" t="str"/>
      <x:c r="O783" s="72" t="str"/>
      <x:c r="P783" s="72" t="str">
        <x:v>Available</x:v>
      </x:c>
      <x:c r="Q783" s="72" t="n">
        <x:v>0</x:v>
      </x:c>
      <x:c r="R783" s="55" t="str">
        <x:f>IF($D783="","",ROUND(MAX(0,MIN(100,0.35*$J783+0.2*$K783+0.15*$L783+0.15*$M783+0.1*$N783+0.05*$O783-IF(OR($P783="Out",$P783="Suspended"),$Q783,IF($P783="Doubtful",$Q783*0.5,IF($P783="Limited",$Q783*0.25,0))))),2))</x:f>
      </x:c>
      <x:c r="S783" s="55" t="n">
        <x:f>IF($D783="",0,ROUND(IF(OR($P783="Out",$P783="Suspended"),$Q783*$H783,IF($P783="Doubtful",$Q783*$H783*0.5,IF($P783="Limited",$Q783*$H783*0.25,0))),2))</x:f>
        <x:v>0</x:v>
      </x:c>
      <x:c r="T783" s="55" t="str"/>
      <x:c r="U783" s="51" t="str"/>
    </x:row>
    <x:row r="784">
      <x:c r="A784" s="51" t="str">
        <x:v>Saudi Arabia</x:v>
      </x:c>
      <x:c r="B784" s="51" t="str">
        <x:v>H</x:v>
      </x:c>
      <x:c r="C784" s="51" t="n">
        <x:v>26</x:v>
      </x:c>
      <x:c r="D784" s="71" t="str"/>
      <x:c r="E784" s="51" t="str">
        <x:v>ST</x:v>
      </x:c>
      <x:c r="F784" s="51" t="str">
        <x:v>Attack</x:v>
      </x:c>
      <x:c r="G784" s="51" t="str">
        <x:v>Depth</x:v>
      </x:c>
      <x:c r="H784" s="55" t="n">
        <x:v>0.1</x:v>
      </x:c>
      <x:c r="I784" s="51" t="str"/>
      <x:c r="J784" s="72" t="str"/>
      <x:c r="K784" s="72" t="str"/>
      <x:c r="L784" s="72" t="str"/>
      <x:c r="M784" s="72" t="str"/>
      <x:c r="N784" s="72" t="str"/>
      <x:c r="O784" s="72" t="str"/>
      <x:c r="P784" s="72" t="str">
        <x:v>Available</x:v>
      </x:c>
      <x:c r="Q784" s="72" t="n">
        <x:v>0</x:v>
      </x:c>
      <x:c r="R784" s="55" t="str">
        <x:f>IF($D784="","",ROUND(MAX(0,MIN(100,0.35*$J784+0.2*$K784+0.15*$L784+0.15*$M784+0.1*$N784+0.05*$O784-IF(OR($P784="Out",$P784="Suspended"),$Q784,IF($P784="Doubtful",$Q784*0.5,IF($P784="Limited",$Q784*0.25,0))))),2))</x:f>
      </x:c>
      <x:c r="S784" s="55" t="n">
        <x:f>IF($D784="",0,ROUND(IF(OR($P784="Out",$P784="Suspended"),$Q784*$H784,IF($P784="Doubtful",$Q784*$H784*0.5,IF($P784="Limited",$Q784*$H784*0.25,0))),2))</x:f>
        <x:v>0</x:v>
      </x:c>
      <x:c r="T784" s="55" t="str"/>
      <x:c r="U784" s="51" t="str"/>
    </x:row>
    <x:row r="785">
      <x:c r="A785" s="51" t="str">
        <x:v>Spain</x:v>
      </x:c>
      <x:c r="B785" s="51" t="str">
        <x:v>H</x:v>
      </x:c>
      <x:c r="C785" s="51" t="n">
        <x:v>1</x:v>
      </x:c>
      <x:c r="D785" s="71" t="str"/>
      <x:c r="E785" s="51" t="str">
        <x:v>GK</x:v>
      </x:c>
      <x:c r="F785" s="51" t="str">
        <x:v>GK</x:v>
      </x:c>
      <x:c r="G785" s="51" t="str">
        <x:v>Starter</x:v>
      </x:c>
      <x:c r="H785" s="55" t="n">
        <x:v>1</x:v>
      </x:c>
      <x:c r="I785" s="51" t="str"/>
      <x:c r="J785" s="72" t="str"/>
      <x:c r="K785" s="72" t="str"/>
      <x:c r="L785" s="72" t="str"/>
      <x:c r="M785" s="72" t="str"/>
      <x:c r="N785" s="72" t="str"/>
      <x:c r="O785" s="72" t="str"/>
      <x:c r="P785" s="72" t="str">
        <x:v>Available</x:v>
      </x:c>
      <x:c r="Q785" s="72" t="n">
        <x:v>0</x:v>
      </x:c>
      <x:c r="R785" s="55" t="str">
        <x:f>IF($D785="","",ROUND(MAX(0,MIN(100,0.35*$J785+0.2*$K785+0.15*$L785+0.15*$M785+0.1*$N785+0.05*$O785-IF(OR($P785="Out",$P785="Suspended"),$Q785,IF($P785="Doubtful",$Q785*0.5,IF($P785="Limited",$Q785*0.25,0))))),2))</x:f>
      </x:c>
      <x:c r="S785" s="55" t="n">
        <x:f>IF($D785="",0,ROUND(IF(OR($P785="Out",$P785="Suspended"),$Q785*$H785,IF($P785="Doubtful",$Q785*$H785*0.5,IF($P785="Limited",$Q785*$H785*0.25,0))),2))</x:f>
        <x:v>0</x:v>
      </x:c>
      <x:c r="T785" s="55" t="str"/>
      <x:c r="U785" s="51" t="str"/>
    </x:row>
    <x:row r="786">
      <x:c r="A786" s="51" t="str">
        <x:v>Spain</x:v>
      </x:c>
      <x:c r="B786" s="51" t="str">
        <x:v>H</x:v>
      </x:c>
      <x:c r="C786" s="51" t="n">
        <x:v>2</x:v>
      </x:c>
      <x:c r="D786" s="71" t="str"/>
      <x:c r="E786" s="51" t="str">
        <x:v>GK</x:v>
      </x:c>
      <x:c r="F786" s="51" t="str">
        <x:v>GK</x:v>
      </x:c>
      <x:c r="G786" s="51" t="str">
        <x:v>Starter</x:v>
      </x:c>
      <x:c r="H786" s="55" t="n">
        <x:v>1</x:v>
      </x:c>
      <x:c r="I786" s="51" t="str"/>
      <x:c r="J786" s="72" t="str"/>
      <x:c r="K786" s="72" t="str"/>
      <x:c r="L786" s="72" t="str"/>
      <x:c r="M786" s="72" t="str"/>
      <x:c r="N786" s="72" t="str"/>
      <x:c r="O786" s="72" t="str"/>
      <x:c r="P786" s="72" t="str">
        <x:v>Available</x:v>
      </x:c>
      <x:c r="Q786" s="72" t="n">
        <x:v>0</x:v>
      </x:c>
      <x:c r="R786" s="55" t="str">
        <x:f>IF($D786="","",ROUND(MAX(0,MIN(100,0.35*$J786+0.2*$K786+0.15*$L786+0.15*$M786+0.1*$N786+0.05*$O786-IF(OR($P786="Out",$P786="Suspended"),$Q786,IF($P786="Doubtful",$Q786*0.5,IF($P786="Limited",$Q786*0.25,0))))),2))</x:f>
      </x:c>
      <x:c r="S786" s="55" t="n">
        <x:f>IF($D786="",0,ROUND(IF(OR($P786="Out",$P786="Suspended"),$Q786*$H786,IF($P786="Doubtful",$Q786*$H786*0.5,IF($P786="Limited",$Q786*$H786*0.25,0))),2))</x:f>
        <x:v>0</x:v>
      </x:c>
      <x:c r="T786" s="55" t="str"/>
      <x:c r="U786" s="51" t="str"/>
    </x:row>
    <x:row r="787">
      <x:c r="A787" s="51" t="str">
        <x:v>Spain</x:v>
      </x:c>
      <x:c r="B787" s="51" t="str">
        <x:v>H</x:v>
      </x:c>
      <x:c r="C787" s="51" t="n">
        <x:v>3</x:v>
      </x:c>
      <x:c r="D787" s="71" t="str"/>
      <x:c r="E787" s="51" t="str">
        <x:v>GK</x:v>
      </x:c>
      <x:c r="F787" s="51" t="str">
        <x:v>GK</x:v>
      </x:c>
      <x:c r="G787" s="51" t="str">
        <x:v>Starter</x:v>
      </x:c>
      <x:c r="H787" s="55" t="n">
        <x:v>1</x:v>
      </x:c>
      <x:c r="I787" s="51" t="str"/>
      <x:c r="J787" s="72" t="str"/>
      <x:c r="K787" s="72" t="str"/>
      <x:c r="L787" s="72" t="str"/>
      <x:c r="M787" s="72" t="str"/>
      <x:c r="N787" s="72" t="str"/>
      <x:c r="O787" s="72" t="str"/>
      <x:c r="P787" s="72" t="str">
        <x:v>Available</x:v>
      </x:c>
      <x:c r="Q787" s="72" t="n">
        <x:v>0</x:v>
      </x:c>
      <x:c r="R787" s="55" t="str">
        <x:f>IF($D787="","",ROUND(MAX(0,MIN(100,0.35*$J787+0.2*$K787+0.15*$L787+0.15*$M787+0.1*$N787+0.05*$O787-IF(OR($P787="Out",$P787="Suspended"),$Q787,IF($P787="Doubtful",$Q787*0.5,IF($P787="Limited",$Q787*0.25,0))))),2))</x:f>
      </x:c>
      <x:c r="S787" s="55" t="n">
        <x:f>IF($D787="",0,ROUND(IF(OR($P787="Out",$P787="Suspended"),$Q787*$H787,IF($P787="Doubtful",$Q787*$H787*0.5,IF($P787="Limited",$Q787*$H787*0.25,0))),2))</x:f>
        <x:v>0</x:v>
      </x:c>
      <x:c r="T787" s="55" t="str"/>
      <x:c r="U787" s="51" t="str"/>
    </x:row>
    <x:row r="788">
      <x:c r="A788" s="51" t="str">
        <x:v>Spain</x:v>
      </x:c>
      <x:c r="B788" s="51" t="str">
        <x:v>H</x:v>
      </x:c>
      <x:c r="C788" s="51" t="n">
        <x:v>4</x:v>
      </x:c>
      <x:c r="D788" s="71" t="str"/>
      <x:c r="E788" s="51" t="str">
        <x:v>CB</x:v>
      </x:c>
      <x:c r="F788" s="51" t="str">
        <x:v>Defence</x:v>
      </x:c>
      <x:c r="G788" s="51" t="str">
        <x:v>Starter</x:v>
      </x:c>
      <x:c r="H788" s="55" t="n">
        <x:v>1</x:v>
      </x:c>
      <x:c r="I788" s="51" t="str"/>
      <x:c r="J788" s="72" t="str"/>
      <x:c r="K788" s="72" t="str"/>
      <x:c r="L788" s="72" t="str"/>
      <x:c r="M788" s="72" t="str"/>
      <x:c r="N788" s="72" t="str"/>
      <x:c r="O788" s="72" t="str"/>
      <x:c r="P788" s="72" t="str">
        <x:v>Available</x:v>
      </x:c>
      <x:c r="Q788" s="72" t="n">
        <x:v>0</x:v>
      </x:c>
      <x:c r="R788" s="55" t="str">
        <x:f>IF($D788="","",ROUND(MAX(0,MIN(100,0.35*$J788+0.2*$K788+0.15*$L788+0.15*$M788+0.1*$N788+0.05*$O788-IF(OR($P788="Out",$P788="Suspended"),$Q788,IF($P788="Doubtful",$Q788*0.5,IF($P788="Limited",$Q788*0.25,0))))),2))</x:f>
      </x:c>
      <x:c r="S788" s="55" t="n">
        <x:f>IF($D788="",0,ROUND(IF(OR($P788="Out",$P788="Suspended"),$Q788*$H788,IF($P788="Doubtful",$Q788*$H788*0.5,IF($P788="Limited",$Q788*$H788*0.25,0))),2))</x:f>
        <x:v>0</x:v>
      </x:c>
      <x:c r="T788" s="55" t="str"/>
      <x:c r="U788" s="51" t="str"/>
    </x:row>
    <x:row r="789">
      <x:c r="A789" s="51" t="str">
        <x:v>Spain</x:v>
      </x:c>
      <x:c r="B789" s="51" t="str">
        <x:v>H</x:v>
      </x:c>
      <x:c r="C789" s="51" t="n">
        <x:v>5</x:v>
      </x:c>
      <x:c r="D789" s="71" t="str"/>
      <x:c r="E789" s="51" t="str">
        <x:v>CB</x:v>
      </x:c>
      <x:c r="F789" s="51" t="str">
        <x:v>Defence</x:v>
      </x:c>
      <x:c r="G789" s="51" t="str">
        <x:v>Starter</x:v>
      </x:c>
      <x:c r="H789" s="55" t="n">
        <x:v>1</x:v>
      </x:c>
      <x:c r="I789" s="51" t="str"/>
      <x:c r="J789" s="72" t="str"/>
      <x:c r="K789" s="72" t="str"/>
      <x:c r="L789" s="72" t="str"/>
      <x:c r="M789" s="72" t="str"/>
      <x:c r="N789" s="72" t="str"/>
      <x:c r="O789" s="72" t="str"/>
      <x:c r="P789" s="72" t="str">
        <x:v>Available</x:v>
      </x:c>
      <x:c r="Q789" s="72" t="n">
        <x:v>0</x:v>
      </x:c>
      <x:c r="R789" s="55" t="str">
        <x:f>IF($D789="","",ROUND(MAX(0,MIN(100,0.35*$J789+0.2*$K789+0.15*$L789+0.15*$M789+0.1*$N789+0.05*$O789-IF(OR($P789="Out",$P789="Suspended"),$Q789,IF($P789="Doubtful",$Q789*0.5,IF($P789="Limited",$Q789*0.25,0))))),2))</x:f>
      </x:c>
      <x:c r="S789" s="55" t="n">
        <x:f>IF($D789="",0,ROUND(IF(OR($P789="Out",$P789="Suspended"),$Q789*$H789,IF($P789="Doubtful",$Q789*$H789*0.5,IF($P789="Limited",$Q789*$H789*0.25,0))),2))</x:f>
        <x:v>0</x:v>
      </x:c>
      <x:c r="T789" s="55" t="str"/>
      <x:c r="U789" s="51" t="str"/>
    </x:row>
    <x:row r="790">
      <x:c r="A790" s="51" t="str">
        <x:v>Spain</x:v>
      </x:c>
      <x:c r="B790" s="51" t="str">
        <x:v>H</x:v>
      </x:c>
      <x:c r="C790" s="51" t="n">
        <x:v>6</x:v>
      </x:c>
      <x:c r="D790" s="71" t="str"/>
      <x:c r="E790" s="51" t="str">
        <x:v>CB</x:v>
      </x:c>
      <x:c r="F790" s="51" t="str">
        <x:v>Defence</x:v>
      </x:c>
      <x:c r="G790" s="51" t="str">
        <x:v>Starter</x:v>
      </x:c>
      <x:c r="H790" s="55" t="n">
        <x:v>1</x:v>
      </x:c>
      <x:c r="I790" s="51" t="str"/>
      <x:c r="J790" s="72" t="str"/>
      <x:c r="K790" s="72" t="str"/>
      <x:c r="L790" s="72" t="str"/>
      <x:c r="M790" s="72" t="str"/>
      <x:c r="N790" s="72" t="str"/>
      <x:c r="O790" s="72" t="str"/>
      <x:c r="P790" s="72" t="str">
        <x:v>Available</x:v>
      </x:c>
      <x:c r="Q790" s="72" t="n">
        <x:v>0</x:v>
      </x:c>
      <x:c r="R790" s="55" t="str">
        <x:f>IF($D790="","",ROUND(MAX(0,MIN(100,0.35*$J790+0.2*$K790+0.15*$L790+0.15*$M790+0.1*$N790+0.05*$O790-IF(OR($P790="Out",$P790="Suspended"),$Q790,IF($P790="Doubtful",$Q790*0.5,IF($P790="Limited",$Q790*0.25,0))))),2))</x:f>
      </x:c>
      <x:c r="S790" s="55" t="n">
        <x:f>IF($D790="",0,ROUND(IF(OR($P790="Out",$P790="Suspended"),$Q790*$H790,IF($P790="Doubtful",$Q790*$H790*0.5,IF($P790="Limited",$Q790*$H790*0.25,0))),2))</x:f>
        <x:v>0</x:v>
      </x:c>
      <x:c r="T790" s="55" t="str"/>
      <x:c r="U790" s="51" t="str"/>
    </x:row>
    <x:row r="791">
      <x:c r="A791" s="51" t="str">
        <x:v>Spain</x:v>
      </x:c>
      <x:c r="B791" s="51" t="str">
        <x:v>H</x:v>
      </x:c>
      <x:c r="C791" s="51" t="n">
        <x:v>7</x:v>
      </x:c>
      <x:c r="D791" s="71" t="str"/>
      <x:c r="E791" s="51" t="str">
        <x:v>FB</x:v>
      </x:c>
      <x:c r="F791" s="51" t="str">
        <x:v>Defence</x:v>
      </x:c>
      <x:c r="G791" s="51" t="str">
        <x:v>Starter</x:v>
      </x:c>
      <x:c r="H791" s="55" t="n">
        <x:v>1</x:v>
      </x:c>
      <x:c r="I791" s="51" t="str"/>
      <x:c r="J791" s="72" t="str"/>
      <x:c r="K791" s="72" t="str"/>
      <x:c r="L791" s="72" t="str"/>
      <x:c r="M791" s="72" t="str"/>
      <x:c r="N791" s="72" t="str"/>
      <x:c r="O791" s="72" t="str"/>
      <x:c r="P791" s="72" t="str">
        <x:v>Available</x:v>
      </x:c>
      <x:c r="Q791" s="72" t="n">
        <x:v>0</x:v>
      </x:c>
      <x:c r="R791" s="55" t="str">
        <x:f>IF($D791="","",ROUND(MAX(0,MIN(100,0.35*$J791+0.2*$K791+0.15*$L791+0.15*$M791+0.1*$N791+0.05*$O791-IF(OR($P791="Out",$P791="Suspended"),$Q791,IF($P791="Doubtful",$Q791*0.5,IF($P791="Limited",$Q791*0.25,0))))),2))</x:f>
      </x:c>
      <x:c r="S791" s="55" t="n">
        <x:f>IF($D791="",0,ROUND(IF(OR($P791="Out",$P791="Suspended"),$Q791*$H791,IF($P791="Doubtful",$Q791*$H791*0.5,IF($P791="Limited",$Q791*$H791*0.25,0))),2))</x:f>
        <x:v>0</x:v>
      </x:c>
      <x:c r="T791" s="55" t="str"/>
      <x:c r="U791" s="51" t="str"/>
    </x:row>
    <x:row r="792">
      <x:c r="A792" s="51" t="str">
        <x:v>Spain</x:v>
      </x:c>
      <x:c r="B792" s="51" t="str">
        <x:v>H</x:v>
      </x:c>
      <x:c r="C792" s="51" t="n">
        <x:v>8</x:v>
      </x:c>
      <x:c r="D792" s="71" t="str"/>
      <x:c r="E792" s="51" t="str">
        <x:v>FB</x:v>
      </x:c>
      <x:c r="F792" s="51" t="str">
        <x:v>Defence</x:v>
      </x:c>
      <x:c r="G792" s="51" t="str">
        <x:v>Starter</x:v>
      </x:c>
      <x:c r="H792" s="55" t="n">
        <x:v>1</x:v>
      </x:c>
      <x:c r="I792" s="51" t="str"/>
      <x:c r="J792" s="72" t="str"/>
      <x:c r="K792" s="72" t="str"/>
      <x:c r="L792" s="72" t="str"/>
      <x:c r="M792" s="72" t="str"/>
      <x:c r="N792" s="72" t="str"/>
      <x:c r="O792" s="72" t="str"/>
      <x:c r="P792" s="72" t="str">
        <x:v>Available</x:v>
      </x:c>
      <x:c r="Q792" s="72" t="n">
        <x:v>0</x:v>
      </x:c>
      <x:c r="R792" s="55" t="str">
        <x:f>IF($D792="","",ROUND(MAX(0,MIN(100,0.35*$J792+0.2*$K792+0.15*$L792+0.15*$M792+0.1*$N792+0.05*$O792-IF(OR($P792="Out",$P792="Suspended"),$Q792,IF($P792="Doubtful",$Q792*0.5,IF($P792="Limited",$Q792*0.25,0))))),2))</x:f>
      </x:c>
      <x:c r="S792" s="55" t="n">
        <x:f>IF($D792="",0,ROUND(IF(OR($P792="Out",$P792="Suspended"),$Q792*$H792,IF($P792="Doubtful",$Q792*$H792*0.5,IF($P792="Limited",$Q792*$H792*0.25,0))),2))</x:f>
        <x:v>0</x:v>
      </x:c>
      <x:c r="T792" s="55" t="str"/>
      <x:c r="U792" s="51" t="str"/>
    </x:row>
    <x:row r="793">
      <x:c r="A793" s="51" t="str">
        <x:v>Spain</x:v>
      </x:c>
      <x:c r="B793" s="51" t="str">
        <x:v>H</x:v>
      </x:c>
      <x:c r="C793" s="51" t="n">
        <x:v>9</x:v>
      </x:c>
      <x:c r="D793" s="71" t="str"/>
      <x:c r="E793" s="51" t="str">
        <x:v>DM</x:v>
      </x:c>
      <x:c r="F793" s="51" t="str">
        <x:v>Midfield</x:v>
      </x:c>
      <x:c r="G793" s="51" t="str">
        <x:v>Starter</x:v>
      </x:c>
      <x:c r="H793" s="55" t="n">
        <x:v>1</x:v>
      </x:c>
      <x:c r="I793" s="51" t="str"/>
      <x:c r="J793" s="72" t="str"/>
      <x:c r="K793" s="72" t="str"/>
      <x:c r="L793" s="72" t="str"/>
      <x:c r="M793" s="72" t="str"/>
      <x:c r="N793" s="72" t="str"/>
      <x:c r="O793" s="72" t="str"/>
      <x:c r="P793" s="72" t="str">
        <x:v>Available</x:v>
      </x:c>
      <x:c r="Q793" s="72" t="n">
        <x:v>0</x:v>
      </x:c>
      <x:c r="R793" s="55" t="str">
        <x:f>IF($D793="","",ROUND(MAX(0,MIN(100,0.35*$J793+0.2*$K793+0.15*$L793+0.15*$M793+0.1*$N793+0.05*$O793-IF(OR($P793="Out",$P793="Suspended"),$Q793,IF($P793="Doubtful",$Q793*0.5,IF($P793="Limited",$Q793*0.25,0))))),2))</x:f>
      </x:c>
      <x:c r="S793" s="55" t="n">
        <x:f>IF($D793="",0,ROUND(IF(OR($P793="Out",$P793="Suspended"),$Q793*$H793,IF($P793="Doubtful",$Q793*$H793*0.5,IF($P793="Limited",$Q793*$H793*0.25,0))),2))</x:f>
        <x:v>0</x:v>
      </x:c>
      <x:c r="T793" s="55" t="str"/>
      <x:c r="U793" s="51" t="str"/>
    </x:row>
    <x:row r="794">
      <x:c r="A794" s="51" t="str">
        <x:v>Spain</x:v>
      </x:c>
      <x:c r="B794" s="51" t="str">
        <x:v>H</x:v>
      </x:c>
      <x:c r="C794" s="51" t="n">
        <x:v>10</x:v>
      </x:c>
      <x:c r="D794" s="71" t="str"/>
      <x:c r="E794" s="51" t="str">
        <x:v>DM</x:v>
      </x:c>
      <x:c r="F794" s="51" t="str">
        <x:v>Midfield</x:v>
      </x:c>
      <x:c r="G794" s="51" t="str">
        <x:v>Starter</x:v>
      </x:c>
      <x:c r="H794" s="55" t="n">
        <x:v>1</x:v>
      </x:c>
      <x:c r="I794" s="51" t="str"/>
      <x:c r="J794" s="72" t="str"/>
      <x:c r="K794" s="72" t="str"/>
      <x:c r="L794" s="72" t="str"/>
      <x:c r="M794" s="72" t="str"/>
      <x:c r="N794" s="72" t="str"/>
      <x:c r="O794" s="72" t="str"/>
      <x:c r="P794" s="72" t="str">
        <x:v>Available</x:v>
      </x:c>
      <x:c r="Q794" s="72" t="n">
        <x:v>0</x:v>
      </x:c>
      <x:c r="R794" s="55" t="str">
        <x:f>IF($D794="","",ROUND(MAX(0,MIN(100,0.35*$J794+0.2*$K794+0.15*$L794+0.15*$M794+0.1*$N794+0.05*$O794-IF(OR($P794="Out",$P794="Suspended"),$Q794,IF($P794="Doubtful",$Q794*0.5,IF($P794="Limited",$Q794*0.25,0))))),2))</x:f>
      </x:c>
      <x:c r="S794" s="55" t="n">
        <x:f>IF($D794="",0,ROUND(IF(OR($P794="Out",$P794="Suspended"),$Q794*$H794,IF($P794="Doubtful",$Q794*$H794*0.5,IF($P794="Limited",$Q794*$H794*0.25,0))),2))</x:f>
        <x:v>0</x:v>
      </x:c>
      <x:c r="T794" s="55" t="str"/>
      <x:c r="U794" s="51" t="str"/>
    </x:row>
    <x:row r="795">
      <x:c r="A795" s="51" t="str">
        <x:v>Spain</x:v>
      </x:c>
      <x:c r="B795" s="51" t="str">
        <x:v>H</x:v>
      </x:c>
      <x:c r="C795" s="51" t="n">
        <x:v>11</x:v>
      </x:c>
      <x:c r="D795" s="71" t="str"/>
      <x:c r="E795" s="51" t="str">
        <x:v>DM</x:v>
      </x:c>
      <x:c r="F795" s="51" t="str">
        <x:v>Midfield</x:v>
      </x:c>
      <x:c r="G795" s="51" t="str">
        <x:v>Starter</x:v>
      </x:c>
      <x:c r="H795" s="55" t="n">
        <x:v>1</x:v>
      </x:c>
      <x:c r="I795" s="51" t="str"/>
      <x:c r="J795" s="72" t="str"/>
      <x:c r="K795" s="72" t="str"/>
      <x:c r="L795" s="72" t="str"/>
      <x:c r="M795" s="72" t="str"/>
      <x:c r="N795" s="72" t="str"/>
      <x:c r="O795" s="72" t="str"/>
      <x:c r="P795" s="72" t="str">
        <x:v>Available</x:v>
      </x:c>
      <x:c r="Q795" s="72" t="n">
        <x:v>0</x:v>
      </x:c>
      <x:c r="R795" s="55" t="str">
        <x:f>IF($D795="","",ROUND(MAX(0,MIN(100,0.35*$J795+0.2*$K795+0.15*$L795+0.15*$M795+0.1*$N795+0.05*$O795-IF(OR($P795="Out",$P795="Suspended"),$Q795,IF($P795="Doubtful",$Q795*0.5,IF($P795="Limited",$Q795*0.25,0))))),2))</x:f>
      </x:c>
      <x:c r="S795" s="55" t="n">
        <x:f>IF($D795="",0,ROUND(IF(OR($P795="Out",$P795="Suspended"),$Q795*$H795,IF($P795="Doubtful",$Q795*$H795*0.5,IF($P795="Limited",$Q795*$H795*0.25,0))),2))</x:f>
        <x:v>0</x:v>
      </x:c>
      <x:c r="T795" s="55" t="str"/>
      <x:c r="U795" s="51" t="str"/>
    </x:row>
    <x:row r="796">
      <x:c r="A796" s="51" t="str">
        <x:v>Spain</x:v>
      </x:c>
      <x:c r="B796" s="51" t="str">
        <x:v>H</x:v>
      </x:c>
      <x:c r="C796" s="51" t="n">
        <x:v>12</x:v>
      </x:c>
      <x:c r="D796" s="71" t="str"/>
      <x:c r="E796" s="51" t="str">
        <x:v>CM</x:v>
      </x:c>
      <x:c r="F796" s="51" t="str">
        <x:v>Midfield</x:v>
      </x:c>
      <x:c r="G796" s="51" t="str">
        <x:v>Rotation</x:v>
      </x:c>
      <x:c r="H796" s="55" t="n">
        <x:v>0.35</x:v>
      </x:c>
      <x:c r="I796" s="51" t="str"/>
      <x:c r="J796" s="72" t="str"/>
      <x:c r="K796" s="72" t="str"/>
      <x:c r="L796" s="72" t="str"/>
      <x:c r="M796" s="72" t="str"/>
      <x:c r="N796" s="72" t="str"/>
      <x:c r="O796" s="72" t="str"/>
      <x:c r="P796" s="72" t="str">
        <x:v>Available</x:v>
      </x:c>
      <x:c r="Q796" s="72" t="n">
        <x:v>0</x:v>
      </x:c>
      <x:c r="R796" s="55" t="str">
        <x:f>IF($D796="","",ROUND(MAX(0,MIN(100,0.35*$J796+0.2*$K796+0.15*$L796+0.15*$M796+0.1*$N796+0.05*$O796-IF(OR($P796="Out",$P796="Suspended"),$Q796,IF($P796="Doubtful",$Q796*0.5,IF($P796="Limited",$Q796*0.25,0))))),2))</x:f>
      </x:c>
      <x:c r="S796" s="55" t="n">
        <x:f>IF($D796="",0,ROUND(IF(OR($P796="Out",$P796="Suspended"),$Q796*$H796,IF($P796="Doubtful",$Q796*$H796*0.5,IF($P796="Limited",$Q796*$H796*0.25,0))),2))</x:f>
        <x:v>0</x:v>
      </x:c>
      <x:c r="T796" s="55" t="str"/>
      <x:c r="U796" s="51" t="str"/>
    </x:row>
    <x:row r="797">
      <x:c r="A797" s="51" t="str">
        <x:v>Spain</x:v>
      </x:c>
      <x:c r="B797" s="51" t="str">
        <x:v>H</x:v>
      </x:c>
      <x:c r="C797" s="51" t="n">
        <x:v>13</x:v>
      </x:c>
      <x:c r="D797" s="71" t="str"/>
      <x:c r="E797" s="51" t="str">
        <x:v>CM</x:v>
      </x:c>
      <x:c r="F797" s="51" t="str">
        <x:v>Midfield</x:v>
      </x:c>
      <x:c r="G797" s="51" t="str">
        <x:v>Rotation</x:v>
      </x:c>
      <x:c r="H797" s="55" t="n">
        <x:v>0.35</x:v>
      </x:c>
      <x:c r="I797" s="51" t="str"/>
      <x:c r="J797" s="72" t="str"/>
      <x:c r="K797" s="72" t="str"/>
      <x:c r="L797" s="72" t="str"/>
      <x:c r="M797" s="72" t="str"/>
      <x:c r="N797" s="72" t="str"/>
      <x:c r="O797" s="72" t="str"/>
      <x:c r="P797" s="72" t="str">
        <x:v>Available</x:v>
      </x:c>
      <x:c r="Q797" s="72" t="n">
        <x:v>0</x:v>
      </x:c>
      <x:c r="R797" s="55" t="str">
        <x:f>IF($D797="","",ROUND(MAX(0,MIN(100,0.35*$J797+0.2*$K797+0.15*$L797+0.15*$M797+0.1*$N797+0.05*$O797-IF(OR($P797="Out",$P797="Suspended"),$Q797,IF($P797="Doubtful",$Q797*0.5,IF($P797="Limited",$Q797*0.25,0))))),2))</x:f>
      </x:c>
      <x:c r="S797" s="55" t="n">
        <x:f>IF($D797="",0,ROUND(IF(OR($P797="Out",$P797="Suspended"),$Q797*$H797,IF($P797="Doubtful",$Q797*$H797*0.5,IF($P797="Limited",$Q797*$H797*0.25,0))),2))</x:f>
        <x:v>0</x:v>
      </x:c>
      <x:c r="T797" s="55" t="str"/>
      <x:c r="U797" s="51" t="str"/>
    </x:row>
    <x:row r="798">
      <x:c r="A798" s="51" t="str">
        <x:v>Spain</x:v>
      </x:c>
      <x:c r="B798" s="51" t="str">
        <x:v>H</x:v>
      </x:c>
      <x:c r="C798" s="51" t="n">
        <x:v>14</x:v>
      </x:c>
      <x:c r="D798" s="71" t="str"/>
      <x:c r="E798" s="51" t="str">
        <x:v>CM</x:v>
      </x:c>
      <x:c r="F798" s="51" t="str">
        <x:v>Midfield</x:v>
      </x:c>
      <x:c r="G798" s="51" t="str">
        <x:v>Rotation</x:v>
      </x:c>
      <x:c r="H798" s="55" t="n">
        <x:v>0.35</x:v>
      </x:c>
      <x:c r="I798" s="51" t="str"/>
      <x:c r="J798" s="72" t="str"/>
      <x:c r="K798" s="72" t="str"/>
      <x:c r="L798" s="72" t="str"/>
      <x:c r="M798" s="72" t="str"/>
      <x:c r="N798" s="72" t="str"/>
      <x:c r="O798" s="72" t="str"/>
      <x:c r="P798" s="72" t="str">
        <x:v>Available</x:v>
      </x:c>
      <x:c r="Q798" s="72" t="n">
        <x:v>0</x:v>
      </x:c>
      <x:c r="R798" s="55" t="str">
        <x:f>IF($D798="","",ROUND(MAX(0,MIN(100,0.35*$J798+0.2*$K798+0.15*$L798+0.15*$M798+0.1*$N798+0.05*$O798-IF(OR($P798="Out",$P798="Suspended"),$Q798,IF($P798="Doubtful",$Q798*0.5,IF($P798="Limited",$Q798*0.25,0))))),2))</x:f>
      </x:c>
      <x:c r="S798" s="55" t="n">
        <x:f>IF($D798="",0,ROUND(IF(OR($P798="Out",$P798="Suspended"),$Q798*$H798,IF($P798="Doubtful",$Q798*$H798*0.5,IF($P798="Limited",$Q798*$H798*0.25,0))),2))</x:f>
        <x:v>0</x:v>
      </x:c>
      <x:c r="T798" s="55" t="str"/>
      <x:c r="U798" s="51" t="str"/>
    </x:row>
    <x:row r="799">
      <x:c r="A799" s="51" t="str">
        <x:v>Spain</x:v>
      </x:c>
      <x:c r="B799" s="51" t="str">
        <x:v>H</x:v>
      </x:c>
      <x:c r="C799" s="51" t="n">
        <x:v>15</x:v>
      </x:c>
      <x:c r="D799" s="71" t="str"/>
      <x:c r="E799" s="51" t="str">
        <x:v>CM</x:v>
      </x:c>
      <x:c r="F799" s="51" t="str">
        <x:v>Midfield</x:v>
      </x:c>
      <x:c r="G799" s="51" t="str">
        <x:v>Rotation</x:v>
      </x:c>
      <x:c r="H799" s="55" t="n">
        <x:v>0.35</x:v>
      </x:c>
      <x:c r="I799" s="51" t="str"/>
      <x:c r="J799" s="72" t="str"/>
      <x:c r="K799" s="72" t="str"/>
      <x:c r="L799" s="72" t="str"/>
      <x:c r="M799" s="72" t="str"/>
      <x:c r="N799" s="72" t="str"/>
      <x:c r="O799" s="72" t="str"/>
      <x:c r="P799" s="72" t="str">
        <x:v>Available</x:v>
      </x:c>
      <x:c r="Q799" s="72" t="n">
        <x:v>0</x:v>
      </x:c>
      <x:c r="R799" s="55" t="str">
        <x:f>IF($D799="","",ROUND(MAX(0,MIN(100,0.35*$J799+0.2*$K799+0.15*$L799+0.15*$M799+0.1*$N799+0.05*$O799-IF(OR($P799="Out",$P799="Suspended"),$Q799,IF($P799="Doubtful",$Q799*0.5,IF($P799="Limited",$Q799*0.25,0))))),2))</x:f>
      </x:c>
      <x:c r="S799" s="55" t="n">
        <x:f>IF($D799="",0,ROUND(IF(OR($P799="Out",$P799="Suspended"),$Q799*$H799,IF($P799="Doubtful",$Q799*$H799*0.5,IF($P799="Limited",$Q799*$H799*0.25,0))),2))</x:f>
        <x:v>0</x:v>
      </x:c>
      <x:c r="T799" s="55" t="str"/>
      <x:c r="U799" s="51" t="str"/>
    </x:row>
    <x:row r="800">
      <x:c r="A800" s="51" t="str">
        <x:v>Spain</x:v>
      </x:c>
      <x:c r="B800" s="51" t="str">
        <x:v>H</x:v>
      </x:c>
      <x:c r="C800" s="51" t="n">
        <x:v>16</x:v>
      </x:c>
      <x:c r="D800" s="71" t="str"/>
      <x:c r="E800" s="51" t="str">
        <x:v>AM</x:v>
      </x:c>
      <x:c r="F800" s="51" t="str">
        <x:v>Attack</x:v>
      </x:c>
      <x:c r="G800" s="51" t="str">
        <x:v>Rotation</x:v>
      </x:c>
      <x:c r="H800" s="55" t="n">
        <x:v>0.35</x:v>
      </x:c>
      <x:c r="I800" s="51" t="str"/>
      <x:c r="J800" s="72" t="str"/>
      <x:c r="K800" s="72" t="str"/>
      <x:c r="L800" s="72" t="str"/>
      <x:c r="M800" s="72" t="str"/>
      <x:c r="N800" s="72" t="str"/>
      <x:c r="O800" s="72" t="str"/>
      <x:c r="P800" s="72" t="str">
        <x:v>Available</x:v>
      </x:c>
      <x:c r="Q800" s="72" t="n">
        <x:v>0</x:v>
      </x:c>
      <x:c r="R800" s="55" t="str">
        <x:f>IF($D800="","",ROUND(MAX(0,MIN(100,0.35*$J800+0.2*$K800+0.15*$L800+0.15*$M800+0.1*$N800+0.05*$O800-IF(OR($P800="Out",$P800="Suspended"),$Q800,IF($P800="Doubtful",$Q800*0.5,IF($P800="Limited",$Q800*0.25,0))))),2))</x:f>
      </x:c>
      <x:c r="S800" s="55" t="n">
        <x:f>IF($D800="",0,ROUND(IF(OR($P800="Out",$P800="Suspended"),$Q800*$H800,IF($P800="Doubtful",$Q800*$H800*0.5,IF($P800="Limited",$Q800*$H800*0.25,0))),2))</x:f>
        <x:v>0</x:v>
      </x:c>
      <x:c r="T800" s="55" t="str"/>
      <x:c r="U800" s="51" t="str"/>
    </x:row>
    <x:row r="801">
      <x:c r="A801" s="51" t="str">
        <x:v>Spain</x:v>
      </x:c>
      <x:c r="B801" s="51" t="str">
        <x:v>H</x:v>
      </x:c>
      <x:c r="C801" s="51" t="n">
        <x:v>17</x:v>
      </x:c>
      <x:c r="D801" s="71" t="str"/>
      <x:c r="E801" s="51" t="str">
        <x:v>AM</x:v>
      </x:c>
      <x:c r="F801" s="51" t="str">
        <x:v>Attack</x:v>
      </x:c>
      <x:c r="G801" s="51" t="str">
        <x:v>Rotation</x:v>
      </x:c>
      <x:c r="H801" s="55" t="n">
        <x:v>0.35</x:v>
      </x:c>
      <x:c r="I801" s="51" t="str"/>
      <x:c r="J801" s="72" t="str"/>
      <x:c r="K801" s="72" t="str"/>
      <x:c r="L801" s="72" t="str"/>
      <x:c r="M801" s="72" t="str"/>
      <x:c r="N801" s="72" t="str"/>
      <x:c r="O801" s="72" t="str"/>
      <x:c r="P801" s="72" t="str">
        <x:v>Available</x:v>
      </x:c>
      <x:c r="Q801" s="72" t="n">
        <x:v>0</x:v>
      </x:c>
      <x:c r="R801" s="55" t="str">
        <x:f>IF($D801="","",ROUND(MAX(0,MIN(100,0.35*$J801+0.2*$K801+0.15*$L801+0.15*$M801+0.1*$N801+0.05*$O801-IF(OR($P801="Out",$P801="Suspended"),$Q801,IF($P801="Doubtful",$Q801*0.5,IF($P801="Limited",$Q801*0.25,0))))),2))</x:f>
      </x:c>
      <x:c r="S801" s="55" t="n">
        <x:f>IF($D801="",0,ROUND(IF(OR($P801="Out",$P801="Suspended"),$Q801*$H801,IF($P801="Doubtful",$Q801*$H801*0.5,IF($P801="Limited",$Q801*$H801*0.25,0))),2))</x:f>
        <x:v>0</x:v>
      </x:c>
      <x:c r="T801" s="55" t="str"/>
      <x:c r="U801" s="51" t="str"/>
    </x:row>
    <x:row r="802">
      <x:c r="A802" s="51" t="str">
        <x:v>Spain</x:v>
      </x:c>
      <x:c r="B802" s="51" t="str">
        <x:v>H</x:v>
      </x:c>
      <x:c r="C802" s="51" t="n">
        <x:v>18</x:v>
      </x:c>
      <x:c r="D802" s="71" t="str"/>
      <x:c r="E802" s="51" t="str">
        <x:v>AM</x:v>
      </x:c>
      <x:c r="F802" s="51" t="str">
        <x:v>Attack</x:v>
      </x:c>
      <x:c r="G802" s="51" t="str">
        <x:v>Rotation</x:v>
      </x:c>
      <x:c r="H802" s="55" t="n">
        <x:v>0.35</x:v>
      </x:c>
      <x:c r="I802" s="51" t="str"/>
      <x:c r="J802" s="72" t="str"/>
      <x:c r="K802" s="72" t="str"/>
      <x:c r="L802" s="72" t="str"/>
      <x:c r="M802" s="72" t="str"/>
      <x:c r="N802" s="72" t="str"/>
      <x:c r="O802" s="72" t="str"/>
      <x:c r="P802" s="72" t="str">
        <x:v>Available</x:v>
      </x:c>
      <x:c r="Q802" s="72" t="n">
        <x:v>0</x:v>
      </x:c>
      <x:c r="R802" s="55" t="str">
        <x:f>IF($D802="","",ROUND(MAX(0,MIN(100,0.35*$J802+0.2*$K802+0.15*$L802+0.15*$M802+0.1*$N802+0.05*$O802-IF(OR($P802="Out",$P802="Suspended"),$Q802,IF($P802="Doubtful",$Q802*0.5,IF($P802="Limited",$Q802*0.25,0))))),2))</x:f>
      </x:c>
      <x:c r="S802" s="55" t="n">
        <x:f>IF($D802="",0,ROUND(IF(OR($P802="Out",$P802="Suspended"),$Q802*$H802,IF($P802="Doubtful",$Q802*$H802*0.5,IF($P802="Limited",$Q802*$H802*0.25,0))),2))</x:f>
        <x:v>0</x:v>
      </x:c>
      <x:c r="T802" s="55" t="str"/>
      <x:c r="U802" s="51" t="str"/>
    </x:row>
    <x:row r="803">
      <x:c r="A803" s="51" t="str">
        <x:v>Spain</x:v>
      </x:c>
      <x:c r="B803" s="51" t="str">
        <x:v>H</x:v>
      </x:c>
      <x:c r="C803" s="51" t="n">
        <x:v>19</x:v>
      </x:c>
      <x:c r="D803" s="71" t="str"/>
      <x:c r="E803" s="51" t="str">
        <x:v>AM</x:v>
      </x:c>
      <x:c r="F803" s="51" t="str">
        <x:v>Attack</x:v>
      </x:c>
      <x:c r="G803" s="51" t="str">
        <x:v>Rotation</x:v>
      </x:c>
      <x:c r="H803" s="55" t="n">
        <x:v>0.35</x:v>
      </x:c>
      <x:c r="I803" s="51" t="str"/>
      <x:c r="J803" s="72" t="str"/>
      <x:c r="K803" s="72" t="str"/>
      <x:c r="L803" s="72" t="str"/>
      <x:c r="M803" s="72" t="str"/>
      <x:c r="N803" s="72" t="str"/>
      <x:c r="O803" s="72" t="str"/>
      <x:c r="P803" s="72" t="str">
        <x:v>Available</x:v>
      </x:c>
      <x:c r="Q803" s="72" t="n">
        <x:v>0</x:v>
      </x:c>
      <x:c r="R803" s="55" t="str">
        <x:f>IF($D803="","",ROUND(MAX(0,MIN(100,0.35*$J803+0.2*$K803+0.15*$L803+0.15*$M803+0.1*$N803+0.05*$O803-IF(OR($P803="Out",$P803="Suspended"),$Q803,IF($P803="Doubtful",$Q803*0.5,IF($P803="Limited",$Q803*0.25,0))))),2))</x:f>
      </x:c>
      <x:c r="S803" s="55" t="n">
        <x:f>IF($D803="",0,ROUND(IF(OR($P803="Out",$P803="Suspended"),$Q803*$H803,IF($P803="Doubtful",$Q803*$H803*0.5,IF($P803="Limited",$Q803*$H803*0.25,0))),2))</x:f>
        <x:v>0</x:v>
      </x:c>
      <x:c r="T803" s="55" t="str"/>
      <x:c r="U803" s="51" t="str"/>
    </x:row>
    <x:row r="804">
      <x:c r="A804" s="51" t="str">
        <x:v>Spain</x:v>
      </x:c>
      <x:c r="B804" s="51" t="str">
        <x:v>H</x:v>
      </x:c>
      <x:c r="C804" s="51" t="n">
        <x:v>20</x:v>
      </x:c>
      <x:c r="D804" s="71" t="str"/>
      <x:c r="E804" s="51" t="str">
        <x:v>Winger</x:v>
      </x:c>
      <x:c r="F804" s="51" t="str">
        <x:v>Attack</x:v>
      </x:c>
      <x:c r="G804" s="51" t="str">
        <x:v>Rotation</x:v>
      </x:c>
      <x:c r="H804" s="55" t="n">
        <x:v>0.35</x:v>
      </x:c>
      <x:c r="I804" s="51" t="str"/>
      <x:c r="J804" s="72" t="str"/>
      <x:c r="K804" s="72" t="str"/>
      <x:c r="L804" s="72" t="str"/>
      <x:c r="M804" s="72" t="str"/>
      <x:c r="N804" s="72" t="str"/>
      <x:c r="O804" s="72" t="str"/>
      <x:c r="P804" s="72" t="str">
        <x:v>Available</x:v>
      </x:c>
      <x:c r="Q804" s="72" t="n">
        <x:v>0</x:v>
      </x:c>
      <x:c r="R804" s="55" t="str">
        <x:f>IF($D804="","",ROUND(MAX(0,MIN(100,0.35*$J804+0.2*$K804+0.15*$L804+0.15*$M804+0.1*$N804+0.05*$O804-IF(OR($P804="Out",$P804="Suspended"),$Q804,IF($P804="Doubtful",$Q804*0.5,IF($P804="Limited",$Q804*0.25,0))))),2))</x:f>
      </x:c>
      <x:c r="S804" s="55" t="n">
        <x:f>IF($D804="",0,ROUND(IF(OR($P804="Out",$P804="Suspended"),$Q804*$H804,IF($P804="Doubtful",$Q804*$H804*0.5,IF($P804="Limited",$Q804*$H804*0.25,0))),2))</x:f>
        <x:v>0</x:v>
      </x:c>
      <x:c r="T804" s="55" t="str"/>
      <x:c r="U804" s="51" t="str"/>
    </x:row>
    <x:row r="805">
      <x:c r="A805" s="51" t="str">
        <x:v>Spain</x:v>
      </x:c>
      <x:c r="B805" s="51" t="str">
        <x:v>H</x:v>
      </x:c>
      <x:c r="C805" s="51" t="n">
        <x:v>21</x:v>
      </x:c>
      <x:c r="D805" s="71" t="str"/>
      <x:c r="E805" s="51" t="str">
        <x:v>Winger</x:v>
      </x:c>
      <x:c r="F805" s="51" t="str">
        <x:v>Attack</x:v>
      </x:c>
      <x:c r="G805" s="51" t="str">
        <x:v>Depth</x:v>
      </x:c>
      <x:c r="H805" s="55" t="n">
        <x:v>0.1</x:v>
      </x:c>
      <x:c r="I805" s="51" t="str"/>
      <x:c r="J805" s="72" t="str"/>
      <x:c r="K805" s="72" t="str"/>
      <x:c r="L805" s="72" t="str"/>
      <x:c r="M805" s="72" t="str"/>
      <x:c r="N805" s="72" t="str"/>
      <x:c r="O805" s="72" t="str"/>
      <x:c r="P805" s="72" t="str">
        <x:v>Available</x:v>
      </x:c>
      <x:c r="Q805" s="72" t="n">
        <x:v>0</x:v>
      </x:c>
      <x:c r="R805" s="55" t="str">
        <x:f>IF($D805="","",ROUND(MAX(0,MIN(100,0.35*$J805+0.2*$K805+0.15*$L805+0.15*$M805+0.1*$N805+0.05*$O805-IF(OR($P805="Out",$P805="Suspended"),$Q805,IF($P805="Doubtful",$Q805*0.5,IF($P805="Limited",$Q805*0.25,0))))),2))</x:f>
      </x:c>
      <x:c r="S805" s="55" t="n">
        <x:f>IF($D805="",0,ROUND(IF(OR($P805="Out",$P805="Suspended"),$Q805*$H805,IF($P805="Doubtful",$Q805*$H805*0.5,IF($P805="Limited",$Q805*$H805*0.25,0))),2))</x:f>
        <x:v>0</x:v>
      </x:c>
      <x:c r="T805" s="55" t="str"/>
      <x:c r="U805" s="51" t="str"/>
    </x:row>
    <x:row r="806">
      <x:c r="A806" s="51" t="str">
        <x:v>Spain</x:v>
      </x:c>
      <x:c r="B806" s="51" t="str">
        <x:v>H</x:v>
      </x:c>
      <x:c r="C806" s="51" t="n">
        <x:v>22</x:v>
      </x:c>
      <x:c r="D806" s="71" t="str"/>
      <x:c r="E806" s="51" t="str">
        <x:v>Winger</x:v>
      </x:c>
      <x:c r="F806" s="51" t="str">
        <x:v>Attack</x:v>
      </x:c>
      <x:c r="G806" s="51" t="str">
        <x:v>Depth</x:v>
      </x:c>
      <x:c r="H806" s="55" t="n">
        <x:v>0.1</x:v>
      </x:c>
      <x:c r="I806" s="51" t="str"/>
      <x:c r="J806" s="72" t="str"/>
      <x:c r="K806" s="72" t="str"/>
      <x:c r="L806" s="72" t="str"/>
      <x:c r="M806" s="72" t="str"/>
      <x:c r="N806" s="72" t="str"/>
      <x:c r="O806" s="72" t="str"/>
      <x:c r="P806" s="72" t="str">
        <x:v>Available</x:v>
      </x:c>
      <x:c r="Q806" s="72" t="n">
        <x:v>0</x:v>
      </x:c>
      <x:c r="R806" s="55" t="str">
        <x:f>IF($D806="","",ROUND(MAX(0,MIN(100,0.35*$J806+0.2*$K806+0.15*$L806+0.15*$M806+0.1*$N806+0.05*$O806-IF(OR($P806="Out",$P806="Suspended"),$Q806,IF($P806="Doubtful",$Q806*0.5,IF($P806="Limited",$Q806*0.25,0))))),2))</x:f>
      </x:c>
      <x:c r="S806" s="55" t="n">
        <x:f>IF($D806="",0,ROUND(IF(OR($P806="Out",$P806="Suspended"),$Q806*$H806,IF($P806="Doubtful",$Q806*$H806*0.5,IF($P806="Limited",$Q806*$H806*0.25,0))),2))</x:f>
        <x:v>0</x:v>
      </x:c>
      <x:c r="T806" s="55" t="str"/>
      <x:c r="U806" s="51" t="str"/>
    </x:row>
    <x:row r="807">
      <x:c r="A807" s="51" t="str">
        <x:v>Spain</x:v>
      </x:c>
      <x:c r="B807" s="51" t="str">
        <x:v>H</x:v>
      </x:c>
      <x:c r="C807" s="51" t="n">
        <x:v>23</x:v>
      </x:c>
      <x:c r="D807" s="71" t="str"/>
      <x:c r="E807" s="51" t="str">
        <x:v>Winger</x:v>
      </x:c>
      <x:c r="F807" s="51" t="str">
        <x:v>Attack</x:v>
      </x:c>
      <x:c r="G807" s="51" t="str">
        <x:v>Depth</x:v>
      </x:c>
      <x:c r="H807" s="55" t="n">
        <x:v>0.1</x:v>
      </x:c>
      <x:c r="I807" s="51" t="str"/>
      <x:c r="J807" s="72" t="str"/>
      <x:c r="K807" s="72" t="str"/>
      <x:c r="L807" s="72" t="str"/>
      <x:c r="M807" s="72" t="str"/>
      <x:c r="N807" s="72" t="str"/>
      <x:c r="O807" s="72" t="str"/>
      <x:c r="P807" s="72" t="str">
        <x:v>Available</x:v>
      </x:c>
      <x:c r="Q807" s="72" t="n">
        <x:v>0</x:v>
      </x:c>
      <x:c r="R807" s="55" t="str">
        <x:f>IF($D807="","",ROUND(MAX(0,MIN(100,0.35*$J807+0.2*$K807+0.15*$L807+0.15*$M807+0.1*$N807+0.05*$O807-IF(OR($P807="Out",$P807="Suspended"),$Q807,IF($P807="Doubtful",$Q807*0.5,IF($P807="Limited",$Q807*0.25,0))))),2))</x:f>
      </x:c>
      <x:c r="S807" s="55" t="n">
        <x:f>IF($D807="",0,ROUND(IF(OR($P807="Out",$P807="Suspended"),$Q807*$H807,IF($P807="Doubtful",$Q807*$H807*0.5,IF($P807="Limited",$Q807*$H807*0.25,0))),2))</x:f>
        <x:v>0</x:v>
      </x:c>
      <x:c r="T807" s="55" t="str"/>
      <x:c r="U807" s="51" t="str"/>
    </x:row>
    <x:row r="808">
      <x:c r="A808" s="51" t="str">
        <x:v>Spain</x:v>
      </x:c>
      <x:c r="B808" s="51" t="str">
        <x:v>H</x:v>
      </x:c>
      <x:c r="C808" s="51" t="n">
        <x:v>24</x:v>
      </x:c>
      <x:c r="D808" s="71" t="str"/>
      <x:c r="E808" s="51" t="str">
        <x:v>ST</x:v>
      </x:c>
      <x:c r="F808" s="51" t="str">
        <x:v>Attack</x:v>
      </x:c>
      <x:c r="G808" s="51" t="str">
        <x:v>Depth</x:v>
      </x:c>
      <x:c r="H808" s="55" t="n">
        <x:v>0.1</x:v>
      </x:c>
      <x:c r="I808" s="51" t="str"/>
      <x:c r="J808" s="72" t="str"/>
      <x:c r="K808" s="72" t="str"/>
      <x:c r="L808" s="72" t="str"/>
      <x:c r="M808" s="72" t="str"/>
      <x:c r="N808" s="72" t="str"/>
      <x:c r="O808" s="72" t="str"/>
      <x:c r="P808" s="72" t="str">
        <x:v>Available</x:v>
      </x:c>
      <x:c r="Q808" s="72" t="n">
        <x:v>0</x:v>
      </x:c>
      <x:c r="R808" s="55" t="str">
        <x:f>IF($D808="","",ROUND(MAX(0,MIN(100,0.35*$J808+0.2*$K808+0.15*$L808+0.15*$M808+0.1*$N808+0.05*$O808-IF(OR($P808="Out",$P808="Suspended"),$Q808,IF($P808="Doubtful",$Q808*0.5,IF($P808="Limited",$Q808*0.25,0))))),2))</x:f>
      </x:c>
      <x:c r="S808" s="55" t="n">
        <x:f>IF($D808="",0,ROUND(IF(OR($P808="Out",$P808="Suspended"),$Q808*$H808,IF($P808="Doubtful",$Q808*$H808*0.5,IF($P808="Limited",$Q808*$H808*0.25,0))),2))</x:f>
        <x:v>0</x:v>
      </x:c>
      <x:c r="T808" s="55" t="str"/>
      <x:c r="U808" s="51" t="str"/>
    </x:row>
    <x:row r="809">
      <x:c r="A809" s="51" t="str">
        <x:v>Spain</x:v>
      </x:c>
      <x:c r="B809" s="51" t="str">
        <x:v>H</x:v>
      </x:c>
      <x:c r="C809" s="51" t="n">
        <x:v>25</x:v>
      </x:c>
      <x:c r="D809" s="71" t="str"/>
      <x:c r="E809" s="51" t="str">
        <x:v>ST</x:v>
      </x:c>
      <x:c r="F809" s="51" t="str">
        <x:v>Attack</x:v>
      </x:c>
      <x:c r="G809" s="51" t="str">
        <x:v>Depth</x:v>
      </x:c>
      <x:c r="H809" s="55" t="n">
        <x:v>0.1</x:v>
      </x:c>
      <x:c r="I809" s="51" t="str"/>
      <x:c r="J809" s="72" t="str"/>
      <x:c r="K809" s="72" t="str"/>
      <x:c r="L809" s="72" t="str"/>
      <x:c r="M809" s="72" t="str"/>
      <x:c r="N809" s="72" t="str"/>
      <x:c r="O809" s="72" t="str"/>
      <x:c r="P809" s="72" t="str">
        <x:v>Available</x:v>
      </x:c>
      <x:c r="Q809" s="72" t="n">
        <x:v>0</x:v>
      </x:c>
      <x:c r="R809" s="55" t="str">
        <x:f>IF($D809="","",ROUND(MAX(0,MIN(100,0.35*$J809+0.2*$K809+0.15*$L809+0.15*$M809+0.1*$N809+0.05*$O809-IF(OR($P809="Out",$P809="Suspended"),$Q809,IF($P809="Doubtful",$Q809*0.5,IF($P809="Limited",$Q809*0.25,0))))),2))</x:f>
      </x:c>
      <x:c r="S809" s="55" t="n">
        <x:f>IF($D809="",0,ROUND(IF(OR($P809="Out",$P809="Suspended"),$Q809*$H809,IF($P809="Doubtful",$Q809*$H809*0.5,IF($P809="Limited",$Q809*$H809*0.25,0))),2))</x:f>
        <x:v>0</x:v>
      </x:c>
      <x:c r="T809" s="55" t="str"/>
      <x:c r="U809" s="51" t="str"/>
    </x:row>
    <x:row r="810">
      <x:c r="A810" s="51" t="str">
        <x:v>Spain</x:v>
      </x:c>
      <x:c r="B810" s="51" t="str">
        <x:v>H</x:v>
      </x:c>
      <x:c r="C810" s="51" t="n">
        <x:v>26</x:v>
      </x:c>
      <x:c r="D810" s="71" t="str"/>
      <x:c r="E810" s="51" t="str">
        <x:v>ST</x:v>
      </x:c>
      <x:c r="F810" s="51" t="str">
        <x:v>Attack</x:v>
      </x:c>
      <x:c r="G810" s="51" t="str">
        <x:v>Depth</x:v>
      </x:c>
      <x:c r="H810" s="55" t="n">
        <x:v>0.1</x:v>
      </x:c>
      <x:c r="I810" s="51" t="str"/>
      <x:c r="J810" s="72" t="str"/>
      <x:c r="K810" s="72" t="str"/>
      <x:c r="L810" s="72" t="str"/>
      <x:c r="M810" s="72" t="str"/>
      <x:c r="N810" s="72" t="str"/>
      <x:c r="O810" s="72" t="str"/>
      <x:c r="P810" s="72" t="str">
        <x:v>Available</x:v>
      </x:c>
      <x:c r="Q810" s="72" t="n">
        <x:v>0</x:v>
      </x:c>
      <x:c r="R810" s="55" t="str">
        <x:f>IF($D810="","",ROUND(MAX(0,MIN(100,0.35*$J810+0.2*$K810+0.15*$L810+0.15*$M810+0.1*$N810+0.05*$O810-IF(OR($P810="Out",$P810="Suspended"),$Q810,IF($P810="Doubtful",$Q810*0.5,IF($P810="Limited",$Q810*0.25,0))))),2))</x:f>
      </x:c>
      <x:c r="S810" s="55" t="n">
        <x:f>IF($D810="",0,ROUND(IF(OR($P810="Out",$P810="Suspended"),$Q810*$H810,IF($P810="Doubtful",$Q810*$H810*0.5,IF($P810="Limited",$Q810*$H810*0.25,0))),2))</x:f>
        <x:v>0</x:v>
      </x:c>
      <x:c r="T810" s="55" t="str"/>
      <x:c r="U810" s="51" t="str"/>
    </x:row>
    <x:row r="811">
      <x:c r="A811" s="51" t="str">
        <x:v>Uruguay</x:v>
      </x:c>
      <x:c r="B811" s="51" t="str">
        <x:v>H</x:v>
      </x:c>
      <x:c r="C811" s="51" t="n">
        <x:v>1</x:v>
      </x:c>
      <x:c r="D811" s="71" t="str"/>
      <x:c r="E811" s="51" t="str">
        <x:v>GK</x:v>
      </x:c>
      <x:c r="F811" s="51" t="str">
        <x:v>GK</x:v>
      </x:c>
      <x:c r="G811" s="51" t="str">
        <x:v>Starter</x:v>
      </x:c>
      <x:c r="H811" s="55" t="n">
        <x:v>1</x:v>
      </x:c>
      <x:c r="I811" s="51" t="str"/>
      <x:c r="J811" s="72" t="str"/>
      <x:c r="K811" s="72" t="str"/>
      <x:c r="L811" s="72" t="str"/>
      <x:c r="M811" s="72" t="str"/>
      <x:c r="N811" s="72" t="str"/>
      <x:c r="O811" s="72" t="str"/>
      <x:c r="P811" s="72" t="str">
        <x:v>Available</x:v>
      </x:c>
      <x:c r="Q811" s="72" t="n">
        <x:v>0</x:v>
      </x:c>
      <x:c r="R811" s="55" t="str">
        <x:f>IF($D811="","",ROUND(MAX(0,MIN(100,0.35*$J811+0.2*$K811+0.15*$L811+0.15*$M811+0.1*$N811+0.05*$O811-IF(OR($P811="Out",$P811="Suspended"),$Q811,IF($P811="Doubtful",$Q811*0.5,IF($P811="Limited",$Q811*0.25,0))))),2))</x:f>
      </x:c>
      <x:c r="S811" s="55" t="n">
        <x:f>IF($D811="",0,ROUND(IF(OR($P811="Out",$P811="Suspended"),$Q811*$H811,IF($P811="Doubtful",$Q811*$H811*0.5,IF($P811="Limited",$Q811*$H811*0.25,0))),2))</x:f>
        <x:v>0</x:v>
      </x:c>
      <x:c r="T811" s="55" t="str"/>
      <x:c r="U811" s="51" t="str"/>
    </x:row>
    <x:row r="812">
      <x:c r="A812" s="51" t="str">
        <x:v>Uruguay</x:v>
      </x:c>
      <x:c r="B812" s="51" t="str">
        <x:v>H</x:v>
      </x:c>
      <x:c r="C812" s="51" t="n">
        <x:v>2</x:v>
      </x:c>
      <x:c r="D812" s="71" t="str"/>
      <x:c r="E812" s="51" t="str">
        <x:v>GK</x:v>
      </x:c>
      <x:c r="F812" s="51" t="str">
        <x:v>GK</x:v>
      </x:c>
      <x:c r="G812" s="51" t="str">
        <x:v>Starter</x:v>
      </x:c>
      <x:c r="H812" s="55" t="n">
        <x:v>1</x:v>
      </x:c>
      <x:c r="I812" s="51" t="str"/>
      <x:c r="J812" s="72" t="str"/>
      <x:c r="K812" s="72" t="str"/>
      <x:c r="L812" s="72" t="str"/>
      <x:c r="M812" s="72" t="str"/>
      <x:c r="N812" s="72" t="str"/>
      <x:c r="O812" s="72" t="str"/>
      <x:c r="P812" s="72" t="str">
        <x:v>Available</x:v>
      </x:c>
      <x:c r="Q812" s="72" t="n">
        <x:v>0</x:v>
      </x:c>
      <x:c r="R812" s="55" t="str">
        <x:f>IF($D812="","",ROUND(MAX(0,MIN(100,0.35*$J812+0.2*$K812+0.15*$L812+0.15*$M812+0.1*$N812+0.05*$O812-IF(OR($P812="Out",$P812="Suspended"),$Q812,IF($P812="Doubtful",$Q812*0.5,IF($P812="Limited",$Q812*0.25,0))))),2))</x:f>
      </x:c>
      <x:c r="S812" s="55" t="n">
        <x:f>IF($D812="",0,ROUND(IF(OR($P812="Out",$P812="Suspended"),$Q812*$H812,IF($P812="Doubtful",$Q812*$H812*0.5,IF($P812="Limited",$Q812*$H812*0.25,0))),2))</x:f>
        <x:v>0</x:v>
      </x:c>
      <x:c r="T812" s="55" t="str"/>
      <x:c r="U812" s="51" t="str"/>
    </x:row>
    <x:row r="813">
      <x:c r="A813" s="51" t="str">
        <x:v>Uruguay</x:v>
      </x:c>
      <x:c r="B813" s="51" t="str">
        <x:v>H</x:v>
      </x:c>
      <x:c r="C813" s="51" t="n">
        <x:v>3</x:v>
      </x:c>
      <x:c r="D813" s="71" t="str"/>
      <x:c r="E813" s="51" t="str">
        <x:v>GK</x:v>
      </x:c>
      <x:c r="F813" s="51" t="str">
        <x:v>GK</x:v>
      </x:c>
      <x:c r="G813" s="51" t="str">
        <x:v>Starter</x:v>
      </x:c>
      <x:c r="H813" s="55" t="n">
        <x:v>1</x:v>
      </x:c>
      <x:c r="I813" s="51" t="str"/>
      <x:c r="J813" s="72" t="str"/>
      <x:c r="K813" s="72" t="str"/>
      <x:c r="L813" s="72" t="str"/>
      <x:c r="M813" s="72" t="str"/>
      <x:c r="N813" s="72" t="str"/>
      <x:c r="O813" s="72" t="str"/>
      <x:c r="P813" s="72" t="str">
        <x:v>Available</x:v>
      </x:c>
      <x:c r="Q813" s="72" t="n">
        <x:v>0</x:v>
      </x:c>
      <x:c r="R813" s="55" t="str">
        <x:f>IF($D813="","",ROUND(MAX(0,MIN(100,0.35*$J813+0.2*$K813+0.15*$L813+0.15*$M813+0.1*$N813+0.05*$O813-IF(OR($P813="Out",$P813="Suspended"),$Q813,IF($P813="Doubtful",$Q813*0.5,IF($P813="Limited",$Q813*0.25,0))))),2))</x:f>
      </x:c>
      <x:c r="S813" s="55" t="n">
        <x:f>IF($D813="",0,ROUND(IF(OR($P813="Out",$P813="Suspended"),$Q813*$H813,IF($P813="Doubtful",$Q813*$H813*0.5,IF($P813="Limited",$Q813*$H813*0.25,0))),2))</x:f>
        <x:v>0</x:v>
      </x:c>
      <x:c r="T813" s="55" t="str"/>
      <x:c r="U813" s="51" t="str"/>
    </x:row>
    <x:row r="814">
      <x:c r="A814" s="51" t="str">
        <x:v>Uruguay</x:v>
      </x:c>
      <x:c r="B814" s="51" t="str">
        <x:v>H</x:v>
      </x:c>
      <x:c r="C814" s="51" t="n">
        <x:v>4</x:v>
      </x:c>
      <x:c r="D814" s="71" t="str"/>
      <x:c r="E814" s="51" t="str">
        <x:v>CB</x:v>
      </x:c>
      <x:c r="F814" s="51" t="str">
        <x:v>Defence</x:v>
      </x:c>
      <x:c r="G814" s="51" t="str">
        <x:v>Starter</x:v>
      </x:c>
      <x:c r="H814" s="55" t="n">
        <x:v>1</x:v>
      </x:c>
      <x:c r="I814" s="51" t="str"/>
      <x:c r="J814" s="72" t="str"/>
      <x:c r="K814" s="72" t="str"/>
      <x:c r="L814" s="72" t="str"/>
      <x:c r="M814" s="72" t="str"/>
      <x:c r="N814" s="72" t="str"/>
      <x:c r="O814" s="72" t="str"/>
      <x:c r="P814" s="72" t="str">
        <x:v>Available</x:v>
      </x:c>
      <x:c r="Q814" s="72" t="n">
        <x:v>0</x:v>
      </x:c>
      <x:c r="R814" s="55" t="str">
        <x:f>IF($D814="","",ROUND(MAX(0,MIN(100,0.35*$J814+0.2*$K814+0.15*$L814+0.15*$M814+0.1*$N814+0.05*$O814-IF(OR($P814="Out",$P814="Suspended"),$Q814,IF($P814="Doubtful",$Q814*0.5,IF($P814="Limited",$Q814*0.25,0))))),2))</x:f>
      </x:c>
      <x:c r="S814" s="55" t="n">
        <x:f>IF($D814="",0,ROUND(IF(OR($P814="Out",$P814="Suspended"),$Q814*$H814,IF($P814="Doubtful",$Q814*$H814*0.5,IF($P814="Limited",$Q814*$H814*0.25,0))),2))</x:f>
        <x:v>0</x:v>
      </x:c>
      <x:c r="T814" s="55" t="str"/>
      <x:c r="U814" s="51" t="str"/>
    </x:row>
    <x:row r="815">
      <x:c r="A815" s="51" t="str">
        <x:v>Uruguay</x:v>
      </x:c>
      <x:c r="B815" s="51" t="str">
        <x:v>H</x:v>
      </x:c>
      <x:c r="C815" s="51" t="n">
        <x:v>5</x:v>
      </x:c>
      <x:c r="D815" s="71" t="str"/>
      <x:c r="E815" s="51" t="str">
        <x:v>CB</x:v>
      </x:c>
      <x:c r="F815" s="51" t="str">
        <x:v>Defence</x:v>
      </x:c>
      <x:c r="G815" s="51" t="str">
        <x:v>Starter</x:v>
      </x:c>
      <x:c r="H815" s="55" t="n">
        <x:v>1</x:v>
      </x:c>
      <x:c r="I815" s="51" t="str"/>
      <x:c r="J815" s="72" t="str"/>
      <x:c r="K815" s="72" t="str"/>
      <x:c r="L815" s="72" t="str"/>
      <x:c r="M815" s="72" t="str"/>
      <x:c r="N815" s="72" t="str"/>
      <x:c r="O815" s="72" t="str"/>
      <x:c r="P815" s="72" t="str">
        <x:v>Available</x:v>
      </x:c>
      <x:c r="Q815" s="72" t="n">
        <x:v>0</x:v>
      </x:c>
      <x:c r="R815" s="55" t="str">
        <x:f>IF($D815="","",ROUND(MAX(0,MIN(100,0.35*$J815+0.2*$K815+0.15*$L815+0.15*$M815+0.1*$N815+0.05*$O815-IF(OR($P815="Out",$P815="Suspended"),$Q815,IF($P815="Doubtful",$Q815*0.5,IF($P815="Limited",$Q815*0.25,0))))),2))</x:f>
      </x:c>
      <x:c r="S815" s="55" t="n">
        <x:f>IF($D815="",0,ROUND(IF(OR($P815="Out",$P815="Suspended"),$Q815*$H815,IF($P815="Doubtful",$Q815*$H815*0.5,IF($P815="Limited",$Q815*$H815*0.25,0))),2))</x:f>
        <x:v>0</x:v>
      </x:c>
      <x:c r="T815" s="55" t="str"/>
      <x:c r="U815" s="51" t="str"/>
    </x:row>
    <x:row r="816">
      <x:c r="A816" s="51" t="str">
        <x:v>Uruguay</x:v>
      </x:c>
      <x:c r="B816" s="51" t="str">
        <x:v>H</x:v>
      </x:c>
      <x:c r="C816" s="51" t="n">
        <x:v>6</x:v>
      </x:c>
      <x:c r="D816" s="71" t="str"/>
      <x:c r="E816" s="51" t="str">
        <x:v>CB</x:v>
      </x:c>
      <x:c r="F816" s="51" t="str">
        <x:v>Defence</x:v>
      </x:c>
      <x:c r="G816" s="51" t="str">
        <x:v>Starter</x:v>
      </x:c>
      <x:c r="H816" s="55" t="n">
        <x:v>1</x:v>
      </x:c>
      <x:c r="I816" s="51" t="str"/>
      <x:c r="J816" s="72" t="str"/>
      <x:c r="K816" s="72" t="str"/>
      <x:c r="L816" s="72" t="str"/>
      <x:c r="M816" s="72" t="str"/>
      <x:c r="N816" s="72" t="str"/>
      <x:c r="O816" s="72" t="str"/>
      <x:c r="P816" s="72" t="str">
        <x:v>Available</x:v>
      </x:c>
      <x:c r="Q816" s="72" t="n">
        <x:v>0</x:v>
      </x:c>
      <x:c r="R816" s="55" t="str">
        <x:f>IF($D816="","",ROUND(MAX(0,MIN(100,0.35*$J816+0.2*$K816+0.15*$L816+0.15*$M816+0.1*$N816+0.05*$O816-IF(OR($P816="Out",$P816="Suspended"),$Q816,IF($P816="Doubtful",$Q816*0.5,IF($P816="Limited",$Q816*0.25,0))))),2))</x:f>
      </x:c>
      <x:c r="S816" s="55" t="n">
        <x:f>IF($D816="",0,ROUND(IF(OR($P816="Out",$P816="Suspended"),$Q816*$H816,IF($P816="Doubtful",$Q816*$H816*0.5,IF($P816="Limited",$Q816*$H816*0.25,0))),2))</x:f>
        <x:v>0</x:v>
      </x:c>
      <x:c r="T816" s="55" t="str"/>
      <x:c r="U816" s="51" t="str"/>
    </x:row>
    <x:row r="817">
      <x:c r="A817" s="51" t="str">
        <x:v>Uruguay</x:v>
      </x:c>
      <x:c r="B817" s="51" t="str">
        <x:v>H</x:v>
      </x:c>
      <x:c r="C817" s="51" t="n">
        <x:v>7</x:v>
      </x:c>
      <x:c r="D817" s="71" t="str"/>
      <x:c r="E817" s="51" t="str">
        <x:v>FB</x:v>
      </x:c>
      <x:c r="F817" s="51" t="str">
        <x:v>Defence</x:v>
      </x:c>
      <x:c r="G817" s="51" t="str">
        <x:v>Starter</x:v>
      </x:c>
      <x:c r="H817" s="55" t="n">
        <x:v>1</x:v>
      </x:c>
      <x:c r="I817" s="51" t="str"/>
      <x:c r="J817" s="72" t="str"/>
      <x:c r="K817" s="72" t="str"/>
      <x:c r="L817" s="72" t="str"/>
      <x:c r="M817" s="72" t="str"/>
      <x:c r="N817" s="72" t="str"/>
      <x:c r="O817" s="72" t="str"/>
      <x:c r="P817" s="72" t="str">
        <x:v>Available</x:v>
      </x:c>
      <x:c r="Q817" s="72" t="n">
        <x:v>0</x:v>
      </x:c>
      <x:c r="R817" s="55" t="str">
        <x:f>IF($D817="","",ROUND(MAX(0,MIN(100,0.35*$J817+0.2*$K817+0.15*$L817+0.15*$M817+0.1*$N817+0.05*$O817-IF(OR($P817="Out",$P817="Suspended"),$Q817,IF($P817="Doubtful",$Q817*0.5,IF($P817="Limited",$Q817*0.25,0))))),2))</x:f>
      </x:c>
      <x:c r="S817" s="55" t="n">
        <x:f>IF($D817="",0,ROUND(IF(OR($P817="Out",$P817="Suspended"),$Q817*$H817,IF($P817="Doubtful",$Q817*$H817*0.5,IF($P817="Limited",$Q817*$H817*0.25,0))),2))</x:f>
        <x:v>0</x:v>
      </x:c>
      <x:c r="T817" s="55" t="str"/>
      <x:c r="U817" s="51" t="str"/>
    </x:row>
    <x:row r="818">
      <x:c r="A818" s="51" t="str">
        <x:v>Uruguay</x:v>
      </x:c>
      <x:c r="B818" s="51" t="str">
        <x:v>H</x:v>
      </x:c>
      <x:c r="C818" s="51" t="n">
        <x:v>8</x:v>
      </x:c>
      <x:c r="D818" s="71" t="str"/>
      <x:c r="E818" s="51" t="str">
        <x:v>FB</x:v>
      </x:c>
      <x:c r="F818" s="51" t="str">
        <x:v>Defence</x:v>
      </x:c>
      <x:c r="G818" s="51" t="str">
        <x:v>Starter</x:v>
      </x:c>
      <x:c r="H818" s="55" t="n">
        <x:v>1</x:v>
      </x:c>
      <x:c r="I818" s="51" t="str"/>
      <x:c r="J818" s="72" t="str"/>
      <x:c r="K818" s="72" t="str"/>
      <x:c r="L818" s="72" t="str"/>
      <x:c r="M818" s="72" t="str"/>
      <x:c r="N818" s="72" t="str"/>
      <x:c r="O818" s="72" t="str"/>
      <x:c r="P818" s="72" t="str">
        <x:v>Available</x:v>
      </x:c>
      <x:c r="Q818" s="72" t="n">
        <x:v>0</x:v>
      </x:c>
      <x:c r="R818" s="55" t="str">
        <x:f>IF($D818="","",ROUND(MAX(0,MIN(100,0.35*$J818+0.2*$K818+0.15*$L818+0.15*$M818+0.1*$N818+0.05*$O818-IF(OR($P818="Out",$P818="Suspended"),$Q818,IF($P818="Doubtful",$Q818*0.5,IF($P818="Limited",$Q818*0.25,0))))),2))</x:f>
      </x:c>
      <x:c r="S818" s="55" t="n">
        <x:f>IF($D818="",0,ROUND(IF(OR($P818="Out",$P818="Suspended"),$Q818*$H818,IF($P818="Doubtful",$Q818*$H818*0.5,IF($P818="Limited",$Q818*$H818*0.25,0))),2))</x:f>
        <x:v>0</x:v>
      </x:c>
      <x:c r="T818" s="55" t="str"/>
      <x:c r="U818" s="51" t="str"/>
    </x:row>
    <x:row r="819">
      <x:c r="A819" s="51" t="str">
        <x:v>Uruguay</x:v>
      </x:c>
      <x:c r="B819" s="51" t="str">
        <x:v>H</x:v>
      </x:c>
      <x:c r="C819" s="51" t="n">
        <x:v>9</x:v>
      </x:c>
      <x:c r="D819" s="71" t="str"/>
      <x:c r="E819" s="51" t="str">
        <x:v>DM</x:v>
      </x:c>
      <x:c r="F819" s="51" t="str">
        <x:v>Midfield</x:v>
      </x:c>
      <x:c r="G819" s="51" t="str">
        <x:v>Starter</x:v>
      </x:c>
      <x:c r="H819" s="55" t="n">
        <x:v>1</x:v>
      </x:c>
      <x:c r="I819" s="51" t="str"/>
      <x:c r="J819" s="72" t="str"/>
      <x:c r="K819" s="72" t="str"/>
      <x:c r="L819" s="72" t="str"/>
      <x:c r="M819" s="72" t="str"/>
      <x:c r="N819" s="72" t="str"/>
      <x:c r="O819" s="72" t="str"/>
      <x:c r="P819" s="72" t="str">
        <x:v>Available</x:v>
      </x:c>
      <x:c r="Q819" s="72" t="n">
        <x:v>0</x:v>
      </x:c>
      <x:c r="R819" s="55" t="str">
        <x:f>IF($D819="","",ROUND(MAX(0,MIN(100,0.35*$J819+0.2*$K819+0.15*$L819+0.15*$M819+0.1*$N819+0.05*$O819-IF(OR($P819="Out",$P819="Suspended"),$Q819,IF($P819="Doubtful",$Q819*0.5,IF($P819="Limited",$Q819*0.25,0))))),2))</x:f>
      </x:c>
      <x:c r="S819" s="55" t="n">
        <x:f>IF($D819="",0,ROUND(IF(OR($P819="Out",$P819="Suspended"),$Q819*$H819,IF($P819="Doubtful",$Q819*$H819*0.5,IF($P819="Limited",$Q819*$H819*0.25,0))),2))</x:f>
        <x:v>0</x:v>
      </x:c>
      <x:c r="T819" s="55" t="str"/>
      <x:c r="U819" s="51" t="str"/>
    </x:row>
    <x:row r="820">
      <x:c r="A820" s="51" t="str">
        <x:v>Uruguay</x:v>
      </x:c>
      <x:c r="B820" s="51" t="str">
        <x:v>H</x:v>
      </x:c>
      <x:c r="C820" s="51" t="n">
        <x:v>10</x:v>
      </x:c>
      <x:c r="D820" s="71" t="str"/>
      <x:c r="E820" s="51" t="str">
        <x:v>DM</x:v>
      </x:c>
      <x:c r="F820" s="51" t="str">
        <x:v>Midfield</x:v>
      </x:c>
      <x:c r="G820" s="51" t="str">
        <x:v>Starter</x:v>
      </x:c>
      <x:c r="H820" s="55" t="n">
        <x:v>1</x:v>
      </x:c>
      <x:c r="I820" s="51" t="str"/>
      <x:c r="J820" s="72" t="str"/>
      <x:c r="K820" s="72" t="str"/>
      <x:c r="L820" s="72" t="str"/>
      <x:c r="M820" s="72" t="str"/>
      <x:c r="N820" s="72" t="str"/>
      <x:c r="O820" s="72" t="str"/>
      <x:c r="P820" s="72" t="str">
        <x:v>Available</x:v>
      </x:c>
      <x:c r="Q820" s="72" t="n">
        <x:v>0</x:v>
      </x:c>
      <x:c r="R820" s="55" t="str">
        <x:f>IF($D820="","",ROUND(MAX(0,MIN(100,0.35*$J820+0.2*$K820+0.15*$L820+0.15*$M820+0.1*$N820+0.05*$O820-IF(OR($P820="Out",$P820="Suspended"),$Q820,IF($P820="Doubtful",$Q820*0.5,IF($P820="Limited",$Q820*0.25,0))))),2))</x:f>
      </x:c>
      <x:c r="S820" s="55" t="n">
        <x:f>IF($D820="",0,ROUND(IF(OR($P820="Out",$P820="Suspended"),$Q820*$H820,IF($P820="Doubtful",$Q820*$H820*0.5,IF($P820="Limited",$Q820*$H820*0.25,0))),2))</x:f>
        <x:v>0</x:v>
      </x:c>
      <x:c r="T820" s="55" t="str"/>
      <x:c r="U820" s="51" t="str"/>
    </x:row>
    <x:row r="821">
      <x:c r="A821" s="51" t="str">
        <x:v>Uruguay</x:v>
      </x:c>
      <x:c r="B821" s="51" t="str">
        <x:v>H</x:v>
      </x:c>
      <x:c r="C821" s="51" t="n">
        <x:v>11</x:v>
      </x:c>
      <x:c r="D821" s="71" t="str"/>
      <x:c r="E821" s="51" t="str">
        <x:v>DM</x:v>
      </x:c>
      <x:c r="F821" s="51" t="str">
        <x:v>Midfield</x:v>
      </x:c>
      <x:c r="G821" s="51" t="str">
        <x:v>Starter</x:v>
      </x:c>
      <x:c r="H821" s="55" t="n">
        <x:v>1</x:v>
      </x:c>
      <x:c r="I821" s="51" t="str"/>
      <x:c r="J821" s="72" t="str"/>
      <x:c r="K821" s="72" t="str"/>
      <x:c r="L821" s="72" t="str"/>
      <x:c r="M821" s="72" t="str"/>
      <x:c r="N821" s="72" t="str"/>
      <x:c r="O821" s="72" t="str"/>
      <x:c r="P821" s="72" t="str">
        <x:v>Available</x:v>
      </x:c>
      <x:c r="Q821" s="72" t="n">
        <x:v>0</x:v>
      </x:c>
      <x:c r="R821" s="55" t="str">
        <x:f>IF($D821="","",ROUND(MAX(0,MIN(100,0.35*$J821+0.2*$K821+0.15*$L821+0.15*$M821+0.1*$N821+0.05*$O821-IF(OR($P821="Out",$P821="Suspended"),$Q821,IF($P821="Doubtful",$Q821*0.5,IF($P821="Limited",$Q821*0.25,0))))),2))</x:f>
      </x:c>
      <x:c r="S821" s="55" t="n">
        <x:f>IF($D821="",0,ROUND(IF(OR($P821="Out",$P821="Suspended"),$Q821*$H821,IF($P821="Doubtful",$Q821*$H821*0.5,IF($P821="Limited",$Q821*$H821*0.25,0))),2))</x:f>
        <x:v>0</x:v>
      </x:c>
      <x:c r="T821" s="55" t="str"/>
      <x:c r="U821" s="51" t="str"/>
    </x:row>
    <x:row r="822">
      <x:c r="A822" s="51" t="str">
        <x:v>Uruguay</x:v>
      </x:c>
      <x:c r="B822" s="51" t="str">
        <x:v>H</x:v>
      </x:c>
      <x:c r="C822" s="51" t="n">
        <x:v>12</x:v>
      </x:c>
      <x:c r="D822" s="71" t="str"/>
      <x:c r="E822" s="51" t="str">
        <x:v>CM</x:v>
      </x:c>
      <x:c r="F822" s="51" t="str">
        <x:v>Midfield</x:v>
      </x:c>
      <x:c r="G822" s="51" t="str">
        <x:v>Rotation</x:v>
      </x:c>
      <x:c r="H822" s="55" t="n">
        <x:v>0.35</x:v>
      </x:c>
      <x:c r="I822" s="51" t="str"/>
      <x:c r="J822" s="72" t="str"/>
      <x:c r="K822" s="72" t="str"/>
      <x:c r="L822" s="72" t="str"/>
      <x:c r="M822" s="72" t="str"/>
      <x:c r="N822" s="72" t="str"/>
      <x:c r="O822" s="72" t="str"/>
      <x:c r="P822" s="72" t="str">
        <x:v>Available</x:v>
      </x:c>
      <x:c r="Q822" s="72" t="n">
        <x:v>0</x:v>
      </x:c>
      <x:c r="R822" s="55" t="str">
        <x:f>IF($D822="","",ROUND(MAX(0,MIN(100,0.35*$J822+0.2*$K822+0.15*$L822+0.15*$M822+0.1*$N822+0.05*$O822-IF(OR($P822="Out",$P822="Suspended"),$Q822,IF($P822="Doubtful",$Q822*0.5,IF($P822="Limited",$Q822*0.25,0))))),2))</x:f>
      </x:c>
      <x:c r="S822" s="55" t="n">
        <x:f>IF($D822="",0,ROUND(IF(OR($P822="Out",$P822="Suspended"),$Q822*$H822,IF($P822="Doubtful",$Q822*$H822*0.5,IF($P822="Limited",$Q822*$H822*0.25,0))),2))</x:f>
        <x:v>0</x:v>
      </x:c>
      <x:c r="T822" s="55" t="str"/>
      <x:c r="U822" s="51" t="str"/>
    </x:row>
    <x:row r="823">
      <x:c r="A823" s="51" t="str">
        <x:v>Uruguay</x:v>
      </x:c>
      <x:c r="B823" s="51" t="str">
        <x:v>H</x:v>
      </x:c>
      <x:c r="C823" s="51" t="n">
        <x:v>13</x:v>
      </x:c>
      <x:c r="D823" s="71" t="str"/>
      <x:c r="E823" s="51" t="str">
        <x:v>CM</x:v>
      </x:c>
      <x:c r="F823" s="51" t="str">
        <x:v>Midfield</x:v>
      </x:c>
      <x:c r="G823" s="51" t="str">
        <x:v>Rotation</x:v>
      </x:c>
      <x:c r="H823" s="55" t="n">
        <x:v>0.35</x:v>
      </x:c>
      <x:c r="I823" s="51" t="str"/>
      <x:c r="J823" s="72" t="str"/>
      <x:c r="K823" s="72" t="str"/>
      <x:c r="L823" s="72" t="str"/>
      <x:c r="M823" s="72" t="str"/>
      <x:c r="N823" s="72" t="str"/>
      <x:c r="O823" s="72" t="str"/>
      <x:c r="P823" s="72" t="str">
        <x:v>Available</x:v>
      </x:c>
      <x:c r="Q823" s="72" t="n">
        <x:v>0</x:v>
      </x:c>
      <x:c r="R823" s="55" t="str">
        <x:f>IF($D823="","",ROUND(MAX(0,MIN(100,0.35*$J823+0.2*$K823+0.15*$L823+0.15*$M823+0.1*$N823+0.05*$O823-IF(OR($P823="Out",$P823="Suspended"),$Q823,IF($P823="Doubtful",$Q823*0.5,IF($P823="Limited",$Q823*0.25,0))))),2))</x:f>
      </x:c>
      <x:c r="S823" s="55" t="n">
        <x:f>IF($D823="",0,ROUND(IF(OR($P823="Out",$P823="Suspended"),$Q823*$H823,IF($P823="Doubtful",$Q823*$H823*0.5,IF($P823="Limited",$Q823*$H823*0.25,0))),2))</x:f>
        <x:v>0</x:v>
      </x:c>
      <x:c r="T823" s="55" t="str"/>
      <x:c r="U823" s="51" t="str"/>
    </x:row>
    <x:row r="824">
      <x:c r="A824" s="51" t="str">
        <x:v>Uruguay</x:v>
      </x:c>
      <x:c r="B824" s="51" t="str">
        <x:v>H</x:v>
      </x:c>
      <x:c r="C824" s="51" t="n">
        <x:v>14</x:v>
      </x:c>
      <x:c r="D824" s="71" t="str"/>
      <x:c r="E824" s="51" t="str">
        <x:v>CM</x:v>
      </x:c>
      <x:c r="F824" s="51" t="str">
        <x:v>Midfield</x:v>
      </x:c>
      <x:c r="G824" s="51" t="str">
        <x:v>Rotation</x:v>
      </x:c>
      <x:c r="H824" s="55" t="n">
        <x:v>0.35</x:v>
      </x:c>
      <x:c r="I824" s="51" t="str"/>
      <x:c r="J824" s="72" t="str"/>
      <x:c r="K824" s="72" t="str"/>
      <x:c r="L824" s="72" t="str"/>
      <x:c r="M824" s="72" t="str"/>
      <x:c r="N824" s="72" t="str"/>
      <x:c r="O824" s="72" t="str"/>
      <x:c r="P824" s="72" t="str">
        <x:v>Available</x:v>
      </x:c>
      <x:c r="Q824" s="72" t="n">
        <x:v>0</x:v>
      </x:c>
      <x:c r="R824" s="55" t="str">
        <x:f>IF($D824="","",ROUND(MAX(0,MIN(100,0.35*$J824+0.2*$K824+0.15*$L824+0.15*$M824+0.1*$N824+0.05*$O824-IF(OR($P824="Out",$P824="Suspended"),$Q824,IF($P824="Doubtful",$Q824*0.5,IF($P824="Limited",$Q824*0.25,0))))),2))</x:f>
      </x:c>
      <x:c r="S824" s="55" t="n">
        <x:f>IF($D824="",0,ROUND(IF(OR($P824="Out",$P824="Suspended"),$Q824*$H824,IF($P824="Doubtful",$Q824*$H824*0.5,IF($P824="Limited",$Q824*$H824*0.25,0))),2))</x:f>
        <x:v>0</x:v>
      </x:c>
      <x:c r="T824" s="55" t="str"/>
      <x:c r="U824" s="51" t="str"/>
    </x:row>
    <x:row r="825">
      <x:c r="A825" s="51" t="str">
        <x:v>Uruguay</x:v>
      </x:c>
      <x:c r="B825" s="51" t="str">
        <x:v>H</x:v>
      </x:c>
      <x:c r="C825" s="51" t="n">
        <x:v>15</x:v>
      </x:c>
      <x:c r="D825" s="71" t="str"/>
      <x:c r="E825" s="51" t="str">
        <x:v>CM</x:v>
      </x:c>
      <x:c r="F825" s="51" t="str">
        <x:v>Midfield</x:v>
      </x:c>
      <x:c r="G825" s="51" t="str">
        <x:v>Rotation</x:v>
      </x:c>
      <x:c r="H825" s="55" t="n">
        <x:v>0.35</x:v>
      </x:c>
      <x:c r="I825" s="51" t="str"/>
      <x:c r="J825" s="72" t="str"/>
      <x:c r="K825" s="72" t="str"/>
      <x:c r="L825" s="72" t="str"/>
      <x:c r="M825" s="72" t="str"/>
      <x:c r="N825" s="72" t="str"/>
      <x:c r="O825" s="72" t="str"/>
      <x:c r="P825" s="72" t="str">
        <x:v>Available</x:v>
      </x:c>
      <x:c r="Q825" s="72" t="n">
        <x:v>0</x:v>
      </x:c>
      <x:c r="R825" s="55" t="str">
        <x:f>IF($D825="","",ROUND(MAX(0,MIN(100,0.35*$J825+0.2*$K825+0.15*$L825+0.15*$M825+0.1*$N825+0.05*$O825-IF(OR($P825="Out",$P825="Suspended"),$Q825,IF($P825="Doubtful",$Q825*0.5,IF($P825="Limited",$Q825*0.25,0))))),2))</x:f>
      </x:c>
      <x:c r="S825" s="55" t="n">
        <x:f>IF($D825="",0,ROUND(IF(OR($P825="Out",$P825="Suspended"),$Q825*$H825,IF($P825="Doubtful",$Q825*$H825*0.5,IF($P825="Limited",$Q825*$H825*0.25,0))),2))</x:f>
        <x:v>0</x:v>
      </x:c>
      <x:c r="T825" s="55" t="str"/>
      <x:c r="U825" s="51" t="str"/>
    </x:row>
    <x:row r="826">
      <x:c r="A826" s="51" t="str">
        <x:v>Uruguay</x:v>
      </x:c>
      <x:c r="B826" s="51" t="str">
        <x:v>H</x:v>
      </x:c>
      <x:c r="C826" s="51" t="n">
        <x:v>16</x:v>
      </x:c>
      <x:c r="D826" s="71" t="str"/>
      <x:c r="E826" s="51" t="str">
        <x:v>AM</x:v>
      </x:c>
      <x:c r="F826" s="51" t="str">
        <x:v>Attack</x:v>
      </x:c>
      <x:c r="G826" s="51" t="str">
        <x:v>Rotation</x:v>
      </x:c>
      <x:c r="H826" s="55" t="n">
        <x:v>0.35</x:v>
      </x:c>
      <x:c r="I826" s="51" t="str"/>
      <x:c r="J826" s="72" t="str"/>
      <x:c r="K826" s="72" t="str"/>
      <x:c r="L826" s="72" t="str"/>
      <x:c r="M826" s="72" t="str"/>
      <x:c r="N826" s="72" t="str"/>
      <x:c r="O826" s="72" t="str"/>
      <x:c r="P826" s="72" t="str">
        <x:v>Available</x:v>
      </x:c>
      <x:c r="Q826" s="72" t="n">
        <x:v>0</x:v>
      </x:c>
      <x:c r="R826" s="55" t="str">
        <x:f>IF($D826="","",ROUND(MAX(0,MIN(100,0.35*$J826+0.2*$K826+0.15*$L826+0.15*$M826+0.1*$N826+0.05*$O826-IF(OR($P826="Out",$P826="Suspended"),$Q826,IF($P826="Doubtful",$Q826*0.5,IF($P826="Limited",$Q826*0.25,0))))),2))</x:f>
      </x:c>
      <x:c r="S826" s="55" t="n">
        <x:f>IF($D826="",0,ROUND(IF(OR($P826="Out",$P826="Suspended"),$Q826*$H826,IF($P826="Doubtful",$Q826*$H826*0.5,IF($P826="Limited",$Q826*$H826*0.25,0))),2))</x:f>
        <x:v>0</x:v>
      </x:c>
      <x:c r="T826" s="55" t="str"/>
      <x:c r="U826" s="51" t="str"/>
    </x:row>
    <x:row r="827">
      <x:c r="A827" s="51" t="str">
        <x:v>Uruguay</x:v>
      </x:c>
      <x:c r="B827" s="51" t="str">
        <x:v>H</x:v>
      </x:c>
      <x:c r="C827" s="51" t="n">
        <x:v>17</x:v>
      </x:c>
      <x:c r="D827" s="71" t="str"/>
      <x:c r="E827" s="51" t="str">
        <x:v>AM</x:v>
      </x:c>
      <x:c r="F827" s="51" t="str">
        <x:v>Attack</x:v>
      </x:c>
      <x:c r="G827" s="51" t="str">
        <x:v>Rotation</x:v>
      </x:c>
      <x:c r="H827" s="55" t="n">
        <x:v>0.35</x:v>
      </x:c>
      <x:c r="I827" s="51" t="str"/>
      <x:c r="J827" s="72" t="str"/>
      <x:c r="K827" s="72" t="str"/>
      <x:c r="L827" s="72" t="str"/>
      <x:c r="M827" s="72" t="str"/>
      <x:c r="N827" s="72" t="str"/>
      <x:c r="O827" s="72" t="str"/>
      <x:c r="P827" s="72" t="str">
        <x:v>Available</x:v>
      </x:c>
      <x:c r="Q827" s="72" t="n">
        <x:v>0</x:v>
      </x:c>
      <x:c r="R827" s="55" t="str">
        <x:f>IF($D827="","",ROUND(MAX(0,MIN(100,0.35*$J827+0.2*$K827+0.15*$L827+0.15*$M827+0.1*$N827+0.05*$O827-IF(OR($P827="Out",$P827="Suspended"),$Q827,IF($P827="Doubtful",$Q827*0.5,IF($P827="Limited",$Q827*0.25,0))))),2))</x:f>
      </x:c>
      <x:c r="S827" s="55" t="n">
        <x:f>IF($D827="",0,ROUND(IF(OR($P827="Out",$P827="Suspended"),$Q827*$H827,IF($P827="Doubtful",$Q827*$H827*0.5,IF($P827="Limited",$Q827*$H827*0.25,0))),2))</x:f>
        <x:v>0</x:v>
      </x:c>
      <x:c r="T827" s="55" t="str"/>
      <x:c r="U827" s="51" t="str"/>
    </x:row>
    <x:row r="828">
      <x:c r="A828" s="51" t="str">
        <x:v>Uruguay</x:v>
      </x:c>
      <x:c r="B828" s="51" t="str">
        <x:v>H</x:v>
      </x:c>
      <x:c r="C828" s="51" t="n">
        <x:v>18</x:v>
      </x:c>
      <x:c r="D828" s="71" t="str"/>
      <x:c r="E828" s="51" t="str">
        <x:v>AM</x:v>
      </x:c>
      <x:c r="F828" s="51" t="str">
        <x:v>Attack</x:v>
      </x:c>
      <x:c r="G828" s="51" t="str">
        <x:v>Rotation</x:v>
      </x:c>
      <x:c r="H828" s="55" t="n">
        <x:v>0.35</x:v>
      </x:c>
      <x:c r="I828" s="51" t="str"/>
      <x:c r="J828" s="72" t="str"/>
      <x:c r="K828" s="72" t="str"/>
      <x:c r="L828" s="72" t="str"/>
      <x:c r="M828" s="72" t="str"/>
      <x:c r="N828" s="72" t="str"/>
      <x:c r="O828" s="72" t="str"/>
      <x:c r="P828" s="72" t="str">
        <x:v>Available</x:v>
      </x:c>
      <x:c r="Q828" s="72" t="n">
        <x:v>0</x:v>
      </x:c>
      <x:c r="R828" s="55" t="str">
        <x:f>IF($D828="","",ROUND(MAX(0,MIN(100,0.35*$J828+0.2*$K828+0.15*$L828+0.15*$M828+0.1*$N828+0.05*$O828-IF(OR($P828="Out",$P828="Suspended"),$Q828,IF($P828="Doubtful",$Q828*0.5,IF($P828="Limited",$Q828*0.25,0))))),2))</x:f>
      </x:c>
      <x:c r="S828" s="55" t="n">
        <x:f>IF($D828="",0,ROUND(IF(OR($P828="Out",$P828="Suspended"),$Q828*$H828,IF($P828="Doubtful",$Q828*$H828*0.5,IF($P828="Limited",$Q828*$H828*0.25,0))),2))</x:f>
        <x:v>0</x:v>
      </x:c>
      <x:c r="T828" s="55" t="str"/>
      <x:c r="U828" s="51" t="str"/>
    </x:row>
    <x:row r="829">
      <x:c r="A829" s="51" t="str">
        <x:v>Uruguay</x:v>
      </x:c>
      <x:c r="B829" s="51" t="str">
        <x:v>H</x:v>
      </x:c>
      <x:c r="C829" s="51" t="n">
        <x:v>19</x:v>
      </x:c>
      <x:c r="D829" s="71" t="str"/>
      <x:c r="E829" s="51" t="str">
        <x:v>AM</x:v>
      </x:c>
      <x:c r="F829" s="51" t="str">
        <x:v>Attack</x:v>
      </x:c>
      <x:c r="G829" s="51" t="str">
        <x:v>Rotation</x:v>
      </x:c>
      <x:c r="H829" s="55" t="n">
        <x:v>0.35</x:v>
      </x:c>
      <x:c r="I829" s="51" t="str"/>
      <x:c r="J829" s="72" t="str"/>
      <x:c r="K829" s="72" t="str"/>
      <x:c r="L829" s="72" t="str"/>
      <x:c r="M829" s="72" t="str"/>
      <x:c r="N829" s="72" t="str"/>
      <x:c r="O829" s="72" t="str"/>
      <x:c r="P829" s="72" t="str">
        <x:v>Available</x:v>
      </x:c>
      <x:c r="Q829" s="72" t="n">
        <x:v>0</x:v>
      </x:c>
      <x:c r="R829" s="55" t="str">
        <x:f>IF($D829="","",ROUND(MAX(0,MIN(100,0.35*$J829+0.2*$K829+0.15*$L829+0.15*$M829+0.1*$N829+0.05*$O829-IF(OR($P829="Out",$P829="Suspended"),$Q829,IF($P829="Doubtful",$Q829*0.5,IF($P829="Limited",$Q829*0.25,0))))),2))</x:f>
      </x:c>
      <x:c r="S829" s="55" t="n">
        <x:f>IF($D829="",0,ROUND(IF(OR($P829="Out",$P829="Suspended"),$Q829*$H829,IF($P829="Doubtful",$Q829*$H829*0.5,IF($P829="Limited",$Q829*$H829*0.25,0))),2))</x:f>
        <x:v>0</x:v>
      </x:c>
      <x:c r="T829" s="55" t="str"/>
      <x:c r="U829" s="51" t="str"/>
    </x:row>
    <x:row r="830">
      <x:c r="A830" s="51" t="str">
        <x:v>Uruguay</x:v>
      </x:c>
      <x:c r="B830" s="51" t="str">
        <x:v>H</x:v>
      </x:c>
      <x:c r="C830" s="51" t="n">
        <x:v>20</x:v>
      </x:c>
      <x:c r="D830" s="71" t="str"/>
      <x:c r="E830" s="51" t="str">
        <x:v>Winger</x:v>
      </x:c>
      <x:c r="F830" s="51" t="str">
        <x:v>Attack</x:v>
      </x:c>
      <x:c r="G830" s="51" t="str">
        <x:v>Rotation</x:v>
      </x:c>
      <x:c r="H830" s="55" t="n">
        <x:v>0.35</x:v>
      </x:c>
      <x:c r="I830" s="51" t="str"/>
      <x:c r="J830" s="72" t="str"/>
      <x:c r="K830" s="72" t="str"/>
      <x:c r="L830" s="72" t="str"/>
      <x:c r="M830" s="72" t="str"/>
      <x:c r="N830" s="72" t="str"/>
      <x:c r="O830" s="72" t="str"/>
      <x:c r="P830" s="72" t="str">
        <x:v>Available</x:v>
      </x:c>
      <x:c r="Q830" s="72" t="n">
        <x:v>0</x:v>
      </x:c>
      <x:c r="R830" s="55" t="str">
        <x:f>IF($D830="","",ROUND(MAX(0,MIN(100,0.35*$J830+0.2*$K830+0.15*$L830+0.15*$M830+0.1*$N830+0.05*$O830-IF(OR($P830="Out",$P830="Suspended"),$Q830,IF($P830="Doubtful",$Q830*0.5,IF($P830="Limited",$Q830*0.25,0))))),2))</x:f>
      </x:c>
      <x:c r="S830" s="55" t="n">
        <x:f>IF($D830="",0,ROUND(IF(OR($P830="Out",$P830="Suspended"),$Q830*$H830,IF($P830="Doubtful",$Q830*$H830*0.5,IF($P830="Limited",$Q830*$H830*0.25,0))),2))</x:f>
        <x:v>0</x:v>
      </x:c>
      <x:c r="T830" s="55" t="str"/>
      <x:c r="U830" s="51" t="str"/>
    </x:row>
    <x:row r="831">
      <x:c r="A831" s="51" t="str">
        <x:v>Uruguay</x:v>
      </x:c>
      <x:c r="B831" s="51" t="str">
        <x:v>H</x:v>
      </x:c>
      <x:c r="C831" s="51" t="n">
        <x:v>21</x:v>
      </x:c>
      <x:c r="D831" s="71" t="str"/>
      <x:c r="E831" s="51" t="str">
        <x:v>Winger</x:v>
      </x:c>
      <x:c r="F831" s="51" t="str">
        <x:v>Attack</x:v>
      </x:c>
      <x:c r="G831" s="51" t="str">
        <x:v>Depth</x:v>
      </x:c>
      <x:c r="H831" s="55" t="n">
        <x:v>0.1</x:v>
      </x:c>
      <x:c r="I831" s="51" t="str"/>
      <x:c r="J831" s="72" t="str"/>
      <x:c r="K831" s="72" t="str"/>
      <x:c r="L831" s="72" t="str"/>
      <x:c r="M831" s="72" t="str"/>
      <x:c r="N831" s="72" t="str"/>
      <x:c r="O831" s="72" t="str"/>
      <x:c r="P831" s="72" t="str">
        <x:v>Available</x:v>
      </x:c>
      <x:c r="Q831" s="72" t="n">
        <x:v>0</x:v>
      </x:c>
      <x:c r="R831" s="55" t="str">
        <x:f>IF($D831="","",ROUND(MAX(0,MIN(100,0.35*$J831+0.2*$K831+0.15*$L831+0.15*$M831+0.1*$N831+0.05*$O831-IF(OR($P831="Out",$P831="Suspended"),$Q831,IF($P831="Doubtful",$Q831*0.5,IF($P831="Limited",$Q831*0.25,0))))),2))</x:f>
      </x:c>
      <x:c r="S831" s="55" t="n">
        <x:f>IF($D831="",0,ROUND(IF(OR($P831="Out",$P831="Suspended"),$Q831*$H831,IF($P831="Doubtful",$Q831*$H831*0.5,IF($P831="Limited",$Q831*$H831*0.25,0))),2))</x:f>
        <x:v>0</x:v>
      </x:c>
      <x:c r="T831" s="55" t="str"/>
      <x:c r="U831" s="51" t="str"/>
    </x:row>
    <x:row r="832">
      <x:c r="A832" s="51" t="str">
        <x:v>Uruguay</x:v>
      </x:c>
      <x:c r="B832" s="51" t="str">
        <x:v>H</x:v>
      </x:c>
      <x:c r="C832" s="51" t="n">
        <x:v>22</x:v>
      </x:c>
      <x:c r="D832" s="71" t="str"/>
      <x:c r="E832" s="51" t="str">
        <x:v>Winger</x:v>
      </x:c>
      <x:c r="F832" s="51" t="str">
        <x:v>Attack</x:v>
      </x:c>
      <x:c r="G832" s="51" t="str">
        <x:v>Depth</x:v>
      </x:c>
      <x:c r="H832" s="55" t="n">
        <x:v>0.1</x:v>
      </x:c>
      <x:c r="I832" s="51" t="str"/>
      <x:c r="J832" s="72" t="str"/>
      <x:c r="K832" s="72" t="str"/>
      <x:c r="L832" s="72" t="str"/>
      <x:c r="M832" s="72" t="str"/>
      <x:c r="N832" s="72" t="str"/>
      <x:c r="O832" s="72" t="str"/>
      <x:c r="P832" s="72" t="str">
        <x:v>Available</x:v>
      </x:c>
      <x:c r="Q832" s="72" t="n">
        <x:v>0</x:v>
      </x:c>
      <x:c r="R832" s="55" t="str">
        <x:f>IF($D832="","",ROUND(MAX(0,MIN(100,0.35*$J832+0.2*$K832+0.15*$L832+0.15*$M832+0.1*$N832+0.05*$O832-IF(OR($P832="Out",$P832="Suspended"),$Q832,IF($P832="Doubtful",$Q832*0.5,IF($P832="Limited",$Q832*0.25,0))))),2))</x:f>
      </x:c>
      <x:c r="S832" s="55" t="n">
        <x:f>IF($D832="",0,ROUND(IF(OR($P832="Out",$P832="Suspended"),$Q832*$H832,IF($P832="Doubtful",$Q832*$H832*0.5,IF($P832="Limited",$Q832*$H832*0.25,0))),2))</x:f>
        <x:v>0</x:v>
      </x:c>
      <x:c r="T832" s="55" t="str"/>
      <x:c r="U832" s="51" t="str"/>
    </x:row>
    <x:row r="833">
      <x:c r="A833" s="51" t="str">
        <x:v>Uruguay</x:v>
      </x:c>
      <x:c r="B833" s="51" t="str">
        <x:v>H</x:v>
      </x:c>
      <x:c r="C833" s="51" t="n">
        <x:v>23</x:v>
      </x:c>
      <x:c r="D833" s="71" t="str"/>
      <x:c r="E833" s="51" t="str">
        <x:v>Winger</x:v>
      </x:c>
      <x:c r="F833" s="51" t="str">
        <x:v>Attack</x:v>
      </x:c>
      <x:c r="G833" s="51" t="str">
        <x:v>Depth</x:v>
      </x:c>
      <x:c r="H833" s="55" t="n">
        <x:v>0.1</x:v>
      </x:c>
      <x:c r="I833" s="51" t="str"/>
      <x:c r="J833" s="72" t="str"/>
      <x:c r="K833" s="72" t="str"/>
      <x:c r="L833" s="72" t="str"/>
      <x:c r="M833" s="72" t="str"/>
      <x:c r="N833" s="72" t="str"/>
      <x:c r="O833" s="72" t="str"/>
      <x:c r="P833" s="72" t="str">
        <x:v>Available</x:v>
      </x:c>
      <x:c r="Q833" s="72" t="n">
        <x:v>0</x:v>
      </x:c>
      <x:c r="R833" s="55" t="str">
        <x:f>IF($D833="","",ROUND(MAX(0,MIN(100,0.35*$J833+0.2*$K833+0.15*$L833+0.15*$M833+0.1*$N833+0.05*$O833-IF(OR($P833="Out",$P833="Suspended"),$Q833,IF($P833="Doubtful",$Q833*0.5,IF($P833="Limited",$Q833*0.25,0))))),2))</x:f>
      </x:c>
      <x:c r="S833" s="55" t="n">
        <x:f>IF($D833="",0,ROUND(IF(OR($P833="Out",$P833="Suspended"),$Q833*$H833,IF($P833="Doubtful",$Q833*$H833*0.5,IF($P833="Limited",$Q833*$H833*0.25,0))),2))</x:f>
        <x:v>0</x:v>
      </x:c>
      <x:c r="T833" s="55" t="str"/>
      <x:c r="U833" s="51" t="str"/>
    </x:row>
    <x:row r="834">
      <x:c r="A834" s="51" t="str">
        <x:v>Uruguay</x:v>
      </x:c>
      <x:c r="B834" s="51" t="str">
        <x:v>H</x:v>
      </x:c>
      <x:c r="C834" s="51" t="n">
        <x:v>24</x:v>
      </x:c>
      <x:c r="D834" s="71" t="str"/>
      <x:c r="E834" s="51" t="str">
        <x:v>ST</x:v>
      </x:c>
      <x:c r="F834" s="51" t="str">
        <x:v>Attack</x:v>
      </x:c>
      <x:c r="G834" s="51" t="str">
        <x:v>Depth</x:v>
      </x:c>
      <x:c r="H834" s="55" t="n">
        <x:v>0.1</x:v>
      </x:c>
      <x:c r="I834" s="51" t="str"/>
      <x:c r="J834" s="72" t="str"/>
      <x:c r="K834" s="72" t="str"/>
      <x:c r="L834" s="72" t="str"/>
      <x:c r="M834" s="72" t="str"/>
      <x:c r="N834" s="72" t="str"/>
      <x:c r="O834" s="72" t="str"/>
      <x:c r="P834" s="72" t="str">
        <x:v>Available</x:v>
      </x:c>
      <x:c r="Q834" s="72" t="n">
        <x:v>0</x:v>
      </x:c>
      <x:c r="R834" s="55" t="str">
        <x:f>IF($D834="","",ROUND(MAX(0,MIN(100,0.35*$J834+0.2*$K834+0.15*$L834+0.15*$M834+0.1*$N834+0.05*$O834-IF(OR($P834="Out",$P834="Suspended"),$Q834,IF($P834="Doubtful",$Q834*0.5,IF($P834="Limited",$Q834*0.25,0))))),2))</x:f>
      </x:c>
      <x:c r="S834" s="55" t="n">
        <x:f>IF($D834="",0,ROUND(IF(OR($P834="Out",$P834="Suspended"),$Q834*$H834,IF($P834="Doubtful",$Q834*$H834*0.5,IF($P834="Limited",$Q834*$H834*0.25,0))),2))</x:f>
        <x:v>0</x:v>
      </x:c>
      <x:c r="T834" s="55" t="str"/>
      <x:c r="U834" s="51" t="str"/>
    </x:row>
    <x:row r="835">
      <x:c r="A835" s="51" t="str">
        <x:v>Uruguay</x:v>
      </x:c>
      <x:c r="B835" s="51" t="str">
        <x:v>H</x:v>
      </x:c>
      <x:c r="C835" s="51" t="n">
        <x:v>25</x:v>
      </x:c>
      <x:c r="D835" s="71" t="str"/>
      <x:c r="E835" s="51" t="str">
        <x:v>ST</x:v>
      </x:c>
      <x:c r="F835" s="51" t="str">
        <x:v>Attack</x:v>
      </x:c>
      <x:c r="G835" s="51" t="str">
        <x:v>Depth</x:v>
      </x:c>
      <x:c r="H835" s="55" t="n">
        <x:v>0.1</x:v>
      </x:c>
      <x:c r="I835" s="51" t="str"/>
      <x:c r="J835" s="72" t="str"/>
      <x:c r="K835" s="72" t="str"/>
      <x:c r="L835" s="72" t="str"/>
      <x:c r="M835" s="72" t="str"/>
      <x:c r="N835" s="72" t="str"/>
      <x:c r="O835" s="72" t="str"/>
      <x:c r="P835" s="72" t="str">
        <x:v>Available</x:v>
      </x:c>
      <x:c r="Q835" s="72" t="n">
        <x:v>0</x:v>
      </x:c>
      <x:c r="R835" s="55" t="str">
        <x:f>IF($D835="","",ROUND(MAX(0,MIN(100,0.35*$J835+0.2*$K835+0.15*$L835+0.15*$M835+0.1*$N835+0.05*$O835-IF(OR($P835="Out",$P835="Suspended"),$Q835,IF($P835="Doubtful",$Q835*0.5,IF($P835="Limited",$Q835*0.25,0))))),2))</x:f>
      </x:c>
      <x:c r="S835" s="55" t="n">
        <x:f>IF($D835="",0,ROUND(IF(OR($P835="Out",$P835="Suspended"),$Q835*$H835,IF($P835="Doubtful",$Q835*$H835*0.5,IF($P835="Limited",$Q835*$H835*0.25,0))),2))</x:f>
        <x:v>0</x:v>
      </x:c>
      <x:c r="T835" s="55" t="str"/>
      <x:c r="U835" s="51" t="str"/>
    </x:row>
    <x:row r="836">
      <x:c r="A836" s="51" t="str">
        <x:v>Uruguay</x:v>
      </x:c>
      <x:c r="B836" s="51" t="str">
        <x:v>H</x:v>
      </x:c>
      <x:c r="C836" s="51" t="n">
        <x:v>26</x:v>
      </x:c>
      <x:c r="D836" s="71" t="str"/>
      <x:c r="E836" s="51" t="str">
        <x:v>ST</x:v>
      </x:c>
      <x:c r="F836" s="51" t="str">
        <x:v>Attack</x:v>
      </x:c>
      <x:c r="G836" s="51" t="str">
        <x:v>Depth</x:v>
      </x:c>
      <x:c r="H836" s="55" t="n">
        <x:v>0.1</x:v>
      </x:c>
      <x:c r="I836" s="51" t="str"/>
      <x:c r="J836" s="72" t="str"/>
      <x:c r="K836" s="72" t="str"/>
      <x:c r="L836" s="72" t="str"/>
      <x:c r="M836" s="72" t="str"/>
      <x:c r="N836" s="72" t="str"/>
      <x:c r="O836" s="72" t="str"/>
      <x:c r="P836" s="72" t="str">
        <x:v>Available</x:v>
      </x:c>
      <x:c r="Q836" s="72" t="n">
        <x:v>0</x:v>
      </x:c>
      <x:c r="R836" s="55" t="str">
        <x:f>IF($D836="","",ROUND(MAX(0,MIN(100,0.35*$J836+0.2*$K836+0.15*$L836+0.15*$M836+0.1*$N836+0.05*$O836-IF(OR($P836="Out",$P836="Suspended"),$Q836,IF($P836="Doubtful",$Q836*0.5,IF($P836="Limited",$Q836*0.25,0))))),2))</x:f>
      </x:c>
      <x:c r="S836" s="55" t="n">
        <x:f>IF($D836="",0,ROUND(IF(OR($P836="Out",$P836="Suspended"),$Q836*$H836,IF($P836="Doubtful",$Q836*$H836*0.5,IF($P836="Limited",$Q836*$H836*0.25,0))),2))</x:f>
        <x:v>0</x:v>
      </x:c>
      <x:c r="T836" s="55" t="str"/>
      <x:c r="U836" s="51" t="str"/>
    </x:row>
    <x:row r="837">
      <x:c r="A837" s="51" t="str">
        <x:v>France</x:v>
      </x:c>
      <x:c r="B837" s="51" t="str">
        <x:v>I</x:v>
      </x:c>
      <x:c r="C837" s="51" t="n">
        <x:v>1</x:v>
      </x:c>
      <x:c r="D837" s="71" t="str"/>
      <x:c r="E837" s="51" t="str">
        <x:v>GK</x:v>
      </x:c>
      <x:c r="F837" s="51" t="str">
        <x:v>GK</x:v>
      </x:c>
      <x:c r="G837" s="51" t="str">
        <x:v>Starter</x:v>
      </x:c>
      <x:c r="H837" s="55" t="n">
        <x:v>1</x:v>
      </x:c>
      <x:c r="I837" s="51" t="str"/>
      <x:c r="J837" s="72" t="str"/>
      <x:c r="K837" s="72" t="str"/>
      <x:c r="L837" s="72" t="str"/>
      <x:c r="M837" s="72" t="str"/>
      <x:c r="N837" s="72" t="str"/>
      <x:c r="O837" s="72" t="str"/>
      <x:c r="P837" s="72" t="str">
        <x:v>Available</x:v>
      </x:c>
      <x:c r="Q837" s="72" t="n">
        <x:v>0</x:v>
      </x:c>
      <x:c r="R837" s="55" t="str">
        <x:f>IF($D837="","",ROUND(MAX(0,MIN(100,0.35*$J837+0.2*$K837+0.15*$L837+0.15*$M837+0.1*$N837+0.05*$O837-IF(OR($P837="Out",$P837="Suspended"),$Q837,IF($P837="Doubtful",$Q837*0.5,IF($P837="Limited",$Q837*0.25,0))))),2))</x:f>
      </x:c>
      <x:c r="S837" s="55" t="n">
        <x:f>IF($D837="",0,ROUND(IF(OR($P837="Out",$P837="Suspended"),$Q837*$H837,IF($P837="Doubtful",$Q837*$H837*0.5,IF($P837="Limited",$Q837*$H837*0.25,0))),2))</x:f>
        <x:v>0</x:v>
      </x:c>
      <x:c r="T837" s="55" t="str"/>
      <x:c r="U837" s="51" t="str"/>
    </x:row>
    <x:row r="838">
      <x:c r="A838" s="51" t="str">
        <x:v>France</x:v>
      </x:c>
      <x:c r="B838" s="51" t="str">
        <x:v>I</x:v>
      </x:c>
      <x:c r="C838" s="51" t="n">
        <x:v>2</x:v>
      </x:c>
      <x:c r="D838" s="71" t="str"/>
      <x:c r="E838" s="51" t="str">
        <x:v>GK</x:v>
      </x:c>
      <x:c r="F838" s="51" t="str">
        <x:v>GK</x:v>
      </x:c>
      <x:c r="G838" s="51" t="str">
        <x:v>Starter</x:v>
      </x:c>
      <x:c r="H838" s="55" t="n">
        <x:v>1</x:v>
      </x:c>
      <x:c r="I838" s="51" t="str"/>
      <x:c r="J838" s="72" t="str"/>
      <x:c r="K838" s="72" t="str"/>
      <x:c r="L838" s="72" t="str"/>
      <x:c r="M838" s="72" t="str"/>
      <x:c r="N838" s="72" t="str"/>
      <x:c r="O838" s="72" t="str"/>
      <x:c r="P838" s="72" t="str">
        <x:v>Available</x:v>
      </x:c>
      <x:c r="Q838" s="72" t="n">
        <x:v>0</x:v>
      </x:c>
      <x:c r="R838" s="55" t="str">
        <x:f>IF($D838="","",ROUND(MAX(0,MIN(100,0.35*$J838+0.2*$K838+0.15*$L838+0.15*$M838+0.1*$N838+0.05*$O838-IF(OR($P838="Out",$P838="Suspended"),$Q838,IF($P838="Doubtful",$Q838*0.5,IF($P838="Limited",$Q838*0.25,0))))),2))</x:f>
      </x:c>
      <x:c r="S838" s="55" t="n">
        <x:f>IF($D838="",0,ROUND(IF(OR($P838="Out",$P838="Suspended"),$Q838*$H838,IF($P838="Doubtful",$Q838*$H838*0.5,IF($P838="Limited",$Q838*$H838*0.25,0))),2))</x:f>
        <x:v>0</x:v>
      </x:c>
      <x:c r="T838" s="55" t="str"/>
      <x:c r="U838" s="51" t="str"/>
    </x:row>
    <x:row r="839">
      <x:c r="A839" s="51" t="str">
        <x:v>France</x:v>
      </x:c>
      <x:c r="B839" s="51" t="str">
        <x:v>I</x:v>
      </x:c>
      <x:c r="C839" s="51" t="n">
        <x:v>3</x:v>
      </x:c>
      <x:c r="D839" s="71" t="str"/>
      <x:c r="E839" s="51" t="str">
        <x:v>GK</x:v>
      </x:c>
      <x:c r="F839" s="51" t="str">
        <x:v>GK</x:v>
      </x:c>
      <x:c r="G839" s="51" t="str">
        <x:v>Starter</x:v>
      </x:c>
      <x:c r="H839" s="55" t="n">
        <x:v>1</x:v>
      </x:c>
      <x:c r="I839" s="51" t="str"/>
      <x:c r="J839" s="72" t="str"/>
      <x:c r="K839" s="72" t="str"/>
      <x:c r="L839" s="72" t="str"/>
      <x:c r="M839" s="72" t="str"/>
      <x:c r="N839" s="72" t="str"/>
      <x:c r="O839" s="72" t="str"/>
      <x:c r="P839" s="72" t="str">
        <x:v>Available</x:v>
      </x:c>
      <x:c r="Q839" s="72" t="n">
        <x:v>0</x:v>
      </x:c>
      <x:c r="R839" s="55" t="str">
        <x:f>IF($D839="","",ROUND(MAX(0,MIN(100,0.35*$J839+0.2*$K839+0.15*$L839+0.15*$M839+0.1*$N839+0.05*$O839-IF(OR($P839="Out",$P839="Suspended"),$Q839,IF($P839="Doubtful",$Q839*0.5,IF($P839="Limited",$Q839*0.25,0))))),2))</x:f>
      </x:c>
      <x:c r="S839" s="55" t="n">
        <x:f>IF($D839="",0,ROUND(IF(OR($P839="Out",$P839="Suspended"),$Q839*$H839,IF($P839="Doubtful",$Q839*$H839*0.5,IF($P839="Limited",$Q839*$H839*0.25,0))),2))</x:f>
        <x:v>0</x:v>
      </x:c>
      <x:c r="T839" s="55" t="str"/>
      <x:c r="U839" s="51" t="str"/>
    </x:row>
    <x:row r="840">
      <x:c r="A840" s="51" t="str">
        <x:v>France</x:v>
      </x:c>
      <x:c r="B840" s="51" t="str">
        <x:v>I</x:v>
      </x:c>
      <x:c r="C840" s="51" t="n">
        <x:v>4</x:v>
      </x:c>
      <x:c r="D840" s="71" t="str"/>
      <x:c r="E840" s="51" t="str">
        <x:v>CB</x:v>
      </x:c>
      <x:c r="F840" s="51" t="str">
        <x:v>Defence</x:v>
      </x:c>
      <x:c r="G840" s="51" t="str">
        <x:v>Starter</x:v>
      </x:c>
      <x:c r="H840" s="55" t="n">
        <x:v>1</x:v>
      </x:c>
      <x:c r="I840" s="51" t="str"/>
      <x:c r="J840" s="72" t="str"/>
      <x:c r="K840" s="72" t="str"/>
      <x:c r="L840" s="72" t="str"/>
      <x:c r="M840" s="72" t="str"/>
      <x:c r="N840" s="72" t="str"/>
      <x:c r="O840" s="72" t="str"/>
      <x:c r="P840" s="72" t="str">
        <x:v>Available</x:v>
      </x:c>
      <x:c r="Q840" s="72" t="n">
        <x:v>0</x:v>
      </x:c>
      <x:c r="R840" s="55" t="str">
        <x:f>IF($D840="","",ROUND(MAX(0,MIN(100,0.35*$J840+0.2*$K840+0.15*$L840+0.15*$M840+0.1*$N840+0.05*$O840-IF(OR($P840="Out",$P840="Suspended"),$Q840,IF($P840="Doubtful",$Q840*0.5,IF($P840="Limited",$Q840*0.25,0))))),2))</x:f>
      </x:c>
      <x:c r="S840" s="55" t="n">
        <x:f>IF($D840="",0,ROUND(IF(OR($P840="Out",$P840="Suspended"),$Q840*$H840,IF($P840="Doubtful",$Q840*$H840*0.5,IF($P840="Limited",$Q840*$H840*0.25,0))),2))</x:f>
        <x:v>0</x:v>
      </x:c>
      <x:c r="T840" s="55" t="str"/>
      <x:c r="U840" s="51" t="str"/>
    </x:row>
    <x:row r="841">
      <x:c r="A841" s="51" t="str">
        <x:v>France</x:v>
      </x:c>
      <x:c r="B841" s="51" t="str">
        <x:v>I</x:v>
      </x:c>
      <x:c r="C841" s="51" t="n">
        <x:v>5</x:v>
      </x:c>
      <x:c r="D841" s="71" t="str"/>
      <x:c r="E841" s="51" t="str">
        <x:v>CB</x:v>
      </x:c>
      <x:c r="F841" s="51" t="str">
        <x:v>Defence</x:v>
      </x:c>
      <x:c r="G841" s="51" t="str">
        <x:v>Starter</x:v>
      </x:c>
      <x:c r="H841" s="55" t="n">
        <x:v>1</x:v>
      </x:c>
      <x:c r="I841" s="51" t="str"/>
      <x:c r="J841" s="72" t="str"/>
      <x:c r="K841" s="72" t="str"/>
      <x:c r="L841" s="72" t="str"/>
      <x:c r="M841" s="72" t="str"/>
      <x:c r="N841" s="72" t="str"/>
      <x:c r="O841" s="72" t="str"/>
      <x:c r="P841" s="72" t="str">
        <x:v>Available</x:v>
      </x:c>
      <x:c r="Q841" s="72" t="n">
        <x:v>0</x:v>
      </x:c>
      <x:c r="R841" s="55" t="str">
        <x:f>IF($D841="","",ROUND(MAX(0,MIN(100,0.35*$J841+0.2*$K841+0.15*$L841+0.15*$M841+0.1*$N841+0.05*$O841-IF(OR($P841="Out",$P841="Suspended"),$Q841,IF($P841="Doubtful",$Q841*0.5,IF($P841="Limited",$Q841*0.25,0))))),2))</x:f>
      </x:c>
      <x:c r="S841" s="55" t="n">
        <x:f>IF($D841="",0,ROUND(IF(OR($P841="Out",$P841="Suspended"),$Q841*$H841,IF($P841="Doubtful",$Q841*$H841*0.5,IF($P841="Limited",$Q841*$H841*0.25,0))),2))</x:f>
        <x:v>0</x:v>
      </x:c>
      <x:c r="T841" s="55" t="str"/>
      <x:c r="U841" s="51" t="str"/>
    </x:row>
    <x:row r="842">
      <x:c r="A842" s="51" t="str">
        <x:v>France</x:v>
      </x:c>
      <x:c r="B842" s="51" t="str">
        <x:v>I</x:v>
      </x:c>
      <x:c r="C842" s="51" t="n">
        <x:v>6</x:v>
      </x:c>
      <x:c r="D842" s="71" t="str"/>
      <x:c r="E842" s="51" t="str">
        <x:v>CB</x:v>
      </x:c>
      <x:c r="F842" s="51" t="str">
        <x:v>Defence</x:v>
      </x:c>
      <x:c r="G842" s="51" t="str">
        <x:v>Starter</x:v>
      </x:c>
      <x:c r="H842" s="55" t="n">
        <x:v>1</x:v>
      </x:c>
      <x:c r="I842" s="51" t="str"/>
      <x:c r="J842" s="72" t="str"/>
      <x:c r="K842" s="72" t="str"/>
      <x:c r="L842" s="72" t="str"/>
      <x:c r="M842" s="72" t="str"/>
      <x:c r="N842" s="72" t="str"/>
      <x:c r="O842" s="72" t="str"/>
      <x:c r="P842" s="72" t="str">
        <x:v>Available</x:v>
      </x:c>
      <x:c r="Q842" s="72" t="n">
        <x:v>0</x:v>
      </x:c>
      <x:c r="R842" s="55" t="str">
        <x:f>IF($D842="","",ROUND(MAX(0,MIN(100,0.35*$J842+0.2*$K842+0.15*$L842+0.15*$M842+0.1*$N842+0.05*$O842-IF(OR($P842="Out",$P842="Suspended"),$Q842,IF($P842="Doubtful",$Q842*0.5,IF($P842="Limited",$Q842*0.25,0))))),2))</x:f>
      </x:c>
      <x:c r="S842" s="55" t="n">
        <x:f>IF($D842="",0,ROUND(IF(OR($P842="Out",$P842="Suspended"),$Q842*$H842,IF($P842="Doubtful",$Q842*$H842*0.5,IF($P842="Limited",$Q842*$H842*0.25,0))),2))</x:f>
        <x:v>0</x:v>
      </x:c>
      <x:c r="T842" s="55" t="str"/>
      <x:c r="U842" s="51" t="str"/>
    </x:row>
    <x:row r="843">
      <x:c r="A843" s="51" t="str">
        <x:v>France</x:v>
      </x:c>
      <x:c r="B843" s="51" t="str">
        <x:v>I</x:v>
      </x:c>
      <x:c r="C843" s="51" t="n">
        <x:v>7</x:v>
      </x:c>
      <x:c r="D843" s="71" t="str"/>
      <x:c r="E843" s="51" t="str">
        <x:v>FB</x:v>
      </x:c>
      <x:c r="F843" s="51" t="str">
        <x:v>Defence</x:v>
      </x:c>
      <x:c r="G843" s="51" t="str">
        <x:v>Starter</x:v>
      </x:c>
      <x:c r="H843" s="55" t="n">
        <x:v>1</x:v>
      </x:c>
      <x:c r="I843" s="51" t="str"/>
      <x:c r="J843" s="72" t="str"/>
      <x:c r="K843" s="72" t="str"/>
      <x:c r="L843" s="72" t="str"/>
      <x:c r="M843" s="72" t="str"/>
      <x:c r="N843" s="72" t="str"/>
      <x:c r="O843" s="72" t="str"/>
      <x:c r="P843" s="72" t="str">
        <x:v>Available</x:v>
      </x:c>
      <x:c r="Q843" s="72" t="n">
        <x:v>0</x:v>
      </x:c>
      <x:c r="R843" s="55" t="str">
        <x:f>IF($D843="","",ROUND(MAX(0,MIN(100,0.35*$J843+0.2*$K843+0.15*$L843+0.15*$M843+0.1*$N843+0.05*$O843-IF(OR($P843="Out",$P843="Suspended"),$Q843,IF($P843="Doubtful",$Q843*0.5,IF($P843="Limited",$Q843*0.25,0))))),2))</x:f>
      </x:c>
      <x:c r="S843" s="55" t="n">
        <x:f>IF($D843="",0,ROUND(IF(OR($P843="Out",$P843="Suspended"),$Q843*$H843,IF($P843="Doubtful",$Q843*$H843*0.5,IF($P843="Limited",$Q843*$H843*0.25,0))),2))</x:f>
        <x:v>0</x:v>
      </x:c>
      <x:c r="T843" s="55" t="str"/>
      <x:c r="U843" s="51" t="str"/>
    </x:row>
    <x:row r="844">
      <x:c r="A844" s="51" t="str">
        <x:v>France</x:v>
      </x:c>
      <x:c r="B844" s="51" t="str">
        <x:v>I</x:v>
      </x:c>
      <x:c r="C844" s="51" t="n">
        <x:v>8</x:v>
      </x:c>
      <x:c r="D844" s="71" t="str"/>
      <x:c r="E844" s="51" t="str">
        <x:v>FB</x:v>
      </x:c>
      <x:c r="F844" s="51" t="str">
        <x:v>Defence</x:v>
      </x:c>
      <x:c r="G844" s="51" t="str">
        <x:v>Starter</x:v>
      </x:c>
      <x:c r="H844" s="55" t="n">
        <x:v>1</x:v>
      </x:c>
      <x:c r="I844" s="51" t="str"/>
      <x:c r="J844" s="72" t="str"/>
      <x:c r="K844" s="72" t="str"/>
      <x:c r="L844" s="72" t="str"/>
      <x:c r="M844" s="72" t="str"/>
      <x:c r="N844" s="72" t="str"/>
      <x:c r="O844" s="72" t="str"/>
      <x:c r="P844" s="72" t="str">
        <x:v>Available</x:v>
      </x:c>
      <x:c r="Q844" s="72" t="n">
        <x:v>0</x:v>
      </x:c>
      <x:c r="R844" s="55" t="str">
        <x:f>IF($D844="","",ROUND(MAX(0,MIN(100,0.35*$J844+0.2*$K844+0.15*$L844+0.15*$M844+0.1*$N844+0.05*$O844-IF(OR($P844="Out",$P844="Suspended"),$Q844,IF($P844="Doubtful",$Q844*0.5,IF($P844="Limited",$Q844*0.25,0))))),2))</x:f>
      </x:c>
      <x:c r="S844" s="55" t="n">
        <x:f>IF($D844="",0,ROUND(IF(OR($P844="Out",$P844="Suspended"),$Q844*$H844,IF($P844="Doubtful",$Q844*$H844*0.5,IF($P844="Limited",$Q844*$H844*0.25,0))),2))</x:f>
        <x:v>0</x:v>
      </x:c>
      <x:c r="T844" s="55" t="str"/>
      <x:c r="U844" s="51" t="str"/>
    </x:row>
    <x:row r="845">
      <x:c r="A845" s="51" t="str">
        <x:v>France</x:v>
      </x:c>
      <x:c r="B845" s="51" t="str">
        <x:v>I</x:v>
      </x:c>
      <x:c r="C845" s="51" t="n">
        <x:v>9</x:v>
      </x:c>
      <x:c r="D845" s="71" t="str"/>
      <x:c r="E845" s="51" t="str">
        <x:v>DM</x:v>
      </x:c>
      <x:c r="F845" s="51" t="str">
        <x:v>Midfield</x:v>
      </x:c>
      <x:c r="G845" s="51" t="str">
        <x:v>Starter</x:v>
      </x:c>
      <x:c r="H845" s="55" t="n">
        <x:v>1</x:v>
      </x:c>
      <x:c r="I845" s="51" t="str"/>
      <x:c r="J845" s="72" t="str"/>
      <x:c r="K845" s="72" t="str"/>
      <x:c r="L845" s="72" t="str"/>
      <x:c r="M845" s="72" t="str"/>
      <x:c r="N845" s="72" t="str"/>
      <x:c r="O845" s="72" t="str"/>
      <x:c r="P845" s="72" t="str">
        <x:v>Available</x:v>
      </x:c>
      <x:c r="Q845" s="72" t="n">
        <x:v>0</x:v>
      </x:c>
      <x:c r="R845" s="55" t="str">
        <x:f>IF($D845="","",ROUND(MAX(0,MIN(100,0.35*$J845+0.2*$K845+0.15*$L845+0.15*$M845+0.1*$N845+0.05*$O845-IF(OR($P845="Out",$P845="Suspended"),$Q845,IF($P845="Doubtful",$Q845*0.5,IF($P845="Limited",$Q845*0.25,0))))),2))</x:f>
      </x:c>
      <x:c r="S845" s="55" t="n">
        <x:f>IF($D845="",0,ROUND(IF(OR($P845="Out",$P845="Suspended"),$Q845*$H845,IF($P845="Doubtful",$Q845*$H845*0.5,IF($P845="Limited",$Q845*$H845*0.25,0))),2))</x:f>
        <x:v>0</x:v>
      </x:c>
      <x:c r="T845" s="55" t="str"/>
      <x:c r="U845" s="51" t="str"/>
    </x:row>
    <x:row r="846">
      <x:c r="A846" s="51" t="str">
        <x:v>France</x:v>
      </x:c>
      <x:c r="B846" s="51" t="str">
        <x:v>I</x:v>
      </x:c>
      <x:c r="C846" s="51" t="n">
        <x:v>10</x:v>
      </x:c>
      <x:c r="D846" s="71" t="str"/>
      <x:c r="E846" s="51" t="str">
        <x:v>DM</x:v>
      </x:c>
      <x:c r="F846" s="51" t="str">
        <x:v>Midfield</x:v>
      </x:c>
      <x:c r="G846" s="51" t="str">
        <x:v>Starter</x:v>
      </x:c>
      <x:c r="H846" s="55" t="n">
        <x:v>1</x:v>
      </x:c>
      <x:c r="I846" s="51" t="str"/>
      <x:c r="J846" s="72" t="str"/>
      <x:c r="K846" s="72" t="str"/>
      <x:c r="L846" s="72" t="str"/>
      <x:c r="M846" s="72" t="str"/>
      <x:c r="N846" s="72" t="str"/>
      <x:c r="O846" s="72" t="str"/>
      <x:c r="P846" s="72" t="str">
        <x:v>Available</x:v>
      </x:c>
      <x:c r="Q846" s="72" t="n">
        <x:v>0</x:v>
      </x:c>
      <x:c r="R846" s="55" t="str">
        <x:f>IF($D846="","",ROUND(MAX(0,MIN(100,0.35*$J846+0.2*$K846+0.15*$L846+0.15*$M846+0.1*$N846+0.05*$O846-IF(OR($P846="Out",$P846="Suspended"),$Q846,IF($P846="Doubtful",$Q846*0.5,IF($P846="Limited",$Q846*0.25,0))))),2))</x:f>
      </x:c>
      <x:c r="S846" s="55" t="n">
        <x:f>IF($D846="",0,ROUND(IF(OR($P846="Out",$P846="Suspended"),$Q846*$H846,IF($P846="Doubtful",$Q846*$H846*0.5,IF($P846="Limited",$Q846*$H846*0.25,0))),2))</x:f>
        <x:v>0</x:v>
      </x:c>
      <x:c r="T846" s="55" t="str"/>
      <x:c r="U846" s="51" t="str"/>
    </x:row>
    <x:row r="847">
      <x:c r="A847" s="51" t="str">
        <x:v>France</x:v>
      </x:c>
      <x:c r="B847" s="51" t="str">
        <x:v>I</x:v>
      </x:c>
      <x:c r="C847" s="51" t="n">
        <x:v>11</x:v>
      </x:c>
      <x:c r="D847" s="71" t="str"/>
      <x:c r="E847" s="51" t="str">
        <x:v>DM</x:v>
      </x:c>
      <x:c r="F847" s="51" t="str">
        <x:v>Midfield</x:v>
      </x:c>
      <x:c r="G847" s="51" t="str">
        <x:v>Starter</x:v>
      </x:c>
      <x:c r="H847" s="55" t="n">
        <x:v>1</x:v>
      </x:c>
      <x:c r="I847" s="51" t="str"/>
      <x:c r="J847" s="72" t="str"/>
      <x:c r="K847" s="72" t="str"/>
      <x:c r="L847" s="72" t="str"/>
      <x:c r="M847" s="72" t="str"/>
      <x:c r="N847" s="72" t="str"/>
      <x:c r="O847" s="72" t="str"/>
      <x:c r="P847" s="72" t="str">
        <x:v>Available</x:v>
      </x:c>
      <x:c r="Q847" s="72" t="n">
        <x:v>0</x:v>
      </x:c>
      <x:c r="R847" s="55" t="str">
        <x:f>IF($D847="","",ROUND(MAX(0,MIN(100,0.35*$J847+0.2*$K847+0.15*$L847+0.15*$M847+0.1*$N847+0.05*$O847-IF(OR($P847="Out",$P847="Suspended"),$Q847,IF($P847="Doubtful",$Q847*0.5,IF($P847="Limited",$Q847*0.25,0))))),2))</x:f>
      </x:c>
      <x:c r="S847" s="55" t="n">
        <x:f>IF($D847="",0,ROUND(IF(OR($P847="Out",$P847="Suspended"),$Q847*$H847,IF($P847="Doubtful",$Q847*$H847*0.5,IF($P847="Limited",$Q847*$H847*0.25,0))),2))</x:f>
        <x:v>0</x:v>
      </x:c>
      <x:c r="T847" s="55" t="str"/>
      <x:c r="U847" s="51" t="str"/>
    </x:row>
    <x:row r="848">
      <x:c r="A848" s="51" t="str">
        <x:v>France</x:v>
      </x:c>
      <x:c r="B848" s="51" t="str">
        <x:v>I</x:v>
      </x:c>
      <x:c r="C848" s="51" t="n">
        <x:v>12</x:v>
      </x:c>
      <x:c r="D848" s="71" t="str"/>
      <x:c r="E848" s="51" t="str">
        <x:v>CM</x:v>
      </x:c>
      <x:c r="F848" s="51" t="str">
        <x:v>Midfield</x:v>
      </x:c>
      <x:c r="G848" s="51" t="str">
        <x:v>Rotation</x:v>
      </x:c>
      <x:c r="H848" s="55" t="n">
        <x:v>0.35</x:v>
      </x:c>
      <x:c r="I848" s="51" t="str"/>
      <x:c r="J848" s="72" t="str"/>
      <x:c r="K848" s="72" t="str"/>
      <x:c r="L848" s="72" t="str"/>
      <x:c r="M848" s="72" t="str"/>
      <x:c r="N848" s="72" t="str"/>
      <x:c r="O848" s="72" t="str"/>
      <x:c r="P848" s="72" t="str">
        <x:v>Available</x:v>
      </x:c>
      <x:c r="Q848" s="72" t="n">
        <x:v>0</x:v>
      </x:c>
      <x:c r="R848" s="55" t="str">
        <x:f>IF($D848="","",ROUND(MAX(0,MIN(100,0.35*$J848+0.2*$K848+0.15*$L848+0.15*$M848+0.1*$N848+0.05*$O848-IF(OR($P848="Out",$P848="Suspended"),$Q848,IF($P848="Doubtful",$Q848*0.5,IF($P848="Limited",$Q848*0.25,0))))),2))</x:f>
      </x:c>
      <x:c r="S848" s="55" t="n">
        <x:f>IF($D848="",0,ROUND(IF(OR($P848="Out",$P848="Suspended"),$Q848*$H848,IF($P848="Doubtful",$Q848*$H848*0.5,IF($P848="Limited",$Q848*$H848*0.25,0))),2))</x:f>
        <x:v>0</x:v>
      </x:c>
      <x:c r="T848" s="55" t="str"/>
      <x:c r="U848" s="51" t="str"/>
    </x:row>
    <x:row r="849">
      <x:c r="A849" s="51" t="str">
        <x:v>France</x:v>
      </x:c>
      <x:c r="B849" s="51" t="str">
        <x:v>I</x:v>
      </x:c>
      <x:c r="C849" s="51" t="n">
        <x:v>13</x:v>
      </x:c>
      <x:c r="D849" s="71" t="str"/>
      <x:c r="E849" s="51" t="str">
        <x:v>CM</x:v>
      </x:c>
      <x:c r="F849" s="51" t="str">
        <x:v>Midfield</x:v>
      </x:c>
      <x:c r="G849" s="51" t="str">
        <x:v>Rotation</x:v>
      </x:c>
      <x:c r="H849" s="55" t="n">
        <x:v>0.35</x:v>
      </x:c>
      <x:c r="I849" s="51" t="str"/>
      <x:c r="J849" s="72" t="str"/>
      <x:c r="K849" s="72" t="str"/>
      <x:c r="L849" s="72" t="str"/>
      <x:c r="M849" s="72" t="str"/>
      <x:c r="N849" s="72" t="str"/>
      <x:c r="O849" s="72" t="str"/>
      <x:c r="P849" s="72" t="str">
        <x:v>Available</x:v>
      </x:c>
      <x:c r="Q849" s="72" t="n">
        <x:v>0</x:v>
      </x:c>
      <x:c r="R849" s="55" t="str">
        <x:f>IF($D849="","",ROUND(MAX(0,MIN(100,0.35*$J849+0.2*$K849+0.15*$L849+0.15*$M849+0.1*$N849+0.05*$O849-IF(OR($P849="Out",$P849="Suspended"),$Q849,IF($P849="Doubtful",$Q849*0.5,IF($P849="Limited",$Q849*0.25,0))))),2))</x:f>
      </x:c>
      <x:c r="S849" s="55" t="n">
        <x:f>IF($D849="",0,ROUND(IF(OR($P849="Out",$P849="Suspended"),$Q849*$H849,IF($P849="Doubtful",$Q849*$H849*0.5,IF($P849="Limited",$Q849*$H849*0.25,0))),2))</x:f>
        <x:v>0</x:v>
      </x:c>
      <x:c r="T849" s="55" t="str"/>
      <x:c r="U849" s="51" t="str"/>
    </x:row>
    <x:row r="850">
      <x:c r="A850" s="51" t="str">
        <x:v>France</x:v>
      </x:c>
      <x:c r="B850" s="51" t="str">
        <x:v>I</x:v>
      </x:c>
      <x:c r="C850" s="51" t="n">
        <x:v>14</x:v>
      </x:c>
      <x:c r="D850" s="71" t="str"/>
      <x:c r="E850" s="51" t="str">
        <x:v>CM</x:v>
      </x:c>
      <x:c r="F850" s="51" t="str">
        <x:v>Midfield</x:v>
      </x:c>
      <x:c r="G850" s="51" t="str">
        <x:v>Rotation</x:v>
      </x:c>
      <x:c r="H850" s="55" t="n">
        <x:v>0.35</x:v>
      </x:c>
      <x:c r="I850" s="51" t="str"/>
      <x:c r="J850" s="72" t="str"/>
      <x:c r="K850" s="72" t="str"/>
      <x:c r="L850" s="72" t="str"/>
      <x:c r="M850" s="72" t="str"/>
      <x:c r="N850" s="72" t="str"/>
      <x:c r="O850" s="72" t="str"/>
      <x:c r="P850" s="72" t="str">
        <x:v>Available</x:v>
      </x:c>
      <x:c r="Q850" s="72" t="n">
        <x:v>0</x:v>
      </x:c>
      <x:c r="R850" s="55" t="str">
        <x:f>IF($D850="","",ROUND(MAX(0,MIN(100,0.35*$J850+0.2*$K850+0.15*$L850+0.15*$M850+0.1*$N850+0.05*$O850-IF(OR($P850="Out",$P850="Suspended"),$Q850,IF($P850="Doubtful",$Q850*0.5,IF($P850="Limited",$Q850*0.25,0))))),2))</x:f>
      </x:c>
      <x:c r="S850" s="55" t="n">
        <x:f>IF($D850="",0,ROUND(IF(OR($P850="Out",$P850="Suspended"),$Q850*$H850,IF($P850="Doubtful",$Q850*$H850*0.5,IF($P850="Limited",$Q850*$H850*0.25,0))),2))</x:f>
        <x:v>0</x:v>
      </x:c>
      <x:c r="T850" s="55" t="str"/>
      <x:c r="U850" s="51" t="str"/>
    </x:row>
    <x:row r="851">
      <x:c r="A851" s="51" t="str">
        <x:v>France</x:v>
      </x:c>
      <x:c r="B851" s="51" t="str">
        <x:v>I</x:v>
      </x:c>
      <x:c r="C851" s="51" t="n">
        <x:v>15</x:v>
      </x:c>
      <x:c r="D851" s="71" t="str"/>
      <x:c r="E851" s="51" t="str">
        <x:v>CM</x:v>
      </x:c>
      <x:c r="F851" s="51" t="str">
        <x:v>Midfield</x:v>
      </x:c>
      <x:c r="G851" s="51" t="str">
        <x:v>Rotation</x:v>
      </x:c>
      <x:c r="H851" s="55" t="n">
        <x:v>0.35</x:v>
      </x:c>
      <x:c r="I851" s="51" t="str"/>
      <x:c r="J851" s="72" t="str"/>
      <x:c r="K851" s="72" t="str"/>
      <x:c r="L851" s="72" t="str"/>
      <x:c r="M851" s="72" t="str"/>
      <x:c r="N851" s="72" t="str"/>
      <x:c r="O851" s="72" t="str"/>
      <x:c r="P851" s="72" t="str">
        <x:v>Available</x:v>
      </x:c>
      <x:c r="Q851" s="72" t="n">
        <x:v>0</x:v>
      </x:c>
      <x:c r="R851" s="55" t="str">
        <x:f>IF($D851="","",ROUND(MAX(0,MIN(100,0.35*$J851+0.2*$K851+0.15*$L851+0.15*$M851+0.1*$N851+0.05*$O851-IF(OR($P851="Out",$P851="Suspended"),$Q851,IF($P851="Doubtful",$Q851*0.5,IF($P851="Limited",$Q851*0.25,0))))),2))</x:f>
      </x:c>
      <x:c r="S851" s="55" t="n">
        <x:f>IF($D851="",0,ROUND(IF(OR($P851="Out",$P851="Suspended"),$Q851*$H851,IF($P851="Doubtful",$Q851*$H851*0.5,IF($P851="Limited",$Q851*$H851*0.25,0))),2))</x:f>
        <x:v>0</x:v>
      </x:c>
      <x:c r="T851" s="55" t="str"/>
      <x:c r="U851" s="51" t="str"/>
    </x:row>
    <x:row r="852">
      <x:c r="A852" s="51" t="str">
        <x:v>France</x:v>
      </x:c>
      <x:c r="B852" s="51" t="str">
        <x:v>I</x:v>
      </x:c>
      <x:c r="C852" s="51" t="n">
        <x:v>16</x:v>
      </x:c>
      <x:c r="D852" s="71" t="str"/>
      <x:c r="E852" s="51" t="str">
        <x:v>AM</x:v>
      </x:c>
      <x:c r="F852" s="51" t="str">
        <x:v>Attack</x:v>
      </x:c>
      <x:c r="G852" s="51" t="str">
        <x:v>Rotation</x:v>
      </x:c>
      <x:c r="H852" s="55" t="n">
        <x:v>0.35</x:v>
      </x:c>
      <x:c r="I852" s="51" t="str"/>
      <x:c r="J852" s="72" t="str"/>
      <x:c r="K852" s="72" t="str"/>
      <x:c r="L852" s="72" t="str"/>
      <x:c r="M852" s="72" t="str"/>
      <x:c r="N852" s="72" t="str"/>
      <x:c r="O852" s="72" t="str"/>
      <x:c r="P852" s="72" t="str">
        <x:v>Available</x:v>
      </x:c>
      <x:c r="Q852" s="72" t="n">
        <x:v>0</x:v>
      </x:c>
      <x:c r="R852" s="55" t="str">
        <x:f>IF($D852="","",ROUND(MAX(0,MIN(100,0.35*$J852+0.2*$K852+0.15*$L852+0.15*$M852+0.1*$N852+0.05*$O852-IF(OR($P852="Out",$P852="Suspended"),$Q852,IF($P852="Doubtful",$Q852*0.5,IF($P852="Limited",$Q852*0.25,0))))),2))</x:f>
      </x:c>
      <x:c r="S852" s="55" t="n">
        <x:f>IF($D852="",0,ROUND(IF(OR($P852="Out",$P852="Suspended"),$Q852*$H852,IF($P852="Doubtful",$Q852*$H852*0.5,IF($P852="Limited",$Q852*$H852*0.25,0))),2))</x:f>
        <x:v>0</x:v>
      </x:c>
      <x:c r="T852" s="55" t="str"/>
      <x:c r="U852" s="51" t="str"/>
    </x:row>
    <x:row r="853">
      <x:c r="A853" s="51" t="str">
        <x:v>France</x:v>
      </x:c>
      <x:c r="B853" s="51" t="str">
        <x:v>I</x:v>
      </x:c>
      <x:c r="C853" s="51" t="n">
        <x:v>17</x:v>
      </x:c>
      <x:c r="D853" s="71" t="str"/>
      <x:c r="E853" s="51" t="str">
        <x:v>AM</x:v>
      </x:c>
      <x:c r="F853" s="51" t="str">
        <x:v>Attack</x:v>
      </x:c>
      <x:c r="G853" s="51" t="str">
        <x:v>Rotation</x:v>
      </x:c>
      <x:c r="H853" s="55" t="n">
        <x:v>0.35</x:v>
      </x:c>
      <x:c r="I853" s="51" t="str"/>
      <x:c r="J853" s="72" t="str"/>
      <x:c r="K853" s="72" t="str"/>
      <x:c r="L853" s="72" t="str"/>
      <x:c r="M853" s="72" t="str"/>
      <x:c r="N853" s="72" t="str"/>
      <x:c r="O853" s="72" t="str"/>
      <x:c r="P853" s="72" t="str">
        <x:v>Available</x:v>
      </x:c>
      <x:c r="Q853" s="72" t="n">
        <x:v>0</x:v>
      </x:c>
      <x:c r="R853" s="55" t="str">
        <x:f>IF($D853="","",ROUND(MAX(0,MIN(100,0.35*$J853+0.2*$K853+0.15*$L853+0.15*$M853+0.1*$N853+0.05*$O853-IF(OR($P853="Out",$P853="Suspended"),$Q853,IF($P853="Doubtful",$Q853*0.5,IF($P853="Limited",$Q853*0.25,0))))),2))</x:f>
      </x:c>
      <x:c r="S853" s="55" t="n">
        <x:f>IF($D853="",0,ROUND(IF(OR($P853="Out",$P853="Suspended"),$Q853*$H853,IF($P853="Doubtful",$Q853*$H853*0.5,IF($P853="Limited",$Q853*$H853*0.25,0))),2))</x:f>
        <x:v>0</x:v>
      </x:c>
      <x:c r="T853" s="55" t="str"/>
      <x:c r="U853" s="51" t="str"/>
    </x:row>
    <x:row r="854">
      <x:c r="A854" s="51" t="str">
        <x:v>France</x:v>
      </x:c>
      <x:c r="B854" s="51" t="str">
        <x:v>I</x:v>
      </x:c>
      <x:c r="C854" s="51" t="n">
        <x:v>18</x:v>
      </x:c>
      <x:c r="D854" s="71" t="str"/>
      <x:c r="E854" s="51" t="str">
        <x:v>AM</x:v>
      </x:c>
      <x:c r="F854" s="51" t="str">
        <x:v>Attack</x:v>
      </x:c>
      <x:c r="G854" s="51" t="str">
        <x:v>Rotation</x:v>
      </x:c>
      <x:c r="H854" s="55" t="n">
        <x:v>0.35</x:v>
      </x:c>
      <x:c r="I854" s="51" t="str"/>
      <x:c r="J854" s="72" t="str"/>
      <x:c r="K854" s="72" t="str"/>
      <x:c r="L854" s="72" t="str"/>
      <x:c r="M854" s="72" t="str"/>
      <x:c r="N854" s="72" t="str"/>
      <x:c r="O854" s="72" t="str"/>
      <x:c r="P854" s="72" t="str">
        <x:v>Available</x:v>
      </x:c>
      <x:c r="Q854" s="72" t="n">
        <x:v>0</x:v>
      </x:c>
      <x:c r="R854" s="55" t="str">
        <x:f>IF($D854="","",ROUND(MAX(0,MIN(100,0.35*$J854+0.2*$K854+0.15*$L854+0.15*$M854+0.1*$N854+0.05*$O854-IF(OR($P854="Out",$P854="Suspended"),$Q854,IF($P854="Doubtful",$Q854*0.5,IF($P854="Limited",$Q854*0.25,0))))),2))</x:f>
      </x:c>
      <x:c r="S854" s="55" t="n">
        <x:f>IF($D854="",0,ROUND(IF(OR($P854="Out",$P854="Suspended"),$Q854*$H854,IF($P854="Doubtful",$Q854*$H854*0.5,IF($P854="Limited",$Q854*$H854*0.25,0))),2))</x:f>
        <x:v>0</x:v>
      </x:c>
      <x:c r="T854" s="55" t="str"/>
      <x:c r="U854" s="51" t="str"/>
    </x:row>
    <x:row r="855">
      <x:c r="A855" s="51" t="str">
        <x:v>France</x:v>
      </x:c>
      <x:c r="B855" s="51" t="str">
        <x:v>I</x:v>
      </x:c>
      <x:c r="C855" s="51" t="n">
        <x:v>19</x:v>
      </x:c>
      <x:c r="D855" s="71" t="str"/>
      <x:c r="E855" s="51" t="str">
        <x:v>AM</x:v>
      </x:c>
      <x:c r="F855" s="51" t="str">
        <x:v>Attack</x:v>
      </x:c>
      <x:c r="G855" s="51" t="str">
        <x:v>Rotation</x:v>
      </x:c>
      <x:c r="H855" s="55" t="n">
        <x:v>0.35</x:v>
      </x:c>
      <x:c r="I855" s="51" t="str"/>
      <x:c r="J855" s="72" t="str"/>
      <x:c r="K855" s="72" t="str"/>
      <x:c r="L855" s="72" t="str"/>
      <x:c r="M855" s="72" t="str"/>
      <x:c r="N855" s="72" t="str"/>
      <x:c r="O855" s="72" t="str"/>
      <x:c r="P855" s="72" t="str">
        <x:v>Available</x:v>
      </x:c>
      <x:c r="Q855" s="72" t="n">
        <x:v>0</x:v>
      </x:c>
      <x:c r="R855" s="55" t="str">
        <x:f>IF($D855="","",ROUND(MAX(0,MIN(100,0.35*$J855+0.2*$K855+0.15*$L855+0.15*$M855+0.1*$N855+0.05*$O855-IF(OR($P855="Out",$P855="Suspended"),$Q855,IF($P855="Doubtful",$Q855*0.5,IF($P855="Limited",$Q855*0.25,0))))),2))</x:f>
      </x:c>
      <x:c r="S855" s="55" t="n">
        <x:f>IF($D855="",0,ROUND(IF(OR($P855="Out",$P855="Suspended"),$Q855*$H855,IF($P855="Doubtful",$Q855*$H855*0.5,IF($P855="Limited",$Q855*$H855*0.25,0))),2))</x:f>
        <x:v>0</x:v>
      </x:c>
      <x:c r="T855" s="55" t="str"/>
      <x:c r="U855" s="51" t="str"/>
    </x:row>
    <x:row r="856">
      <x:c r="A856" s="51" t="str">
        <x:v>France</x:v>
      </x:c>
      <x:c r="B856" s="51" t="str">
        <x:v>I</x:v>
      </x:c>
      <x:c r="C856" s="51" t="n">
        <x:v>20</x:v>
      </x:c>
      <x:c r="D856" s="71" t="str"/>
      <x:c r="E856" s="51" t="str">
        <x:v>Winger</x:v>
      </x:c>
      <x:c r="F856" s="51" t="str">
        <x:v>Attack</x:v>
      </x:c>
      <x:c r="G856" s="51" t="str">
        <x:v>Rotation</x:v>
      </x:c>
      <x:c r="H856" s="55" t="n">
        <x:v>0.35</x:v>
      </x:c>
      <x:c r="I856" s="51" t="str"/>
      <x:c r="J856" s="72" t="str"/>
      <x:c r="K856" s="72" t="str"/>
      <x:c r="L856" s="72" t="str"/>
      <x:c r="M856" s="72" t="str"/>
      <x:c r="N856" s="72" t="str"/>
      <x:c r="O856" s="72" t="str"/>
      <x:c r="P856" s="72" t="str">
        <x:v>Available</x:v>
      </x:c>
      <x:c r="Q856" s="72" t="n">
        <x:v>0</x:v>
      </x:c>
      <x:c r="R856" s="55" t="str">
        <x:f>IF($D856="","",ROUND(MAX(0,MIN(100,0.35*$J856+0.2*$K856+0.15*$L856+0.15*$M856+0.1*$N856+0.05*$O856-IF(OR($P856="Out",$P856="Suspended"),$Q856,IF($P856="Doubtful",$Q856*0.5,IF($P856="Limited",$Q856*0.25,0))))),2))</x:f>
      </x:c>
      <x:c r="S856" s="55" t="n">
        <x:f>IF($D856="",0,ROUND(IF(OR($P856="Out",$P856="Suspended"),$Q856*$H856,IF($P856="Doubtful",$Q856*$H856*0.5,IF($P856="Limited",$Q856*$H856*0.25,0))),2))</x:f>
        <x:v>0</x:v>
      </x:c>
      <x:c r="T856" s="55" t="str"/>
      <x:c r="U856" s="51" t="str"/>
    </x:row>
    <x:row r="857">
      <x:c r="A857" s="51" t="str">
        <x:v>France</x:v>
      </x:c>
      <x:c r="B857" s="51" t="str">
        <x:v>I</x:v>
      </x:c>
      <x:c r="C857" s="51" t="n">
        <x:v>21</x:v>
      </x:c>
      <x:c r="D857" s="71" t="str"/>
      <x:c r="E857" s="51" t="str">
        <x:v>Winger</x:v>
      </x:c>
      <x:c r="F857" s="51" t="str">
        <x:v>Attack</x:v>
      </x:c>
      <x:c r="G857" s="51" t="str">
        <x:v>Depth</x:v>
      </x:c>
      <x:c r="H857" s="55" t="n">
        <x:v>0.1</x:v>
      </x:c>
      <x:c r="I857" s="51" t="str"/>
      <x:c r="J857" s="72" t="str"/>
      <x:c r="K857" s="72" t="str"/>
      <x:c r="L857" s="72" t="str"/>
      <x:c r="M857" s="72" t="str"/>
      <x:c r="N857" s="72" t="str"/>
      <x:c r="O857" s="72" t="str"/>
      <x:c r="P857" s="72" t="str">
        <x:v>Available</x:v>
      </x:c>
      <x:c r="Q857" s="72" t="n">
        <x:v>0</x:v>
      </x:c>
      <x:c r="R857" s="55" t="str">
        <x:f>IF($D857="","",ROUND(MAX(0,MIN(100,0.35*$J857+0.2*$K857+0.15*$L857+0.15*$M857+0.1*$N857+0.05*$O857-IF(OR($P857="Out",$P857="Suspended"),$Q857,IF($P857="Doubtful",$Q857*0.5,IF($P857="Limited",$Q857*0.25,0))))),2))</x:f>
      </x:c>
      <x:c r="S857" s="55" t="n">
        <x:f>IF($D857="",0,ROUND(IF(OR($P857="Out",$P857="Suspended"),$Q857*$H857,IF($P857="Doubtful",$Q857*$H857*0.5,IF($P857="Limited",$Q857*$H857*0.25,0))),2))</x:f>
        <x:v>0</x:v>
      </x:c>
      <x:c r="T857" s="55" t="str"/>
      <x:c r="U857" s="51" t="str"/>
    </x:row>
    <x:row r="858">
      <x:c r="A858" s="51" t="str">
        <x:v>France</x:v>
      </x:c>
      <x:c r="B858" s="51" t="str">
        <x:v>I</x:v>
      </x:c>
      <x:c r="C858" s="51" t="n">
        <x:v>22</x:v>
      </x:c>
      <x:c r="D858" s="71" t="str"/>
      <x:c r="E858" s="51" t="str">
        <x:v>Winger</x:v>
      </x:c>
      <x:c r="F858" s="51" t="str">
        <x:v>Attack</x:v>
      </x:c>
      <x:c r="G858" s="51" t="str">
        <x:v>Depth</x:v>
      </x:c>
      <x:c r="H858" s="55" t="n">
        <x:v>0.1</x:v>
      </x:c>
      <x:c r="I858" s="51" t="str"/>
      <x:c r="J858" s="72" t="str"/>
      <x:c r="K858" s="72" t="str"/>
      <x:c r="L858" s="72" t="str"/>
      <x:c r="M858" s="72" t="str"/>
      <x:c r="N858" s="72" t="str"/>
      <x:c r="O858" s="72" t="str"/>
      <x:c r="P858" s="72" t="str">
        <x:v>Available</x:v>
      </x:c>
      <x:c r="Q858" s="72" t="n">
        <x:v>0</x:v>
      </x:c>
      <x:c r="R858" s="55" t="str">
        <x:f>IF($D858="","",ROUND(MAX(0,MIN(100,0.35*$J858+0.2*$K858+0.15*$L858+0.15*$M858+0.1*$N858+0.05*$O858-IF(OR($P858="Out",$P858="Suspended"),$Q858,IF($P858="Doubtful",$Q858*0.5,IF($P858="Limited",$Q858*0.25,0))))),2))</x:f>
      </x:c>
      <x:c r="S858" s="55" t="n">
        <x:f>IF($D858="",0,ROUND(IF(OR($P858="Out",$P858="Suspended"),$Q858*$H858,IF($P858="Doubtful",$Q858*$H858*0.5,IF($P858="Limited",$Q858*$H858*0.25,0))),2))</x:f>
        <x:v>0</x:v>
      </x:c>
      <x:c r="T858" s="55" t="str"/>
      <x:c r="U858" s="51" t="str"/>
    </x:row>
    <x:row r="859">
      <x:c r="A859" s="51" t="str">
        <x:v>France</x:v>
      </x:c>
      <x:c r="B859" s="51" t="str">
        <x:v>I</x:v>
      </x:c>
      <x:c r="C859" s="51" t="n">
        <x:v>23</x:v>
      </x:c>
      <x:c r="D859" s="71" t="str"/>
      <x:c r="E859" s="51" t="str">
        <x:v>Winger</x:v>
      </x:c>
      <x:c r="F859" s="51" t="str">
        <x:v>Attack</x:v>
      </x:c>
      <x:c r="G859" s="51" t="str">
        <x:v>Depth</x:v>
      </x:c>
      <x:c r="H859" s="55" t="n">
        <x:v>0.1</x:v>
      </x:c>
      <x:c r="I859" s="51" t="str"/>
      <x:c r="J859" s="72" t="str"/>
      <x:c r="K859" s="72" t="str"/>
      <x:c r="L859" s="72" t="str"/>
      <x:c r="M859" s="72" t="str"/>
      <x:c r="N859" s="72" t="str"/>
      <x:c r="O859" s="72" t="str"/>
      <x:c r="P859" s="72" t="str">
        <x:v>Available</x:v>
      </x:c>
      <x:c r="Q859" s="72" t="n">
        <x:v>0</x:v>
      </x:c>
      <x:c r="R859" s="55" t="str">
        <x:f>IF($D859="","",ROUND(MAX(0,MIN(100,0.35*$J859+0.2*$K859+0.15*$L859+0.15*$M859+0.1*$N859+0.05*$O859-IF(OR($P859="Out",$P859="Suspended"),$Q859,IF($P859="Doubtful",$Q859*0.5,IF($P859="Limited",$Q859*0.25,0))))),2))</x:f>
      </x:c>
      <x:c r="S859" s="55" t="n">
        <x:f>IF($D859="",0,ROUND(IF(OR($P859="Out",$P859="Suspended"),$Q859*$H859,IF($P859="Doubtful",$Q859*$H859*0.5,IF($P859="Limited",$Q859*$H859*0.25,0))),2))</x:f>
        <x:v>0</x:v>
      </x:c>
      <x:c r="T859" s="55" t="str"/>
      <x:c r="U859" s="51" t="str"/>
    </x:row>
    <x:row r="860">
      <x:c r="A860" s="51" t="str">
        <x:v>France</x:v>
      </x:c>
      <x:c r="B860" s="51" t="str">
        <x:v>I</x:v>
      </x:c>
      <x:c r="C860" s="51" t="n">
        <x:v>24</x:v>
      </x:c>
      <x:c r="D860" s="71" t="str"/>
      <x:c r="E860" s="51" t="str">
        <x:v>ST</x:v>
      </x:c>
      <x:c r="F860" s="51" t="str">
        <x:v>Attack</x:v>
      </x:c>
      <x:c r="G860" s="51" t="str">
        <x:v>Depth</x:v>
      </x:c>
      <x:c r="H860" s="55" t="n">
        <x:v>0.1</x:v>
      </x:c>
      <x:c r="I860" s="51" t="str"/>
      <x:c r="J860" s="72" t="str"/>
      <x:c r="K860" s="72" t="str"/>
      <x:c r="L860" s="72" t="str"/>
      <x:c r="M860" s="72" t="str"/>
      <x:c r="N860" s="72" t="str"/>
      <x:c r="O860" s="72" t="str"/>
      <x:c r="P860" s="72" t="str">
        <x:v>Available</x:v>
      </x:c>
      <x:c r="Q860" s="72" t="n">
        <x:v>0</x:v>
      </x:c>
      <x:c r="R860" s="55" t="str">
        <x:f>IF($D860="","",ROUND(MAX(0,MIN(100,0.35*$J860+0.2*$K860+0.15*$L860+0.15*$M860+0.1*$N860+0.05*$O860-IF(OR($P860="Out",$P860="Suspended"),$Q860,IF($P860="Doubtful",$Q860*0.5,IF($P860="Limited",$Q860*0.25,0))))),2))</x:f>
      </x:c>
      <x:c r="S860" s="55" t="n">
        <x:f>IF($D860="",0,ROUND(IF(OR($P860="Out",$P860="Suspended"),$Q860*$H860,IF($P860="Doubtful",$Q860*$H860*0.5,IF($P860="Limited",$Q860*$H860*0.25,0))),2))</x:f>
        <x:v>0</x:v>
      </x:c>
      <x:c r="T860" s="55" t="str"/>
      <x:c r="U860" s="51" t="str"/>
    </x:row>
    <x:row r="861">
      <x:c r="A861" s="51" t="str">
        <x:v>France</x:v>
      </x:c>
      <x:c r="B861" s="51" t="str">
        <x:v>I</x:v>
      </x:c>
      <x:c r="C861" s="51" t="n">
        <x:v>25</x:v>
      </x:c>
      <x:c r="D861" s="71" t="str"/>
      <x:c r="E861" s="51" t="str">
        <x:v>ST</x:v>
      </x:c>
      <x:c r="F861" s="51" t="str">
        <x:v>Attack</x:v>
      </x:c>
      <x:c r="G861" s="51" t="str">
        <x:v>Depth</x:v>
      </x:c>
      <x:c r="H861" s="55" t="n">
        <x:v>0.1</x:v>
      </x:c>
      <x:c r="I861" s="51" t="str"/>
      <x:c r="J861" s="72" t="str"/>
      <x:c r="K861" s="72" t="str"/>
      <x:c r="L861" s="72" t="str"/>
      <x:c r="M861" s="72" t="str"/>
      <x:c r="N861" s="72" t="str"/>
      <x:c r="O861" s="72" t="str"/>
      <x:c r="P861" s="72" t="str">
        <x:v>Available</x:v>
      </x:c>
      <x:c r="Q861" s="72" t="n">
        <x:v>0</x:v>
      </x:c>
      <x:c r="R861" s="55" t="str">
        <x:f>IF($D861="","",ROUND(MAX(0,MIN(100,0.35*$J861+0.2*$K861+0.15*$L861+0.15*$M861+0.1*$N861+0.05*$O861-IF(OR($P861="Out",$P861="Suspended"),$Q861,IF($P861="Doubtful",$Q861*0.5,IF($P861="Limited",$Q861*0.25,0))))),2))</x:f>
      </x:c>
      <x:c r="S861" s="55" t="n">
        <x:f>IF($D861="",0,ROUND(IF(OR($P861="Out",$P861="Suspended"),$Q861*$H861,IF($P861="Doubtful",$Q861*$H861*0.5,IF($P861="Limited",$Q861*$H861*0.25,0))),2))</x:f>
        <x:v>0</x:v>
      </x:c>
      <x:c r="T861" s="55" t="str"/>
      <x:c r="U861" s="51" t="str"/>
    </x:row>
    <x:row r="862">
      <x:c r="A862" s="51" t="str">
        <x:v>France</x:v>
      </x:c>
      <x:c r="B862" s="51" t="str">
        <x:v>I</x:v>
      </x:c>
      <x:c r="C862" s="51" t="n">
        <x:v>26</x:v>
      </x:c>
      <x:c r="D862" s="71" t="str"/>
      <x:c r="E862" s="51" t="str">
        <x:v>ST</x:v>
      </x:c>
      <x:c r="F862" s="51" t="str">
        <x:v>Attack</x:v>
      </x:c>
      <x:c r="G862" s="51" t="str">
        <x:v>Depth</x:v>
      </x:c>
      <x:c r="H862" s="55" t="n">
        <x:v>0.1</x:v>
      </x:c>
      <x:c r="I862" s="51" t="str"/>
      <x:c r="J862" s="72" t="str"/>
      <x:c r="K862" s="72" t="str"/>
      <x:c r="L862" s="72" t="str"/>
      <x:c r="M862" s="72" t="str"/>
      <x:c r="N862" s="72" t="str"/>
      <x:c r="O862" s="72" t="str"/>
      <x:c r="P862" s="72" t="str">
        <x:v>Available</x:v>
      </x:c>
      <x:c r="Q862" s="72" t="n">
        <x:v>0</x:v>
      </x:c>
      <x:c r="R862" s="55" t="str">
        <x:f>IF($D862="","",ROUND(MAX(0,MIN(100,0.35*$J862+0.2*$K862+0.15*$L862+0.15*$M862+0.1*$N862+0.05*$O862-IF(OR($P862="Out",$P862="Suspended"),$Q862,IF($P862="Doubtful",$Q862*0.5,IF($P862="Limited",$Q862*0.25,0))))),2))</x:f>
      </x:c>
      <x:c r="S862" s="55" t="n">
        <x:f>IF($D862="",0,ROUND(IF(OR($P862="Out",$P862="Suspended"),$Q862*$H862,IF($P862="Doubtful",$Q862*$H862*0.5,IF($P862="Limited",$Q862*$H862*0.25,0))),2))</x:f>
        <x:v>0</x:v>
      </x:c>
      <x:c r="T862" s="55" t="str"/>
      <x:c r="U862" s="51" t="str"/>
    </x:row>
    <x:row r="863">
      <x:c r="A863" s="51" t="str">
        <x:v>Iraq</x:v>
      </x:c>
      <x:c r="B863" s="51" t="str">
        <x:v>I</x:v>
      </x:c>
      <x:c r="C863" s="51" t="n">
        <x:v>1</x:v>
      </x:c>
      <x:c r="D863" s="71" t="str"/>
      <x:c r="E863" s="51" t="str">
        <x:v>GK</x:v>
      </x:c>
      <x:c r="F863" s="51" t="str">
        <x:v>GK</x:v>
      </x:c>
      <x:c r="G863" s="51" t="str">
        <x:v>Starter</x:v>
      </x:c>
      <x:c r="H863" s="55" t="n">
        <x:v>1</x:v>
      </x:c>
      <x:c r="I863" s="51" t="str"/>
      <x:c r="J863" s="72" t="str"/>
      <x:c r="K863" s="72" t="str"/>
      <x:c r="L863" s="72" t="str"/>
      <x:c r="M863" s="72" t="str"/>
      <x:c r="N863" s="72" t="str"/>
      <x:c r="O863" s="72" t="str"/>
      <x:c r="P863" s="72" t="str">
        <x:v>Available</x:v>
      </x:c>
      <x:c r="Q863" s="72" t="n">
        <x:v>0</x:v>
      </x:c>
      <x:c r="R863" s="55" t="str">
        <x:f>IF($D863="","",ROUND(MAX(0,MIN(100,0.35*$J863+0.2*$K863+0.15*$L863+0.15*$M863+0.1*$N863+0.05*$O863-IF(OR($P863="Out",$P863="Suspended"),$Q863,IF($P863="Doubtful",$Q863*0.5,IF($P863="Limited",$Q863*0.25,0))))),2))</x:f>
      </x:c>
      <x:c r="S863" s="55" t="n">
        <x:f>IF($D863="",0,ROUND(IF(OR($P863="Out",$P863="Suspended"),$Q863*$H863,IF($P863="Doubtful",$Q863*$H863*0.5,IF($P863="Limited",$Q863*$H863*0.25,0))),2))</x:f>
        <x:v>0</x:v>
      </x:c>
      <x:c r="T863" s="55" t="str"/>
      <x:c r="U863" s="51" t="str"/>
    </x:row>
    <x:row r="864">
      <x:c r="A864" s="51" t="str">
        <x:v>Iraq</x:v>
      </x:c>
      <x:c r="B864" s="51" t="str">
        <x:v>I</x:v>
      </x:c>
      <x:c r="C864" s="51" t="n">
        <x:v>2</x:v>
      </x:c>
      <x:c r="D864" s="71" t="str"/>
      <x:c r="E864" s="51" t="str">
        <x:v>GK</x:v>
      </x:c>
      <x:c r="F864" s="51" t="str">
        <x:v>GK</x:v>
      </x:c>
      <x:c r="G864" s="51" t="str">
        <x:v>Starter</x:v>
      </x:c>
      <x:c r="H864" s="55" t="n">
        <x:v>1</x:v>
      </x:c>
      <x:c r="I864" s="51" t="str"/>
      <x:c r="J864" s="72" t="str"/>
      <x:c r="K864" s="72" t="str"/>
      <x:c r="L864" s="72" t="str"/>
      <x:c r="M864" s="72" t="str"/>
      <x:c r="N864" s="72" t="str"/>
      <x:c r="O864" s="72" t="str"/>
      <x:c r="P864" s="72" t="str">
        <x:v>Available</x:v>
      </x:c>
      <x:c r="Q864" s="72" t="n">
        <x:v>0</x:v>
      </x:c>
      <x:c r="R864" s="55" t="str">
        <x:f>IF($D864="","",ROUND(MAX(0,MIN(100,0.35*$J864+0.2*$K864+0.15*$L864+0.15*$M864+0.1*$N864+0.05*$O864-IF(OR($P864="Out",$P864="Suspended"),$Q864,IF($P864="Doubtful",$Q864*0.5,IF($P864="Limited",$Q864*0.25,0))))),2))</x:f>
      </x:c>
      <x:c r="S864" s="55" t="n">
        <x:f>IF($D864="",0,ROUND(IF(OR($P864="Out",$P864="Suspended"),$Q864*$H864,IF($P864="Doubtful",$Q864*$H864*0.5,IF($P864="Limited",$Q864*$H864*0.25,0))),2))</x:f>
        <x:v>0</x:v>
      </x:c>
      <x:c r="T864" s="55" t="str"/>
      <x:c r="U864" s="51" t="str"/>
    </x:row>
    <x:row r="865">
      <x:c r="A865" s="51" t="str">
        <x:v>Iraq</x:v>
      </x:c>
      <x:c r="B865" s="51" t="str">
        <x:v>I</x:v>
      </x:c>
      <x:c r="C865" s="51" t="n">
        <x:v>3</x:v>
      </x:c>
      <x:c r="D865" s="71" t="str"/>
      <x:c r="E865" s="51" t="str">
        <x:v>GK</x:v>
      </x:c>
      <x:c r="F865" s="51" t="str">
        <x:v>GK</x:v>
      </x:c>
      <x:c r="G865" s="51" t="str">
        <x:v>Starter</x:v>
      </x:c>
      <x:c r="H865" s="55" t="n">
        <x:v>1</x:v>
      </x:c>
      <x:c r="I865" s="51" t="str"/>
      <x:c r="J865" s="72" t="str"/>
      <x:c r="K865" s="72" t="str"/>
      <x:c r="L865" s="72" t="str"/>
      <x:c r="M865" s="72" t="str"/>
      <x:c r="N865" s="72" t="str"/>
      <x:c r="O865" s="72" t="str"/>
      <x:c r="P865" s="72" t="str">
        <x:v>Available</x:v>
      </x:c>
      <x:c r="Q865" s="72" t="n">
        <x:v>0</x:v>
      </x:c>
      <x:c r="R865" s="55" t="str">
        <x:f>IF($D865="","",ROUND(MAX(0,MIN(100,0.35*$J865+0.2*$K865+0.15*$L865+0.15*$M865+0.1*$N865+0.05*$O865-IF(OR($P865="Out",$P865="Suspended"),$Q865,IF($P865="Doubtful",$Q865*0.5,IF($P865="Limited",$Q865*0.25,0))))),2))</x:f>
      </x:c>
      <x:c r="S865" s="55" t="n">
        <x:f>IF($D865="",0,ROUND(IF(OR($P865="Out",$P865="Suspended"),$Q865*$H865,IF($P865="Doubtful",$Q865*$H865*0.5,IF($P865="Limited",$Q865*$H865*0.25,0))),2))</x:f>
        <x:v>0</x:v>
      </x:c>
      <x:c r="T865" s="55" t="str"/>
      <x:c r="U865" s="51" t="str"/>
    </x:row>
    <x:row r="866">
      <x:c r="A866" s="51" t="str">
        <x:v>Iraq</x:v>
      </x:c>
      <x:c r="B866" s="51" t="str">
        <x:v>I</x:v>
      </x:c>
      <x:c r="C866" s="51" t="n">
        <x:v>4</x:v>
      </x:c>
      <x:c r="D866" s="71" t="str"/>
      <x:c r="E866" s="51" t="str">
        <x:v>CB</x:v>
      </x:c>
      <x:c r="F866" s="51" t="str">
        <x:v>Defence</x:v>
      </x:c>
      <x:c r="G866" s="51" t="str">
        <x:v>Starter</x:v>
      </x:c>
      <x:c r="H866" s="55" t="n">
        <x:v>1</x:v>
      </x:c>
      <x:c r="I866" s="51" t="str"/>
      <x:c r="J866" s="72" t="str"/>
      <x:c r="K866" s="72" t="str"/>
      <x:c r="L866" s="72" t="str"/>
      <x:c r="M866" s="72" t="str"/>
      <x:c r="N866" s="72" t="str"/>
      <x:c r="O866" s="72" t="str"/>
      <x:c r="P866" s="72" t="str">
        <x:v>Available</x:v>
      </x:c>
      <x:c r="Q866" s="72" t="n">
        <x:v>0</x:v>
      </x:c>
      <x:c r="R866" s="55" t="str">
        <x:f>IF($D866="","",ROUND(MAX(0,MIN(100,0.35*$J866+0.2*$K866+0.15*$L866+0.15*$M866+0.1*$N866+0.05*$O866-IF(OR($P866="Out",$P866="Suspended"),$Q866,IF($P866="Doubtful",$Q866*0.5,IF($P866="Limited",$Q866*0.25,0))))),2))</x:f>
      </x:c>
      <x:c r="S866" s="55" t="n">
        <x:f>IF($D866="",0,ROUND(IF(OR($P866="Out",$P866="Suspended"),$Q866*$H866,IF($P866="Doubtful",$Q866*$H866*0.5,IF($P866="Limited",$Q866*$H866*0.25,0))),2))</x:f>
        <x:v>0</x:v>
      </x:c>
      <x:c r="T866" s="55" t="str"/>
      <x:c r="U866" s="51" t="str"/>
    </x:row>
    <x:row r="867">
      <x:c r="A867" s="51" t="str">
        <x:v>Iraq</x:v>
      </x:c>
      <x:c r="B867" s="51" t="str">
        <x:v>I</x:v>
      </x:c>
      <x:c r="C867" s="51" t="n">
        <x:v>5</x:v>
      </x:c>
      <x:c r="D867" s="71" t="str"/>
      <x:c r="E867" s="51" t="str">
        <x:v>CB</x:v>
      </x:c>
      <x:c r="F867" s="51" t="str">
        <x:v>Defence</x:v>
      </x:c>
      <x:c r="G867" s="51" t="str">
        <x:v>Starter</x:v>
      </x:c>
      <x:c r="H867" s="55" t="n">
        <x:v>1</x:v>
      </x:c>
      <x:c r="I867" s="51" t="str"/>
      <x:c r="J867" s="72" t="str"/>
      <x:c r="K867" s="72" t="str"/>
      <x:c r="L867" s="72" t="str"/>
      <x:c r="M867" s="72" t="str"/>
      <x:c r="N867" s="72" t="str"/>
      <x:c r="O867" s="72" t="str"/>
      <x:c r="P867" s="72" t="str">
        <x:v>Available</x:v>
      </x:c>
      <x:c r="Q867" s="72" t="n">
        <x:v>0</x:v>
      </x:c>
      <x:c r="R867" s="55" t="str">
        <x:f>IF($D867="","",ROUND(MAX(0,MIN(100,0.35*$J867+0.2*$K867+0.15*$L867+0.15*$M867+0.1*$N867+0.05*$O867-IF(OR($P867="Out",$P867="Suspended"),$Q867,IF($P867="Doubtful",$Q867*0.5,IF($P867="Limited",$Q867*0.25,0))))),2))</x:f>
      </x:c>
      <x:c r="S867" s="55" t="n">
        <x:f>IF($D867="",0,ROUND(IF(OR($P867="Out",$P867="Suspended"),$Q867*$H867,IF($P867="Doubtful",$Q867*$H867*0.5,IF($P867="Limited",$Q867*$H867*0.25,0))),2))</x:f>
        <x:v>0</x:v>
      </x:c>
      <x:c r="T867" s="55" t="str"/>
      <x:c r="U867" s="51" t="str"/>
    </x:row>
    <x:row r="868">
      <x:c r="A868" s="51" t="str">
        <x:v>Iraq</x:v>
      </x:c>
      <x:c r="B868" s="51" t="str">
        <x:v>I</x:v>
      </x:c>
      <x:c r="C868" s="51" t="n">
        <x:v>6</x:v>
      </x:c>
      <x:c r="D868" s="71" t="str"/>
      <x:c r="E868" s="51" t="str">
        <x:v>CB</x:v>
      </x:c>
      <x:c r="F868" s="51" t="str">
        <x:v>Defence</x:v>
      </x:c>
      <x:c r="G868" s="51" t="str">
        <x:v>Starter</x:v>
      </x:c>
      <x:c r="H868" s="55" t="n">
        <x:v>1</x:v>
      </x:c>
      <x:c r="I868" s="51" t="str"/>
      <x:c r="J868" s="72" t="str"/>
      <x:c r="K868" s="72" t="str"/>
      <x:c r="L868" s="72" t="str"/>
      <x:c r="M868" s="72" t="str"/>
      <x:c r="N868" s="72" t="str"/>
      <x:c r="O868" s="72" t="str"/>
      <x:c r="P868" s="72" t="str">
        <x:v>Available</x:v>
      </x:c>
      <x:c r="Q868" s="72" t="n">
        <x:v>0</x:v>
      </x:c>
      <x:c r="R868" s="55" t="str">
        <x:f>IF($D868="","",ROUND(MAX(0,MIN(100,0.35*$J868+0.2*$K868+0.15*$L868+0.15*$M868+0.1*$N868+0.05*$O868-IF(OR($P868="Out",$P868="Suspended"),$Q868,IF($P868="Doubtful",$Q868*0.5,IF($P868="Limited",$Q868*0.25,0))))),2))</x:f>
      </x:c>
      <x:c r="S868" s="55" t="n">
        <x:f>IF($D868="",0,ROUND(IF(OR($P868="Out",$P868="Suspended"),$Q868*$H868,IF($P868="Doubtful",$Q868*$H868*0.5,IF($P868="Limited",$Q868*$H868*0.25,0))),2))</x:f>
        <x:v>0</x:v>
      </x:c>
      <x:c r="T868" s="55" t="str"/>
      <x:c r="U868" s="51" t="str"/>
    </x:row>
    <x:row r="869">
      <x:c r="A869" s="51" t="str">
        <x:v>Iraq</x:v>
      </x:c>
      <x:c r="B869" s="51" t="str">
        <x:v>I</x:v>
      </x:c>
      <x:c r="C869" s="51" t="n">
        <x:v>7</x:v>
      </x:c>
      <x:c r="D869" s="71" t="str"/>
      <x:c r="E869" s="51" t="str">
        <x:v>FB</x:v>
      </x:c>
      <x:c r="F869" s="51" t="str">
        <x:v>Defence</x:v>
      </x:c>
      <x:c r="G869" s="51" t="str">
        <x:v>Starter</x:v>
      </x:c>
      <x:c r="H869" s="55" t="n">
        <x:v>1</x:v>
      </x:c>
      <x:c r="I869" s="51" t="str"/>
      <x:c r="J869" s="72" t="str"/>
      <x:c r="K869" s="72" t="str"/>
      <x:c r="L869" s="72" t="str"/>
      <x:c r="M869" s="72" t="str"/>
      <x:c r="N869" s="72" t="str"/>
      <x:c r="O869" s="72" t="str"/>
      <x:c r="P869" s="72" t="str">
        <x:v>Available</x:v>
      </x:c>
      <x:c r="Q869" s="72" t="n">
        <x:v>0</x:v>
      </x:c>
      <x:c r="R869" s="55" t="str">
        <x:f>IF($D869="","",ROUND(MAX(0,MIN(100,0.35*$J869+0.2*$K869+0.15*$L869+0.15*$M869+0.1*$N869+0.05*$O869-IF(OR($P869="Out",$P869="Suspended"),$Q869,IF($P869="Doubtful",$Q869*0.5,IF($P869="Limited",$Q869*0.25,0))))),2))</x:f>
      </x:c>
      <x:c r="S869" s="55" t="n">
        <x:f>IF($D869="",0,ROUND(IF(OR($P869="Out",$P869="Suspended"),$Q869*$H869,IF($P869="Doubtful",$Q869*$H869*0.5,IF($P869="Limited",$Q869*$H869*0.25,0))),2))</x:f>
        <x:v>0</x:v>
      </x:c>
      <x:c r="T869" s="55" t="str"/>
      <x:c r="U869" s="51" t="str"/>
    </x:row>
    <x:row r="870">
      <x:c r="A870" s="51" t="str">
        <x:v>Iraq</x:v>
      </x:c>
      <x:c r="B870" s="51" t="str">
        <x:v>I</x:v>
      </x:c>
      <x:c r="C870" s="51" t="n">
        <x:v>8</x:v>
      </x:c>
      <x:c r="D870" s="71" t="str"/>
      <x:c r="E870" s="51" t="str">
        <x:v>FB</x:v>
      </x:c>
      <x:c r="F870" s="51" t="str">
        <x:v>Defence</x:v>
      </x:c>
      <x:c r="G870" s="51" t="str">
        <x:v>Starter</x:v>
      </x:c>
      <x:c r="H870" s="55" t="n">
        <x:v>1</x:v>
      </x:c>
      <x:c r="I870" s="51" t="str"/>
      <x:c r="J870" s="72" t="str"/>
      <x:c r="K870" s="72" t="str"/>
      <x:c r="L870" s="72" t="str"/>
      <x:c r="M870" s="72" t="str"/>
      <x:c r="N870" s="72" t="str"/>
      <x:c r="O870" s="72" t="str"/>
      <x:c r="P870" s="72" t="str">
        <x:v>Available</x:v>
      </x:c>
      <x:c r="Q870" s="72" t="n">
        <x:v>0</x:v>
      </x:c>
      <x:c r="R870" s="55" t="str">
        <x:f>IF($D870="","",ROUND(MAX(0,MIN(100,0.35*$J870+0.2*$K870+0.15*$L870+0.15*$M870+0.1*$N870+0.05*$O870-IF(OR($P870="Out",$P870="Suspended"),$Q870,IF($P870="Doubtful",$Q870*0.5,IF($P870="Limited",$Q870*0.25,0))))),2))</x:f>
      </x:c>
      <x:c r="S870" s="55" t="n">
        <x:f>IF($D870="",0,ROUND(IF(OR($P870="Out",$P870="Suspended"),$Q870*$H870,IF($P870="Doubtful",$Q870*$H870*0.5,IF($P870="Limited",$Q870*$H870*0.25,0))),2))</x:f>
        <x:v>0</x:v>
      </x:c>
      <x:c r="T870" s="55" t="str"/>
      <x:c r="U870" s="51" t="str"/>
    </x:row>
    <x:row r="871">
      <x:c r="A871" s="51" t="str">
        <x:v>Iraq</x:v>
      </x:c>
      <x:c r="B871" s="51" t="str">
        <x:v>I</x:v>
      </x:c>
      <x:c r="C871" s="51" t="n">
        <x:v>9</x:v>
      </x:c>
      <x:c r="D871" s="71" t="str"/>
      <x:c r="E871" s="51" t="str">
        <x:v>DM</x:v>
      </x:c>
      <x:c r="F871" s="51" t="str">
        <x:v>Midfield</x:v>
      </x:c>
      <x:c r="G871" s="51" t="str">
        <x:v>Starter</x:v>
      </x:c>
      <x:c r="H871" s="55" t="n">
        <x:v>1</x:v>
      </x:c>
      <x:c r="I871" s="51" t="str"/>
      <x:c r="J871" s="72" t="str"/>
      <x:c r="K871" s="72" t="str"/>
      <x:c r="L871" s="72" t="str"/>
      <x:c r="M871" s="72" t="str"/>
      <x:c r="N871" s="72" t="str"/>
      <x:c r="O871" s="72" t="str"/>
      <x:c r="P871" s="72" t="str">
        <x:v>Available</x:v>
      </x:c>
      <x:c r="Q871" s="72" t="n">
        <x:v>0</x:v>
      </x:c>
      <x:c r="R871" s="55" t="str">
        <x:f>IF($D871="","",ROUND(MAX(0,MIN(100,0.35*$J871+0.2*$K871+0.15*$L871+0.15*$M871+0.1*$N871+0.05*$O871-IF(OR($P871="Out",$P871="Suspended"),$Q871,IF($P871="Doubtful",$Q871*0.5,IF($P871="Limited",$Q871*0.25,0))))),2))</x:f>
      </x:c>
      <x:c r="S871" s="55" t="n">
        <x:f>IF($D871="",0,ROUND(IF(OR($P871="Out",$P871="Suspended"),$Q871*$H871,IF($P871="Doubtful",$Q871*$H871*0.5,IF($P871="Limited",$Q871*$H871*0.25,0))),2))</x:f>
        <x:v>0</x:v>
      </x:c>
      <x:c r="T871" s="55" t="str"/>
      <x:c r="U871" s="51" t="str"/>
    </x:row>
    <x:row r="872">
      <x:c r="A872" s="51" t="str">
        <x:v>Iraq</x:v>
      </x:c>
      <x:c r="B872" s="51" t="str">
        <x:v>I</x:v>
      </x:c>
      <x:c r="C872" s="51" t="n">
        <x:v>10</x:v>
      </x:c>
      <x:c r="D872" s="71" t="str"/>
      <x:c r="E872" s="51" t="str">
        <x:v>DM</x:v>
      </x:c>
      <x:c r="F872" s="51" t="str">
        <x:v>Midfield</x:v>
      </x:c>
      <x:c r="G872" s="51" t="str">
        <x:v>Starter</x:v>
      </x:c>
      <x:c r="H872" s="55" t="n">
        <x:v>1</x:v>
      </x:c>
      <x:c r="I872" s="51" t="str"/>
      <x:c r="J872" s="72" t="str"/>
      <x:c r="K872" s="72" t="str"/>
      <x:c r="L872" s="72" t="str"/>
      <x:c r="M872" s="72" t="str"/>
      <x:c r="N872" s="72" t="str"/>
      <x:c r="O872" s="72" t="str"/>
      <x:c r="P872" s="72" t="str">
        <x:v>Available</x:v>
      </x:c>
      <x:c r="Q872" s="72" t="n">
        <x:v>0</x:v>
      </x:c>
      <x:c r="R872" s="55" t="str">
        <x:f>IF($D872="","",ROUND(MAX(0,MIN(100,0.35*$J872+0.2*$K872+0.15*$L872+0.15*$M872+0.1*$N872+0.05*$O872-IF(OR($P872="Out",$P872="Suspended"),$Q872,IF($P872="Doubtful",$Q872*0.5,IF($P872="Limited",$Q872*0.25,0))))),2))</x:f>
      </x:c>
      <x:c r="S872" s="55" t="n">
        <x:f>IF($D872="",0,ROUND(IF(OR($P872="Out",$P872="Suspended"),$Q872*$H872,IF($P872="Doubtful",$Q872*$H872*0.5,IF($P872="Limited",$Q872*$H872*0.25,0))),2))</x:f>
        <x:v>0</x:v>
      </x:c>
      <x:c r="T872" s="55" t="str"/>
      <x:c r="U872" s="51" t="str"/>
    </x:row>
    <x:row r="873">
      <x:c r="A873" s="51" t="str">
        <x:v>Iraq</x:v>
      </x:c>
      <x:c r="B873" s="51" t="str">
        <x:v>I</x:v>
      </x:c>
      <x:c r="C873" s="51" t="n">
        <x:v>11</x:v>
      </x:c>
      <x:c r="D873" s="71" t="str"/>
      <x:c r="E873" s="51" t="str">
        <x:v>DM</x:v>
      </x:c>
      <x:c r="F873" s="51" t="str">
        <x:v>Midfield</x:v>
      </x:c>
      <x:c r="G873" s="51" t="str">
        <x:v>Starter</x:v>
      </x:c>
      <x:c r="H873" s="55" t="n">
        <x:v>1</x:v>
      </x:c>
      <x:c r="I873" s="51" t="str"/>
      <x:c r="J873" s="72" t="str"/>
      <x:c r="K873" s="72" t="str"/>
      <x:c r="L873" s="72" t="str"/>
      <x:c r="M873" s="72" t="str"/>
      <x:c r="N873" s="72" t="str"/>
      <x:c r="O873" s="72" t="str"/>
      <x:c r="P873" s="72" t="str">
        <x:v>Available</x:v>
      </x:c>
      <x:c r="Q873" s="72" t="n">
        <x:v>0</x:v>
      </x:c>
      <x:c r="R873" s="55" t="str">
        <x:f>IF($D873="","",ROUND(MAX(0,MIN(100,0.35*$J873+0.2*$K873+0.15*$L873+0.15*$M873+0.1*$N873+0.05*$O873-IF(OR($P873="Out",$P873="Suspended"),$Q873,IF($P873="Doubtful",$Q873*0.5,IF($P873="Limited",$Q873*0.25,0))))),2))</x:f>
      </x:c>
      <x:c r="S873" s="55" t="n">
        <x:f>IF($D873="",0,ROUND(IF(OR($P873="Out",$P873="Suspended"),$Q873*$H873,IF($P873="Doubtful",$Q873*$H873*0.5,IF($P873="Limited",$Q873*$H873*0.25,0))),2))</x:f>
        <x:v>0</x:v>
      </x:c>
      <x:c r="T873" s="55" t="str"/>
      <x:c r="U873" s="51" t="str"/>
    </x:row>
    <x:row r="874">
      <x:c r="A874" s="51" t="str">
        <x:v>Iraq</x:v>
      </x:c>
      <x:c r="B874" s="51" t="str">
        <x:v>I</x:v>
      </x:c>
      <x:c r="C874" s="51" t="n">
        <x:v>12</x:v>
      </x:c>
      <x:c r="D874" s="71" t="str"/>
      <x:c r="E874" s="51" t="str">
        <x:v>CM</x:v>
      </x:c>
      <x:c r="F874" s="51" t="str">
        <x:v>Midfield</x:v>
      </x:c>
      <x:c r="G874" s="51" t="str">
        <x:v>Rotation</x:v>
      </x:c>
      <x:c r="H874" s="55" t="n">
        <x:v>0.35</x:v>
      </x:c>
      <x:c r="I874" s="51" t="str"/>
      <x:c r="J874" s="72" t="str"/>
      <x:c r="K874" s="72" t="str"/>
      <x:c r="L874" s="72" t="str"/>
      <x:c r="M874" s="72" t="str"/>
      <x:c r="N874" s="72" t="str"/>
      <x:c r="O874" s="72" t="str"/>
      <x:c r="P874" s="72" t="str">
        <x:v>Available</x:v>
      </x:c>
      <x:c r="Q874" s="72" t="n">
        <x:v>0</x:v>
      </x:c>
      <x:c r="R874" s="55" t="str">
        <x:f>IF($D874="","",ROUND(MAX(0,MIN(100,0.35*$J874+0.2*$K874+0.15*$L874+0.15*$M874+0.1*$N874+0.05*$O874-IF(OR($P874="Out",$P874="Suspended"),$Q874,IF($P874="Doubtful",$Q874*0.5,IF($P874="Limited",$Q874*0.25,0))))),2))</x:f>
      </x:c>
      <x:c r="S874" s="55" t="n">
        <x:f>IF($D874="",0,ROUND(IF(OR($P874="Out",$P874="Suspended"),$Q874*$H874,IF($P874="Doubtful",$Q874*$H874*0.5,IF($P874="Limited",$Q874*$H874*0.25,0))),2))</x:f>
        <x:v>0</x:v>
      </x:c>
      <x:c r="T874" s="55" t="str"/>
      <x:c r="U874" s="51" t="str"/>
    </x:row>
    <x:row r="875">
      <x:c r="A875" s="51" t="str">
        <x:v>Iraq</x:v>
      </x:c>
      <x:c r="B875" s="51" t="str">
        <x:v>I</x:v>
      </x:c>
      <x:c r="C875" s="51" t="n">
        <x:v>13</x:v>
      </x:c>
      <x:c r="D875" s="71" t="str"/>
      <x:c r="E875" s="51" t="str">
        <x:v>CM</x:v>
      </x:c>
      <x:c r="F875" s="51" t="str">
        <x:v>Midfield</x:v>
      </x:c>
      <x:c r="G875" s="51" t="str">
        <x:v>Rotation</x:v>
      </x:c>
      <x:c r="H875" s="55" t="n">
        <x:v>0.35</x:v>
      </x:c>
      <x:c r="I875" s="51" t="str"/>
      <x:c r="J875" s="72" t="str"/>
      <x:c r="K875" s="72" t="str"/>
      <x:c r="L875" s="72" t="str"/>
      <x:c r="M875" s="72" t="str"/>
      <x:c r="N875" s="72" t="str"/>
      <x:c r="O875" s="72" t="str"/>
      <x:c r="P875" s="72" t="str">
        <x:v>Available</x:v>
      </x:c>
      <x:c r="Q875" s="72" t="n">
        <x:v>0</x:v>
      </x:c>
      <x:c r="R875" s="55" t="str">
        <x:f>IF($D875="","",ROUND(MAX(0,MIN(100,0.35*$J875+0.2*$K875+0.15*$L875+0.15*$M875+0.1*$N875+0.05*$O875-IF(OR($P875="Out",$P875="Suspended"),$Q875,IF($P875="Doubtful",$Q875*0.5,IF($P875="Limited",$Q875*0.25,0))))),2))</x:f>
      </x:c>
      <x:c r="S875" s="55" t="n">
        <x:f>IF($D875="",0,ROUND(IF(OR($P875="Out",$P875="Suspended"),$Q875*$H875,IF($P875="Doubtful",$Q875*$H875*0.5,IF($P875="Limited",$Q875*$H875*0.25,0))),2))</x:f>
        <x:v>0</x:v>
      </x:c>
      <x:c r="T875" s="55" t="str"/>
      <x:c r="U875" s="51" t="str"/>
    </x:row>
    <x:row r="876">
      <x:c r="A876" s="51" t="str">
        <x:v>Iraq</x:v>
      </x:c>
      <x:c r="B876" s="51" t="str">
        <x:v>I</x:v>
      </x:c>
      <x:c r="C876" s="51" t="n">
        <x:v>14</x:v>
      </x:c>
      <x:c r="D876" s="71" t="str"/>
      <x:c r="E876" s="51" t="str">
        <x:v>CM</x:v>
      </x:c>
      <x:c r="F876" s="51" t="str">
        <x:v>Midfield</x:v>
      </x:c>
      <x:c r="G876" s="51" t="str">
        <x:v>Rotation</x:v>
      </x:c>
      <x:c r="H876" s="55" t="n">
        <x:v>0.35</x:v>
      </x:c>
      <x:c r="I876" s="51" t="str"/>
      <x:c r="J876" s="72" t="str"/>
      <x:c r="K876" s="72" t="str"/>
      <x:c r="L876" s="72" t="str"/>
      <x:c r="M876" s="72" t="str"/>
      <x:c r="N876" s="72" t="str"/>
      <x:c r="O876" s="72" t="str"/>
      <x:c r="P876" s="72" t="str">
        <x:v>Available</x:v>
      </x:c>
      <x:c r="Q876" s="72" t="n">
        <x:v>0</x:v>
      </x:c>
      <x:c r="R876" s="55" t="str">
        <x:f>IF($D876="","",ROUND(MAX(0,MIN(100,0.35*$J876+0.2*$K876+0.15*$L876+0.15*$M876+0.1*$N876+0.05*$O876-IF(OR($P876="Out",$P876="Suspended"),$Q876,IF($P876="Doubtful",$Q876*0.5,IF($P876="Limited",$Q876*0.25,0))))),2))</x:f>
      </x:c>
      <x:c r="S876" s="55" t="n">
        <x:f>IF($D876="",0,ROUND(IF(OR($P876="Out",$P876="Suspended"),$Q876*$H876,IF($P876="Doubtful",$Q876*$H876*0.5,IF($P876="Limited",$Q876*$H876*0.25,0))),2))</x:f>
        <x:v>0</x:v>
      </x:c>
      <x:c r="T876" s="55" t="str"/>
      <x:c r="U876" s="51" t="str"/>
    </x:row>
    <x:row r="877">
      <x:c r="A877" s="51" t="str">
        <x:v>Iraq</x:v>
      </x:c>
      <x:c r="B877" s="51" t="str">
        <x:v>I</x:v>
      </x:c>
      <x:c r="C877" s="51" t="n">
        <x:v>15</x:v>
      </x:c>
      <x:c r="D877" s="71" t="str"/>
      <x:c r="E877" s="51" t="str">
        <x:v>CM</x:v>
      </x:c>
      <x:c r="F877" s="51" t="str">
        <x:v>Midfield</x:v>
      </x:c>
      <x:c r="G877" s="51" t="str">
        <x:v>Rotation</x:v>
      </x:c>
      <x:c r="H877" s="55" t="n">
        <x:v>0.35</x:v>
      </x:c>
      <x:c r="I877" s="51" t="str"/>
      <x:c r="J877" s="72" t="str"/>
      <x:c r="K877" s="72" t="str"/>
      <x:c r="L877" s="72" t="str"/>
      <x:c r="M877" s="72" t="str"/>
      <x:c r="N877" s="72" t="str"/>
      <x:c r="O877" s="72" t="str"/>
      <x:c r="P877" s="72" t="str">
        <x:v>Available</x:v>
      </x:c>
      <x:c r="Q877" s="72" t="n">
        <x:v>0</x:v>
      </x:c>
      <x:c r="R877" s="55" t="str">
        <x:f>IF($D877="","",ROUND(MAX(0,MIN(100,0.35*$J877+0.2*$K877+0.15*$L877+0.15*$M877+0.1*$N877+0.05*$O877-IF(OR($P877="Out",$P877="Suspended"),$Q877,IF($P877="Doubtful",$Q877*0.5,IF($P877="Limited",$Q877*0.25,0))))),2))</x:f>
      </x:c>
      <x:c r="S877" s="55" t="n">
        <x:f>IF($D877="",0,ROUND(IF(OR($P877="Out",$P877="Suspended"),$Q877*$H877,IF($P877="Doubtful",$Q877*$H877*0.5,IF($P877="Limited",$Q877*$H877*0.25,0))),2))</x:f>
        <x:v>0</x:v>
      </x:c>
      <x:c r="T877" s="55" t="str"/>
      <x:c r="U877" s="51" t="str"/>
    </x:row>
    <x:row r="878">
      <x:c r="A878" s="51" t="str">
        <x:v>Iraq</x:v>
      </x:c>
      <x:c r="B878" s="51" t="str">
        <x:v>I</x:v>
      </x:c>
      <x:c r="C878" s="51" t="n">
        <x:v>16</x:v>
      </x:c>
      <x:c r="D878" s="71" t="str"/>
      <x:c r="E878" s="51" t="str">
        <x:v>AM</x:v>
      </x:c>
      <x:c r="F878" s="51" t="str">
        <x:v>Attack</x:v>
      </x:c>
      <x:c r="G878" s="51" t="str">
        <x:v>Rotation</x:v>
      </x:c>
      <x:c r="H878" s="55" t="n">
        <x:v>0.35</x:v>
      </x:c>
      <x:c r="I878" s="51" t="str"/>
      <x:c r="J878" s="72" t="str"/>
      <x:c r="K878" s="72" t="str"/>
      <x:c r="L878" s="72" t="str"/>
      <x:c r="M878" s="72" t="str"/>
      <x:c r="N878" s="72" t="str"/>
      <x:c r="O878" s="72" t="str"/>
      <x:c r="P878" s="72" t="str">
        <x:v>Available</x:v>
      </x:c>
      <x:c r="Q878" s="72" t="n">
        <x:v>0</x:v>
      </x:c>
      <x:c r="R878" s="55" t="str">
        <x:f>IF($D878="","",ROUND(MAX(0,MIN(100,0.35*$J878+0.2*$K878+0.15*$L878+0.15*$M878+0.1*$N878+0.05*$O878-IF(OR($P878="Out",$P878="Suspended"),$Q878,IF($P878="Doubtful",$Q878*0.5,IF($P878="Limited",$Q878*0.25,0))))),2))</x:f>
      </x:c>
      <x:c r="S878" s="55" t="n">
        <x:f>IF($D878="",0,ROUND(IF(OR($P878="Out",$P878="Suspended"),$Q878*$H878,IF($P878="Doubtful",$Q878*$H878*0.5,IF($P878="Limited",$Q878*$H878*0.25,0))),2))</x:f>
        <x:v>0</x:v>
      </x:c>
      <x:c r="T878" s="55" t="str"/>
      <x:c r="U878" s="51" t="str"/>
    </x:row>
    <x:row r="879">
      <x:c r="A879" s="51" t="str">
        <x:v>Iraq</x:v>
      </x:c>
      <x:c r="B879" s="51" t="str">
        <x:v>I</x:v>
      </x:c>
      <x:c r="C879" s="51" t="n">
        <x:v>17</x:v>
      </x:c>
      <x:c r="D879" s="71" t="str"/>
      <x:c r="E879" s="51" t="str">
        <x:v>AM</x:v>
      </x:c>
      <x:c r="F879" s="51" t="str">
        <x:v>Attack</x:v>
      </x:c>
      <x:c r="G879" s="51" t="str">
        <x:v>Rotation</x:v>
      </x:c>
      <x:c r="H879" s="55" t="n">
        <x:v>0.35</x:v>
      </x:c>
      <x:c r="I879" s="51" t="str"/>
      <x:c r="J879" s="72" t="str"/>
      <x:c r="K879" s="72" t="str"/>
      <x:c r="L879" s="72" t="str"/>
      <x:c r="M879" s="72" t="str"/>
      <x:c r="N879" s="72" t="str"/>
      <x:c r="O879" s="72" t="str"/>
      <x:c r="P879" s="72" t="str">
        <x:v>Available</x:v>
      </x:c>
      <x:c r="Q879" s="72" t="n">
        <x:v>0</x:v>
      </x:c>
      <x:c r="R879" s="55" t="str">
        <x:f>IF($D879="","",ROUND(MAX(0,MIN(100,0.35*$J879+0.2*$K879+0.15*$L879+0.15*$M879+0.1*$N879+0.05*$O879-IF(OR($P879="Out",$P879="Suspended"),$Q879,IF($P879="Doubtful",$Q879*0.5,IF($P879="Limited",$Q879*0.25,0))))),2))</x:f>
      </x:c>
      <x:c r="S879" s="55" t="n">
        <x:f>IF($D879="",0,ROUND(IF(OR($P879="Out",$P879="Suspended"),$Q879*$H879,IF($P879="Doubtful",$Q879*$H879*0.5,IF($P879="Limited",$Q879*$H879*0.25,0))),2))</x:f>
        <x:v>0</x:v>
      </x:c>
      <x:c r="T879" s="55" t="str"/>
      <x:c r="U879" s="51" t="str"/>
    </x:row>
    <x:row r="880">
      <x:c r="A880" s="51" t="str">
        <x:v>Iraq</x:v>
      </x:c>
      <x:c r="B880" s="51" t="str">
        <x:v>I</x:v>
      </x:c>
      <x:c r="C880" s="51" t="n">
        <x:v>18</x:v>
      </x:c>
      <x:c r="D880" s="71" t="str"/>
      <x:c r="E880" s="51" t="str">
        <x:v>AM</x:v>
      </x:c>
      <x:c r="F880" s="51" t="str">
        <x:v>Attack</x:v>
      </x:c>
      <x:c r="G880" s="51" t="str">
        <x:v>Rotation</x:v>
      </x:c>
      <x:c r="H880" s="55" t="n">
        <x:v>0.35</x:v>
      </x:c>
      <x:c r="I880" s="51" t="str"/>
      <x:c r="J880" s="72" t="str"/>
      <x:c r="K880" s="72" t="str"/>
      <x:c r="L880" s="72" t="str"/>
      <x:c r="M880" s="72" t="str"/>
      <x:c r="N880" s="72" t="str"/>
      <x:c r="O880" s="72" t="str"/>
      <x:c r="P880" s="72" t="str">
        <x:v>Available</x:v>
      </x:c>
      <x:c r="Q880" s="72" t="n">
        <x:v>0</x:v>
      </x:c>
      <x:c r="R880" s="55" t="str">
        <x:f>IF($D880="","",ROUND(MAX(0,MIN(100,0.35*$J880+0.2*$K880+0.15*$L880+0.15*$M880+0.1*$N880+0.05*$O880-IF(OR($P880="Out",$P880="Suspended"),$Q880,IF($P880="Doubtful",$Q880*0.5,IF($P880="Limited",$Q880*0.25,0))))),2))</x:f>
      </x:c>
      <x:c r="S880" s="55" t="n">
        <x:f>IF($D880="",0,ROUND(IF(OR($P880="Out",$P880="Suspended"),$Q880*$H880,IF($P880="Doubtful",$Q880*$H880*0.5,IF($P880="Limited",$Q880*$H880*0.25,0))),2))</x:f>
        <x:v>0</x:v>
      </x:c>
      <x:c r="T880" s="55" t="str"/>
      <x:c r="U880" s="51" t="str"/>
    </x:row>
    <x:row r="881">
      <x:c r="A881" s="51" t="str">
        <x:v>Iraq</x:v>
      </x:c>
      <x:c r="B881" s="51" t="str">
        <x:v>I</x:v>
      </x:c>
      <x:c r="C881" s="51" t="n">
        <x:v>19</x:v>
      </x:c>
      <x:c r="D881" s="71" t="str"/>
      <x:c r="E881" s="51" t="str">
        <x:v>AM</x:v>
      </x:c>
      <x:c r="F881" s="51" t="str">
        <x:v>Attack</x:v>
      </x:c>
      <x:c r="G881" s="51" t="str">
        <x:v>Rotation</x:v>
      </x:c>
      <x:c r="H881" s="55" t="n">
        <x:v>0.35</x:v>
      </x:c>
      <x:c r="I881" s="51" t="str"/>
      <x:c r="J881" s="72" t="str"/>
      <x:c r="K881" s="72" t="str"/>
      <x:c r="L881" s="72" t="str"/>
      <x:c r="M881" s="72" t="str"/>
      <x:c r="N881" s="72" t="str"/>
      <x:c r="O881" s="72" t="str"/>
      <x:c r="P881" s="72" t="str">
        <x:v>Available</x:v>
      </x:c>
      <x:c r="Q881" s="72" t="n">
        <x:v>0</x:v>
      </x:c>
      <x:c r="R881" s="55" t="str">
        <x:f>IF($D881="","",ROUND(MAX(0,MIN(100,0.35*$J881+0.2*$K881+0.15*$L881+0.15*$M881+0.1*$N881+0.05*$O881-IF(OR($P881="Out",$P881="Suspended"),$Q881,IF($P881="Doubtful",$Q881*0.5,IF($P881="Limited",$Q881*0.25,0))))),2))</x:f>
      </x:c>
      <x:c r="S881" s="55" t="n">
        <x:f>IF($D881="",0,ROUND(IF(OR($P881="Out",$P881="Suspended"),$Q881*$H881,IF($P881="Doubtful",$Q881*$H881*0.5,IF($P881="Limited",$Q881*$H881*0.25,0))),2))</x:f>
        <x:v>0</x:v>
      </x:c>
      <x:c r="T881" s="55" t="str"/>
      <x:c r="U881" s="51" t="str"/>
    </x:row>
    <x:row r="882">
      <x:c r="A882" s="51" t="str">
        <x:v>Iraq</x:v>
      </x:c>
      <x:c r="B882" s="51" t="str">
        <x:v>I</x:v>
      </x:c>
      <x:c r="C882" s="51" t="n">
        <x:v>20</x:v>
      </x:c>
      <x:c r="D882" s="71" t="str"/>
      <x:c r="E882" s="51" t="str">
        <x:v>Winger</x:v>
      </x:c>
      <x:c r="F882" s="51" t="str">
        <x:v>Attack</x:v>
      </x:c>
      <x:c r="G882" s="51" t="str">
        <x:v>Rotation</x:v>
      </x:c>
      <x:c r="H882" s="55" t="n">
        <x:v>0.35</x:v>
      </x:c>
      <x:c r="I882" s="51" t="str"/>
      <x:c r="J882" s="72" t="str"/>
      <x:c r="K882" s="72" t="str"/>
      <x:c r="L882" s="72" t="str"/>
      <x:c r="M882" s="72" t="str"/>
      <x:c r="N882" s="72" t="str"/>
      <x:c r="O882" s="72" t="str"/>
      <x:c r="P882" s="72" t="str">
        <x:v>Available</x:v>
      </x:c>
      <x:c r="Q882" s="72" t="n">
        <x:v>0</x:v>
      </x:c>
      <x:c r="R882" s="55" t="str">
        <x:f>IF($D882="","",ROUND(MAX(0,MIN(100,0.35*$J882+0.2*$K882+0.15*$L882+0.15*$M882+0.1*$N882+0.05*$O882-IF(OR($P882="Out",$P882="Suspended"),$Q882,IF($P882="Doubtful",$Q882*0.5,IF($P882="Limited",$Q882*0.25,0))))),2))</x:f>
      </x:c>
      <x:c r="S882" s="55" t="n">
        <x:f>IF($D882="",0,ROUND(IF(OR($P882="Out",$P882="Suspended"),$Q882*$H882,IF($P882="Doubtful",$Q882*$H882*0.5,IF($P882="Limited",$Q882*$H882*0.25,0))),2))</x:f>
        <x:v>0</x:v>
      </x:c>
      <x:c r="T882" s="55" t="str"/>
      <x:c r="U882" s="51" t="str"/>
    </x:row>
    <x:row r="883">
      <x:c r="A883" s="51" t="str">
        <x:v>Iraq</x:v>
      </x:c>
      <x:c r="B883" s="51" t="str">
        <x:v>I</x:v>
      </x:c>
      <x:c r="C883" s="51" t="n">
        <x:v>21</x:v>
      </x:c>
      <x:c r="D883" s="71" t="str"/>
      <x:c r="E883" s="51" t="str">
        <x:v>Winger</x:v>
      </x:c>
      <x:c r="F883" s="51" t="str">
        <x:v>Attack</x:v>
      </x:c>
      <x:c r="G883" s="51" t="str">
        <x:v>Depth</x:v>
      </x:c>
      <x:c r="H883" s="55" t="n">
        <x:v>0.1</x:v>
      </x:c>
      <x:c r="I883" s="51" t="str"/>
      <x:c r="J883" s="72" t="str"/>
      <x:c r="K883" s="72" t="str"/>
      <x:c r="L883" s="72" t="str"/>
      <x:c r="M883" s="72" t="str"/>
      <x:c r="N883" s="72" t="str"/>
      <x:c r="O883" s="72" t="str"/>
      <x:c r="P883" s="72" t="str">
        <x:v>Available</x:v>
      </x:c>
      <x:c r="Q883" s="72" t="n">
        <x:v>0</x:v>
      </x:c>
      <x:c r="R883" s="55" t="str">
        <x:f>IF($D883="","",ROUND(MAX(0,MIN(100,0.35*$J883+0.2*$K883+0.15*$L883+0.15*$M883+0.1*$N883+0.05*$O883-IF(OR($P883="Out",$P883="Suspended"),$Q883,IF($P883="Doubtful",$Q883*0.5,IF($P883="Limited",$Q883*0.25,0))))),2))</x:f>
      </x:c>
      <x:c r="S883" s="55" t="n">
        <x:f>IF($D883="",0,ROUND(IF(OR($P883="Out",$P883="Suspended"),$Q883*$H883,IF($P883="Doubtful",$Q883*$H883*0.5,IF($P883="Limited",$Q883*$H883*0.25,0))),2))</x:f>
        <x:v>0</x:v>
      </x:c>
      <x:c r="T883" s="55" t="str"/>
      <x:c r="U883" s="51" t="str"/>
    </x:row>
    <x:row r="884">
      <x:c r="A884" s="51" t="str">
        <x:v>Iraq</x:v>
      </x:c>
      <x:c r="B884" s="51" t="str">
        <x:v>I</x:v>
      </x:c>
      <x:c r="C884" s="51" t="n">
        <x:v>22</x:v>
      </x:c>
      <x:c r="D884" s="71" t="str"/>
      <x:c r="E884" s="51" t="str">
        <x:v>Winger</x:v>
      </x:c>
      <x:c r="F884" s="51" t="str">
        <x:v>Attack</x:v>
      </x:c>
      <x:c r="G884" s="51" t="str">
        <x:v>Depth</x:v>
      </x:c>
      <x:c r="H884" s="55" t="n">
        <x:v>0.1</x:v>
      </x:c>
      <x:c r="I884" s="51" t="str"/>
      <x:c r="J884" s="72" t="str"/>
      <x:c r="K884" s="72" t="str"/>
      <x:c r="L884" s="72" t="str"/>
      <x:c r="M884" s="72" t="str"/>
      <x:c r="N884" s="72" t="str"/>
      <x:c r="O884" s="72" t="str"/>
      <x:c r="P884" s="72" t="str">
        <x:v>Available</x:v>
      </x:c>
      <x:c r="Q884" s="72" t="n">
        <x:v>0</x:v>
      </x:c>
      <x:c r="R884" s="55" t="str">
        <x:f>IF($D884="","",ROUND(MAX(0,MIN(100,0.35*$J884+0.2*$K884+0.15*$L884+0.15*$M884+0.1*$N884+0.05*$O884-IF(OR($P884="Out",$P884="Suspended"),$Q884,IF($P884="Doubtful",$Q884*0.5,IF($P884="Limited",$Q884*0.25,0))))),2))</x:f>
      </x:c>
      <x:c r="S884" s="55" t="n">
        <x:f>IF($D884="",0,ROUND(IF(OR($P884="Out",$P884="Suspended"),$Q884*$H884,IF($P884="Doubtful",$Q884*$H884*0.5,IF($P884="Limited",$Q884*$H884*0.25,0))),2))</x:f>
        <x:v>0</x:v>
      </x:c>
      <x:c r="T884" s="55" t="str"/>
      <x:c r="U884" s="51" t="str"/>
    </x:row>
    <x:row r="885">
      <x:c r="A885" s="51" t="str">
        <x:v>Iraq</x:v>
      </x:c>
      <x:c r="B885" s="51" t="str">
        <x:v>I</x:v>
      </x:c>
      <x:c r="C885" s="51" t="n">
        <x:v>23</x:v>
      </x:c>
      <x:c r="D885" s="71" t="str"/>
      <x:c r="E885" s="51" t="str">
        <x:v>Winger</x:v>
      </x:c>
      <x:c r="F885" s="51" t="str">
        <x:v>Attack</x:v>
      </x:c>
      <x:c r="G885" s="51" t="str">
        <x:v>Depth</x:v>
      </x:c>
      <x:c r="H885" s="55" t="n">
        <x:v>0.1</x:v>
      </x:c>
      <x:c r="I885" s="51" t="str"/>
      <x:c r="J885" s="72" t="str"/>
      <x:c r="K885" s="72" t="str"/>
      <x:c r="L885" s="72" t="str"/>
      <x:c r="M885" s="72" t="str"/>
      <x:c r="N885" s="72" t="str"/>
      <x:c r="O885" s="72" t="str"/>
      <x:c r="P885" s="72" t="str">
        <x:v>Available</x:v>
      </x:c>
      <x:c r="Q885" s="72" t="n">
        <x:v>0</x:v>
      </x:c>
      <x:c r="R885" s="55" t="str">
        <x:f>IF($D885="","",ROUND(MAX(0,MIN(100,0.35*$J885+0.2*$K885+0.15*$L885+0.15*$M885+0.1*$N885+0.05*$O885-IF(OR($P885="Out",$P885="Suspended"),$Q885,IF($P885="Doubtful",$Q885*0.5,IF($P885="Limited",$Q885*0.25,0))))),2))</x:f>
      </x:c>
      <x:c r="S885" s="55" t="n">
        <x:f>IF($D885="",0,ROUND(IF(OR($P885="Out",$P885="Suspended"),$Q885*$H885,IF($P885="Doubtful",$Q885*$H885*0.5,IF($P885="Limited",$Q885*$H885*0.25,0))),2))</x:f>
        <x:v>0</x:v>
      </x:c>
      <x:c r="T885" s="55" t="str"/>
      <x:c r="U885" s="51" t="str"/>
    </x:row>
    <x:row r="886">
      <x:c r="A886" s="51" t="str">
        <x:v>Iraq</x:v>
      </x:c>
      <x:c r="B886" s="51" t="str">
        <x:v>I</x:v>
      </x:c>
      <x:c r="C886" s="51" t="n">
        <x:v>24</x:v>
      </x:c>
      <x:c r="D886" s="71" t="str"/>
      <x:c r="E886" s="51" t="str">
        <x:v>ST</x:v>
      </x:c>
      <x:c r="F886" s="51" t="str">
        <x:v>Attack</x:v>
      </x:c>
      <x:c r="G886" s="51" t="str">
        <x:v>Depth</x:v>
      </x:c>
      <x:c r="H886" s="55" t="n">
        <x:v>0.1</x:v>
      </x:c>
      <x:c r="I886" s="51" t="str"/>
      <x:c r="J886" s="72" t="str"/>
      <x:c r="K886" s="72" t="str"/>
      <x:c r="L886" s="72" t="str"/>
      <x:c r="M886" s="72" t="str"/>
      <x:c r="N886" s="72" t="str"/>
      <x:c r="O886" s="72" t="str"/>
      <x:c r="P886" s="72" t="str">
        <x:v>Available</x:v>
      </x:c>
      <x:c r="Q886" s="72" t="n">
        <x:v>0</x:v>
      </x:c>
      <x:c r="R886" s="55" t="str">
        <x:f>IF($D886="","",ROUND(MAX(0,MIN(100,0.35*$J886+0.2*$K886+0.15*$L886+0.15*$M886+0.1*$N886+0.05*$O886-IF(OR($P886="Out",$P886="Suspended"),$Q886,IF($P886="Doubtful",$Q886*0.5,IF($P886="Limited",$Q886*0.25,0))))),2))</x:f>
      </x:c>
      <x:c r="S886" s="55" t="n">
        <x:f>IF($D886="",0,ROUND(IF(OR($P886="Out",$P886="Suspended"),$Q886*$H886,IF($P886="Doubtful",$Q886*$H886*0.5,IF($P886="Limited",$Q886*$H886*0.25,0))),2))</x:f>
        <x:v>0</x:v>
      </x:c>
      <x:c r="T886" s="55" t="str"/>
      <x:c r="U886" s="51" t="str"/>
    </x:row>
    <x:row r="887">
      <x:c r="A887" s="51" t="str">
        <x:v>Iraq</x:v>
      </x:c>
      <x:c r="B887" s="51" t="str">
        <x:v>I</x:v>
      </x:c>
      <x:c r="C887" s="51" t="n">
        <x:v>25</x:v>
      </x:c>
      <x:c r="D887" s="71" t="str"/>
      <x:c r="E887" s="51" t="str">
        <x:v>ST</x:v>
      </x:c>
      <x:c r="F887" s="51" t="str">
        <x:v>Attack</x:v>
      </x:c>
      <x:c r="G887" s="51" t="str">
        <x:v>Depth</x:v>
      </x:c>
      <x:c r="H887" s="55" t="n">
        <x:v>0.1</x:v>
      </x:c>
      <x:c r="I887" s="51" t="str"/>
      <x:c r="J887" s="72" t="str"/>
      <x:c r="K887" s="72" t="str"/>
      <x:c r="L887" s="72" t="str"/>
      <x:c r="M887" s="72" t="str"/>
      <x:c r="N887" s="72" t="str"/>
      <x:c r="O887" s="72" t="str"/>
      <x:c r="P887" s="72" t="str">
        <x:v>Available</x:v>
      </x:c>
      <x:c r="Q887" s="72" t="n">
        <x:v>0</x:v>
      </x:c>
      <x:c r="R887" s="55" t="str">
        <x:f>IF($D887="","",ROUND(MAX(0,MIN(100,0.35*$J887+0.2*$K887+0.15*$L887+0.15*$M887+0.1*$N887+0.05*$O887-IF(OR($P887="Out",$P887="Suspended"),$Q887,IF($P887="Doubtful",$Q887*0.5,IF($P887="Limited",$Q887*0.25,0))))),2))</x:f>
      </x:c>
      <x:c r="S887" s="55" t="n">
        <x:f>IF($D887="",0,ROUND(IF(OR($P887="Out",$P887="Suspended"),$Q887*$H887,IF($P887="Doubtful",$Q887*$H887*0.5,IF($P887="Limited",$Q887*$H887*0.25,0))),2))</x:f>
        <x:v>0</x:v>
      </x:c>
      <x:c r="T887" s="55" t="str"/>
      <x:c r="U887" s="51" t="str"/>
    </x:row>
    <x:row r="888">
      <x:c r="A888" s="51" t="str">
        <x:v>Iraq</x:v>
      </x:c>
      <x:c r="B888" s="51" t="str">
        <x:v>I</x:v>
      </x:c>
      <x:c r="C888" s="51" t="n">
        <x:v>26</x:v>
      </x:c>
      <x:c r="D888" s="71" t="str"/>
      <x:c r="E888" s="51" t="str">
        <x:v>ST</x:v>
      </x:c>
      <x:c r="F888" s="51" t="str">
        <x:v>Attack</x:v>
      </x:c>
      <x:c r="G888" s="51" t="str">
        <x:v>Depth</x:v>
      </x:c>
      <x:c r="H888" s="55" t="n">
        <x:v>0.1</x:v>
      </x:c>
      <x:c r="I888" s="51" t="str"/>
      <x:c r="J888" s="72" t="str"/>
      <x:c r="K888" s="72" t="str"/>
      <x:c r="L888" s="72" t="str"/>
      <x:c r="M888" s="72" t="str"/>
      <x:c r="N888" s="72" t="str"/>
      <x:c r="O888" s="72" t="str"/>
      <x:c r="P888" s="72" t="str">
        <x:v>Available</x:v>
      </x:c>
      <x:c r="Q888" s="72" t="n">
        <x:v>0</x:v>
      </x:c>
      <x:c r="R888" s="55" t="str">
        <x:f>IF($D888="","",ROUND(MAX(0,MIN(100,0.35*$J888+0.2*$K888+0.15*$L888+0.15*$M888+0.1*$N888+0.05*$O888-IF(OR($P888="Out",$P888="Suspended"),$Q888,IF($P888="Doubtful",$Q888*0.5,IF($P888="Limited",$Q888*0.25,0))))),2))</x:f>
      </x:c>
      <x:c r="S888" s="55" t="n">
        <x:f>IF($D888="",0,ROUND(IF(OR($P888="Out",$P888="Suspended"),$Q888*$H888,IF($P888="Doubtful",$Q888*$H888*0.5,IF($P888="Limited",$Q888*$H888*0.25,0))),2))</x:f>
        <x:v>0</x:v>
      </x:c>
      <x:c r="T888" s="55" t="str"/>
      <x:c r="U888" s="51" t="str"/>
    </x:row>
    <x:row r="889">
      <x:c r="A889" s="51" t="str">
        <x:v>Norway</x:v>
      </x:c>
      <x:c r="B889" s="51" t="str">
        <x:v>I</x:v>
      </x:c>
      <x:c r="C889" s="51" t="n">
        <x:v>1</x:v>
      </x:c>
      <x:c r="D889" s="71" t="str"/>
      <x:c r="E889" s="51" t="str">
        <x:v>GK</x:v>
      </x:c>
      <x:c r="F889" s="51" t="str">
        <x:v>GK</x:v>
      </x:c>
      <x:c r="G889" s="51" t="str">
        <x:v>Starter</x:v>
      </x:c>
      <x:c r="H889" s="55" t="n">
        <x:v>1</x:v>
      </x:c>
      <x:c r="I889" s="51" t="str"/>
      <x:c r="J889" s="72" t="str"/>
      <x:c r="K889" s="72" t="str"/>
      <x:c r="L889" s="72" t="str"/>
      <x:c r="M889" s="72" t="str"/>
      <x:c r="N889" s="72" t="str"/>
      <x:c r="O889" s="72" t="str"/>
      <x:c r="P889" s="72" t="str">
        <x:v>Available</x:v>
      </x:c>
      <x:c r="Q889" s="72" t="n">
        <x:v>0</x:v>
      </x:c>
      <x:c r="R889" s="55" t="str">
        <x:f>IF($D889="","",ROUND(MAX(0,MIN(100,0.35*$J889+0.2*$K889+0.15*$L889+0.15*$M889+0.1*$N889+0.05*$O889-IF(OR($P889="Out",$P889="Suspended"),$Q889,IF($P889="Doubtful",$Q889*0.5,IF($P889="Limited",$Q889*0.25,0))))),2))</x:f>
      </x:c>
      <x:c r="S889" s="55" t="n">
        <x:f>IF($D889="",0,ROUND(IF(OR($P889="Out",$P889="Suspended"),$Q889*$H889,IF($P889="Doubtful",$Q889*$H889*0.5,IF($P889="Limited",$Q889*$H889*0.25,0))),2))</x:f>
        <x:v>0</x:v>
      </x:c>
      <x:c r="T889" s="55" t="str"/>
      <x:c r="U889" s="51" t="str"/>
    </x:row>
    <x:row r="890">
      <x:c r="A890" s="51" t="str">
        <x:v>Norway</x:v>
      </x:c>
      <x:c r="B890" s="51" t="str">
        <x:v>I</x:v>
      </x:c>
      <x:c r="C890" s="51" t="n">
        <x:v>2</x:v>
      </x:c>
      <x:c r="D890" s="71" t="str"/>
      <x:c r="E890" s="51" t="str">
        <x:v>GK</x:v>
      </x:c>
      <x:c r="F890" s="51" t="str">
        <x:v>GK</x:v>
      </x:c>
      <x:c r="G890" s="51" t="str">
        <x:v>Starter</x:v>
      </x:c>
      <x:c r="H890" s="55" t="n">
        <x:v>1</x:v>
      </x:c>
      <x:c r="I890" s="51" t="str"/>
      <x:c r="J890" s="72" t="str"/>
      <x:c r="K890" s="72" t="str"/>
      <x:c r="L890" s="72" t="str"/>
      <x:c r="M890" s="72" t="str"/>
      <x:c r="N890" s="72" t="str"/>
      <x:c r="O890" s="72" t="str"/>
      <x:c r="P890" s="72" t="str">
        <x:v>Available</x:v>
      </x:c>
      <x:c r="Q890" s="72" t="n">
        <x:v>0</x:v>
      </x:c>
      <x:c r="R890" s="55" t="str">
        <x:f>IF($D890="","",ROUND(MAX(0,MIN(100,0.35*$J890+0.2*$K890+0.15*$L890+0.15*$M890+0.1*$N890+0.05*$O890-IF(OR($P890="Out",$P890="Suspended"),$Q890,IF($P890="Doubtful",$Q890*0.5,IF($P890="Limited",$Q890*0.25,0))))),2))</x:f>
      </x:c>
      <x:c r="S890" s="55" t="n">
        <x:f>IF($D890="",0,ROUND(IF(OR($P890="Out",$P890="Suspended"),$Q890*$H890,IF($P890="Doubtful",$Q890*$H890*0.5,IF($P890="Limited",$Q890*$H890*0.25,0))),2))</x:f>
        <x:v>0</x:v>
      </x:c>
      <x:c r="T890" s="55" t="str"/>
      <x:c r="U890" s="51" t="str"/>
    </x:row>
    <x:row r="891">
      <x:c r="A891" s="51" t="str">
        <x:v>Norway</x:v>
      </x:c>
      <x:c r="B891" s="51" t="str">
        <x:v>I</x:v>
      </x:c>
      <x:c r="C891" s="51" t="n">
        <x:v>3</x:v>
      </x:c>
      <x:c r="D891" s="71" t="str"/>
      <x:c r="E891" s="51" t="str">
        <x:v>GK</x:v>
      </x:c>
      <x:c r="F891" s="51" t="str">
        <x:v>GK</x:v>
      </x:c>
      <x:c r="G891" s="51" t="str">
        <x:v>Starter</x:v>
      </x:c>
      <x:c r="H891" s="55" t="n">
        <x:v>1</x:v>
      </x:c>
      <x:c r="I891" s="51" t="str"/>
      <x:c r="J891" s="72" t="str"/>
      <x:c r="K891" s="72" t="str"/>
      <x:c r="L891" s="72" t="str"/>
      <x:c r="M891" s="72" t="str"/>
      <x:c r="N891" s="72" t="str"/>
      <x:c r="O891" s="72" t="str"/>
      <x:c r="P891" s="72" t="str">
        <x:v>Available</x:v>
      </x:c>
      <x:c r="Q891" s="72" t="n">
        <x:v>0</x:v>
      </x:c>
      <x:c r="R891" s="55" t="str">
        <x:f>IF($D891="","",ROUND(MAX(0,MIN(100,0.35*$J891+0.2*$K891+0.15*$L891+0.15*$M891+0.1*$N891+0.05*$O891-IF(OR($P891="Out",$P891="Suspended"),$Q891,IF($P891="Doubtful",$Q891*0.5,IF($P891="Limited",$Q891*0.25,0))))),2))</x:f>
      </x:c>
      <x:c r="S891" s="55" t="n">
        <x:f>IF($D891="",0,ROUND(IF(OR($P891="Out",$P891="Suspended"),$Q891*$H891,IF($P891="Doubtful",$Q891*$H891*0.5,IF($P891="Limited",$Q891*$H891*0.25,0))),2))</x:f>
        <x:v>0</x:v>
      </x:c>
      <x:c r="T891" s="55" t="str"/>
      <x:c r="U891" s="51" t="str"/>
    </x:row>
    <x:row r="892">
      <x:c r="A892" s="51" t="str">
        <x:v>Norway</x:v>
      </x:c>
      <x:c r="B892" s="51" t="str">
        <x:v>I</x:v>
      </x:c>
      <x:c r="C892" s="51" t="n">
        <x:v>4</x:v>
      </x:c>
      <x:c r="D892" s="71" t="str"/>
      <x:c r="E892" s="51" t="str">
        <x:v>CB</x:v>
      </x:c>
      <x:c r="F892" s="51" t="str">
        <x:v>Defence</x:v>
      </x:c>
      <x:c r="G892" s="51" t="str">
        <x:v>Starter</x:v>
      </x:c>
      <x:c r="H892" s="55" t="n">
        <x:v>1</x:v>
      </x:c>
      <x:c r="I892" s="51" t="str"/>
      <x:c r="J892" s="72" t="str"/>
      <x:c r="K892" s="72" t="str"/>
      <x:c r="L892" s="72" t="str"/>
      <x:c r="M892" s="72" t="str"/>
      <x:c r="N892" s="72" t="str"/>
      <x:c r="O892" s="72" t="str"/>
      <x:c r="P892" s="72" t="str">
        <x:v>Available</x:v>
      </x:c>
      <x:c r="Q892" s="72" t="n">
        <x:v>0</x:v>
      </x:c>
      <x:c r="R892" s="55" t="str">
        <x:f>IF($D892="","",ROUND(MAX(0,MIN(100,0.35*$J892+0.2*$K892+0.15*$L892+0.15*$M892+0.1*$N892+0.05*$O892-IF(OR($P892="Out",$P892="Suspended"),$Q892,IF($P892="Doubtful",$Q892*0.5,IF($P892="Limited",$Q892*0.25,0))))),2))</x:f>
      </x:c>
      <x:c r="S892" s="55" t="n">
        <x:f>IF($D892="",0,ROUND(IF(OR($P892="Out",$P892="Suspended"),$Q892*$H892,IF($P892="Doubtful",$Q892*$H892*0.5,IF($P892="Limited",$Q892*$H892*0.25,0))),2))</x:f>
        <x:v>0</x:v>
      </x:c>
      <x:c r="T892" s="55" t="str"/>
      <x:c r="U892" s="51" t="str"/>
    </x:row>
    <x:row r="893">
      <x:c r="A893" s="51" t="str">
        <x:v>Norway</x:v>
      </x:c>
      <x:c r="B893" s="51" t="str">
        <x:v>I</x:v>
      </x:c>
      <x:c r="C893" s="51" t="n">
        <x:v>5</x:v>
      </x:c>
      <x:c r="D893" s="71" t="str"/>
      <x:c r="E893" s="51" t="str">
        <x:v>CB</x:v>
      </x:c>
      <x:c r="F893" s="51" t="str">
        <x:v>Defence</x:v>
      </x:c>
      <x:c r="G893" s="51" t="str">
        <x:v>Starter</x:v>
      </x:c>
      <x:c r="H893" s="55" t="n">
        <x:v>1</x:v>
      </x:c>
      <x:c r="I893" s="51" t="str"/>
      <x:c r="J893" s="72" t="str"/>
      <x:c r="K893" s="72" t="str"/>
      <x:c r="L893" s="72" t="str"/>
      <x:c r="M893" s="72" t="str"/>
      <x:c r="N893" s="72" t="str"/>
      <x:c r="O893" s="72" t="str"/>
      <x:c r="P893" s="72" t="str">
        <x:v>Available</x:v>
      </x:c>
      <x:c r="Q893" s="72" t="n">
        <x:v>0</x:v>
      </x:c>
      <x:c r="R893" s="55" t="str">
        <x:f>IF($D893="","",ROUND(MAX(0,MIN(100,0.35*$J893+0.2*$K893+0.15*$L893+0.15*$M893+0.1*$N893+0.05*$O893-IF(OR($P893="Out",$P893="Suspended"),$Q893,IF($P893="Doubtful",$Q893*0.5,IF($P893="Limited",$Q893*0.25,0))))),2))</x:f>
      </x:c>
      <x:c r="S893" s="55" t="n">
        <x:f>IF($D893="",0,ROUND(IF(OR($P893="Out",$P893="Suspended"),$Q893*$H893,IF($P893="Doubtful",$Q893*$H893*0.5,IF($P893="Limited",$Q893*$H893*0.25,0))),2))</x:f>
        <x:v>0</x:v>
      </x:c>
      <x:c r="T893" s="55" t="str"/>
      <x:c r="U893" s="51" t="str"/>
    </x:row>
    <x:row r="894">
      <x:c r="A894" s="51" t="str">
        <x:v>Norway</x:v>
      </x:c>
      <x:c r="B894" s="51" t="str">
        <x:v>I</x:v>
      </x:c>
      <x:c r="C894" s="51" t="n">
        <x:v>6</x:v>
      </x:c>
      <x:c r="D894" s="71" t="str"/>
      <x:c r="E894" s="51" t="str">
        <x:v>CB</x:v>
      </x:c>
      <x:c r="F894" s="51" t="str">
        <x:v>Defence</x:v>
      </x:c>
      <x:c r="G894" s="51" t="str">
        <x:v>Starter</x:v>
      </x:c>
      <x:c r="H894" s="55" t="n">
        <x:v>1</x:v>
      </x:c>
      <x:c r="I894" s="51" t="str"/>
      <x:c r="J894" s="72" t="str"/>
      <x:c r="K894" s="72" t="str"/>
      <x:c r="L894" s="72" t="str"/>
      <x:c r="M894" s="72" t="str"/>
      <x:c r="N894" s="72" t="str"/>
      <x:c r="O894" s="72" t="str"/>
      <x:c r="P894" s="72" t="str">
        <x:v>Available</x:v>
      </x:c>
      <x:c r="Q894" s="72" t="n">
        <x:v>0</x:v>
      </x:c>
      <x:c r="R894" s="55" t="str">
        <x:f>IF($D894="","",ROUND(MAX(0,MIN(100,0.35*$J894+0.2*$K894+0.15*$L894+0.15*$M894+0.1*$N894+0.05*$O894-IF(OR($P894="Out",$P894="Suspended"),$Q894,IF($P894="Doubtful",$Q894*0.5,IF($P894="Limited",$Q894*0.25,0))))),2))</x:f>
      </x:c>
      <x:c r="S894" s="55" t="n">
        <x:f>IF($D894="",0,ROUND(IF(OR($P894="Out",$P894="Suspended"),$Q894*$H894,IF($P894="Doubtful",$Q894*$H894*0.5,IF($P894="Limited",$Q894*$H894*0.25,0))),2))</x:f>
        <x:v>0</x:v>
      </x:c>
      <x:c r="T894" s="55" t="str"/>
      <x:c r="U894" s="51" t="str"/>
    </x:row>
    <x:row r="895">
      <x:c r="A895" s="51" t="str">
        <x:v>Norway</x:v>
      </x:c>
      <x:c r="B895" s="51" t="str">
        <x:v>I</x:v>
      </x:c>
      <x:c r="C895" s="51" t="n">
        <x:v>7</x:v>
      </x:c>
      <x:c r="D895" s="71" t="str"/>
      <x:c r="E895" s="51" t="str">
        <x:v>FB</x:v>
      </x:c>
      <x:c r="F895" s="51" t="str">
        <x:v>Defence</x:v>
      </x:c>
      <x:c r="G895" s="51" t="str">
        <x:v>Starter</x:v>
      </x:c>
      <x:c r="H895" s="55" t="n">
        <x:v>1</x:v>
      </x:c>
      <x:c r="I895" s="51" t="str"/>
      <x:c r="J895" s="72" t="str"/>
      <x:c r="K895" s="72" t="str"/>
      <x:c r="L895" s="72" t="str"/>
      <x:c r="M895" s="72" t="str"/>
      <x:c r="N895" s="72" t="str"/>
      <x:c r="O895" s="72" t="str"/>
      <x:c r="P895" s="72" t="str">
        <x:v>Available</x:v>
      </x:c>
      <x:c r="Q895" s="72" t="n">
        <x:v>0</x:v>
      </x:c>
      <x:c r="R895" s="55" t="str">
        <x:f>IF($D895="","",ROUND(MAX(0,MIN(100,0.35*$J895+0.2*$K895+0.15*$L895+0.15*$M895+0.1*$N895+0.05*$O895-IF(OR($P895="Out",$P895="Suspended"),$Q895,IF($P895="Doubtful",$Q895*0.5,IF($P895="Limited",$Q895*0.25,0))))),2))</x:f>
      </x:c>
      <x:c r="S895" s="55" t="n">
        <x:f>IF($D895="",0,ROUND(IF(OR($P895="Out",$P895="Suspended"),$Q895*$H895,IF($P895="Doubtful",$Q895*$H895*0.5,IF($P895="Limited",$Q895*$H895*0.25,0))),2))</x:f>
        <x:v>0</x:v>
      </x:c>
      <x:c r="T895" s="55" t="str"/>
      <x:c r="U895" s="51" t="str"/>
    </x:row>
    <x:row r="896">
      <x:c r="A896" s="51" t="str">
        <x:v>Norway</x:v>
      </x:c>
      <x:c r="B896" s="51" t="str">
        <x:v>I</x:v>
      </x:c>
      <x:c r="C896" s="51" t="n">
        <x:v>8</x:v>
      </x:c>
      <x:c r="D896" s="71" t="str"/>
      <x:c r="E896" s="51" t="str">
        <x:v>FB</x:v>
      </x:c>
      <x:c r="F896" s="51" t="str">
        <x:v>Defence</x:v>
      </x:c>
      <x:c r="G896" s="51" t="str">
        <x:v>Starter</x:v>
      </x:c>
      <x:c r="H896" s="55" t="n">
        <x:v>1</x:v>
      </x:c>
      <x:c r="I896" s="51" t="str"/>
      <x:c r="J896" s="72" t="str"/>
      <x:c r="K896" s="72" t="str"/>
      <x:c r="L896" s="72" t="str"/>
      <x:c r="M896" s="72" t="str"/>
      <x:c r="N896" s="72" t="str"/>
      <x:c r="O896" s="72" t="str"/>
      <x:c r="P896" s="72" t="str">
        <x:v>Available</x:v>
      </x:c>
      <x:c r="Q896" s="72" t="n">
        <x:v>0</x:v>
      </x:c>
      <x:c r="R896" s="55" t="str">
        <x:f>IF($D896="","",ROUND(MAX(0,MIN(100,0.35*$J896+0.2*$K896+0.15*$L896+0.15*$M896+0.1*$N896+0.05*$O896-IF(OR($P896="Out",$P896="Suspended"),$Q896,IF($P896="Doubtful",$Q896*0.5,IF($P896="Limited",$Q896*0.25,0))))),2))</x:f>
      </x:c>
      <x:c r="S896" s="55" t="n">
        <x:f>IF($D896="",0,ROUND(IF(OR($P896="Out",$P896="Suspended"),$Q896*$H896,IF($P896="Doubtful",$Q896*$H896*0.5,IF($P896="Limited",$Q896*$H896*0.25,0))),2))</x:f>
        <x:v>0</x:v>
      </x:c>
      <x:c r="T896" s="55" t="str"/>
      <x:c r="U896" s="51" t="str"/>
    </x:row>
    <x:row r="897">
      <x:c r="A897" s="51" t="str">
        <x:v>Norway</x:v>
      </x:c>
      <x:c r="B897" s="51" t="str">
        <x:v>I</x:v>
      </x:c>
      <x:c r="C897" s="51" t="n">
        <x:v>9</x:v>
      </x:c>
      <x:c r="D897" s="71" t="str"/>
      <x:c r="E897" s="51" t="str">
        <x:v>DM</x:v>
      </x:c>
      <x:c r="F897" s="51" t="str">
        <x:v>Midfield</x:v>
      </x:c>
      <x:c r="G897" s="51" t="str">
        <x:v>Starter</x:v>
      </x:c>
      <x:c r="H897" s="55" t="n">
        <x:v>1</x:v>
      </x:c>
      <x:c r="I897" s="51" t="str"/>
      <x:c r="J897" s="72" t="str"/>
      <x:c r="K897" s="72" t="str"/>
      <x:c r="L897" s="72" t="str"/>
      <x:c r="M897" s="72" t="str"/>
      <x:c r="N897" s="72" t="str"/>
      <x:c r="O897" s="72" t="str"/>
      <x:c r="P897" s="72" t="str">
        <x:v>Available</x:v>
      </x:c>
      <x:c r="Q897" s="72" t="n">
        <x:v>0</x:v>
      </x:c>
      <x:c r="R897" s="55" t="str">
        <x:f>IF($D897="","",ROUND(MAX(0,MIN(100,0.35*$J897+0.2*$K897+0.15*$L897+0.15*$M897+0.1*$N897+0.05*$O897-IF(OR($P897="Out",$P897="Suspended"),$Q897,IF($P897="Doubtful",$Q897*0.5,IF($P897="Limited",$Q897*0.25,0))))),2))</x:f>
      </x:c>
      <x:c r="S897" s="55" t="n">
        <x:f>IF($D897="",0,ROUND(IF(OR($P897="Out",$P897="Suspended"),$Q897*$H897,IF($P897="Doubtful",$Q897*$H897*0.5,IF($P897="Limited",$Q897*$H897*0.25,0))),2))</x:f>
        <x:v>0</x:v>
      </x:c>
      <x:c r="T897" s="55" t="str"/>
      <x:c r="U897" s="51" t="str"/>
    </x:row>
    <x:row r="898">
      <x:c r="A898" s="51" t="str">
        <x:v>Norway</x:v>
      </x:c>
      <x:c r="B898" s="51" t="str">
        <x:v>I</x:v>
      </x:c>
      <x:c r="C898" s="51" t="n">
        <x:v>10</x:v>
      </x:c>
      <x:c r="D898" s="71" t="str"/>
      <x:c r="E898" s="51" t="str">
        <x:v>DM</x:v>
      </x:c>
      <x:c r="F898" s="51" t="str">
        <x:v>Midfield</x:v>
      </x:c>
      <x:c r="G898" s="51" t="str">
        <x:v>Starter</x:v>
      </x:c>
      <x:c r="H898" s="55" t="n">
        <x:v>1</x:v>
      </x:c>
      <x:c r="I898" s="51" t="str"/>
      <x:c r="J898" s="72" t="str"/>
      <x:c r="K898" s="72" t="str"/>
      <x:c r="L898" s="72" t="str"/>
      <x:c r="M898" s="72" t="str"/>
      <x:c r="N898" s="72" t="str"/>
      <x:c r="O898" s="72" t="str"/>
      <x:c r="P898" s="72" t="str">
        <x:v>Available</x:v>
      </x:c>
      <x:c r="Q898" s="72" t="n">
        <x:v>0</x:v>
      </x:c>
      <x:c r="R898" s="55" t="str">
        <x:f>IF($D898="","",ROUND(MAX(0,MIN(100,0.35*$J898+0.2*$K898+0.15*$L898+0.15*$M898+0.1*$N898+0.05*$O898-IF(OR($P898="Out",$P898="Suspended"),$Q898,IF($P898="Doubtful",$Q898*0.5,IF($P898="Limited",$Q898*0.25,0))))),2))</x:f>
      </x:c>
      <x:c r="S898" s="55" t="n">
        <x:f>IF($D898="",0,ROUND(IF(OR($P898="Out",$P898="Suspended"),$Q898*$H898,IF($P898="Doubtful",$Q898*$H898*0.5,IF($P898="Limited",$Q898*$H898*0.25,0))),2))</x:f>
        <x:v>0</x:v>
      </x:c>
      <x:c r="T898" s="55" t="str"/>
      <x:c r="U898" s="51" t="str"/>
    </x:row>
    <x:row r="899">
      <x:c r="A899" s="51" t="str">
        <x:v>Norway</x:v>
      </x:c>
      <x:c r="B899" s="51" t="str">
        <x:v>I</x:v>
      </x:c>
      <x:c r="C899" s="51" t="n">
        <x:v>11</x:v>
      </x:c>
      <x:c r="D899" s="71" t="str"/>
      <x:c r="E899" s="51" t="str">
        <x:v>DM</x:v>
      </x:c>
      <x:c r="F899" s="51" t="str">
        <x:v>Midfield</x:v>
      </x:c>
      <x:c r="G899" s="51" t="str">
        <x:v>Starter</x:v>
      </x:c>
      <x:c r="H899" s="55" t="n">
        <x:v>1</x:v>
      </x:c>
      <x:c r="I899" s="51" t="str"/>
      <x:c r="J899" s="72" t="str"/>
      <x:c r="K899" s="72" t="str"/>
      <x:c r="L899" s="72" t="str"/>
      <x:c r="M899" s="72" t="str"/>
      <x:c r="N899" s="72" t="str"/>
      <x:c r="O899" s="72" t="str"/>
      <x:c r="P899" s="72" t="str">
        <x:v>Available</x:v>
      </x:c>
      <x:c r="Q899" s="72" t="n">
        <x:v>0</x:v>
      </x:c>
      <x:c r="R899" s="55" t="str">
        <x:f>IF($D899="","",ROUND(MAX(0,MIN(100,0.35*$J899+0.2*$K899+0.15*$L899+0.15*$M899+0.1*$N899+0.05*$O899-IF(OR($P899="Out",$P899="Suspended"),$Q899,IF($P899="Doubtful",$Q899*0.5,IF($P899="Limited",$Q899*0.25,0))))),2))</x:f>
      </x:c>
      <x:c r="S899" s="55" t="n">
        <x:f>IF($D899="",0,ROUND(IF(OR($P899="Out",$P899="Suspended"),$Q899*$H899,IF($P899="Doubtful",$Q899*$H899*0.5,IF($P899="Limited",$Q899*$H899*0.25,0))),2))</x:f>
        <x:v>0</x:v>
      </x:c>
      <x:c r="T899" s="55" t="str"/>
      <x:c r="U899" s="51" t="str"/>
    </x:row>
    <x:row r="900">
      <x:c r="A900" s="51" t="str">
        <x:v>Norway</x:v>
      </x:c>
      <x:c r="B900" s="51" t="str">
        <x:v>I</x:v>
      </x:c>
      <x:c r="C900" s="51" t="n">
        <x:v>12</x:v>
      </x:c>
      <x:c r="D900" s="71" t="str"/>
      <x:c r="E900" s="51" t="str">
        <x:v>CM</x:v>
      </x:c>
      <x:c r="F900" s="51" t="str">
        <x:v>Midfield</x:v>
      </x:c>
      <x:c r="G900" s="51" t="str">
        <x:v>Rotation</x:v>
      </x:c>
      <x:c r="H900" s="55" t="n">
        <x:v>0.35</x:v>
      </x:c>
      <x:c r="I900" s="51" t="str"/>
      <x:c r="J900" s="72" t="str"/>
      <x:c r="K900" s="72" t="str"/>
      <x:c r="L900" s="72" t="str"/>
      <x:c r="M900" s="72" t="str"/>
      <x:c r="N900" s="72" t="str"/>
      <x:c r="O900" s="72" t="str"/>
      <x:c r="P900" s="72" t="str">
        <x:v>Available</x:v>
      </x:c>
      <x:c r="Q900" s="72" t="n">
        <x:v>0</x:v>
      </x:c>
      <x:c r="R900" s="55" t="str">
        <x:f>IF($D900="","",ROUND(MAX(0,MIN(100,0.35*$J900+0.2*$K900+0.15*$L900+0.15*$M900+0.1*$N900+0.05*$O900-IF(OR($P900="Out",$P900="Suspended"),$Q900,IF($P900="Doubtful",$Q900*0.5,IF($P900="Limited",$Q900*0.25,0))))),2))</x:f>
      </x:c>
      <x:c r="S900" s="55" t="n">
        <x:f>IF($D900="",0,ROUND(IF(OR($P900="Out",$P900="Suspended"),$Q900*$H900,IF($P900="Doubtful",$Q900*$H900*0.5,IF($P900="Limited",$Q900*$H900*0.25,0))),2))</x:f>
        <x:v>0</x:v>
      </x:c>
      <x:c r="T900" s="55" t="str"/>
      <x:c r="U900" s="51" t="str"/>
    </x:row>
    <x:row r="901">
      <x:c r="A901" s="51" t="str">
        <x:v>Norway</x:v>
      </x:c>
      <x:c r="B901" s="51" t="str">
        <x:v>I</x:v>
      </x:c>
      <x:c r="C901" s="51" t="n">
        <x:v>13</x:v>
      </x:c>
      <x:c r="D901" s="71" t="str"/>
      <x:c r="E901" s="51" t="str">
        <x:v>CM</x:v>
      </x:c>
      <x:c r="F901" s="51" t="str">
        <x:v>Midfield</x:v>
      </x:c>
      <x:c r="G901" s="51" t="str">
        <x:v>Rotation</x:v>
      </x:c>
      <x:c r="H901" s="55" t="n">
        <x:v>0.35</x:v>
      </x:c>
      <x:c r="I901" s="51" t="str"/>
      <x:c r="J901" s="72" t="str"/>
      <x:c r="K901" s="72" t="str"/>
      <x:c r="L901" s="72" t="str"/>
      <x:c r="M901" s="72" t="str"/>
      <x:c r="N901" s="72" t="str"/>
      <x:c r="O901" s="72" t="str"/>
      <x:c r="P901" s="72" t="str">
        <x:v>Available</x:v>
      </x:c>
      <x:c r="Q901" s="72" t="n">
        <x:v>0</x:v>
      </x:c>
      <x:c r="R901" s="55" t="str">
        <x:f>IF($D901="","",ROUND(MAX(0,MIN(100,0.35*$J901+0.2*$K901+0.15*$L901+0.15*$M901+0.1*$N901+0.05*$O901-IF(OR($P901="Out",$P901="Suspended"),$Q901,IF($P901="Doubtful",$Q901*0.5,IF($P901="Limited",$Q901*0.25,0))))),2))</x:f>
      </x:c>
      <x:c r="S901" s="55" t="n">
        <x:f>IF($D901="",0,ROUND(IF(OR($P901="Out",$P901="Suspended"),$Q901*$H901,IF($P901="Doubtful",$Q901*$H901*0.5,IF($P901="Limited",$Q901*$H901*0.25,0))),2))</x:f>
        <x:v>0</x:v>
      </x:c>
      <x:c r="T901" s="55" t="str"/>
      <x:c r="U901" s="51" t="str"/>
    </x:row>
    <x:row r="902">
      <x:c r="A902" s="51" t="str">
        <x:v>Norway</x:v>
      </x:c>
      <x:c r="B902" s="51" t="str">
        <x:v>I</x:v>
      </x:c>
      <x:c r="C902" s="51" t="n">
        <x:v>14</x:v>
      </x:c>
      <x:c r="D902" s="71" t="str"/>
      <x:c r="E902" s="51" t="str">
        <x:v>CM</x:v>
      </x:c>
      <x:c r="F902" s="51" t="str">
        <x:v>Midfield</x:v>
      </x:c>
      <x:c r="G902" s="51" t="str">
        <x:v>Rotation</x:v>
      </x:c>
      <x:c r="H902" s="55" t="n">
        <x:v>0.35</x:v>
      </x:c>
      <x:c r="I902" s="51" t="str"/>
      <x:c r="J902" s="72" t="str"/>
      <x:c r="K902" s="72" t="str"/>
      <x:c r="L902" s="72" t="str"/>
      <x:c r="M902" s="72" t="str"/>
      <x:c r="N902" s="72" t="str"/>
      <x:c r="O902" s="72" t="str"/>
      <x:c r="P902" s="72" t="str">
        <x:v>Available</x:v>
      </x:c>
      <x:c r="Q902" s="72" t="n">
        <x:v>0</x:v>
      </x:c>
      <x:c r="R902" s="55" t="str">
        <x:f>IF($D902="","",ROUND(MAX(0,MIN(100,0.35*$J902+0.2*$K902+0.15*$L902+0.15*$M902+0.1*$N902+0.05*$O902-IF(OR($P902="Out",$P902="Suspended"),$Q902,IF($P902="Doubtful",$Q902*0.5,IF($P902="Limited",$Q902*0.25,0))))),2))</x:f>
      </x:c>
      <x:c r="S902" s="55" t="n">
        <x:f>IF($D902="",0,ROUND(IF(OR($P902="Out",$P902="Suspended"),$Q902*$H902,IF($P902="Doubtful",$Q902*$H902*0.5,IF($P902="Limited",$Q902*$H902*0.25,0))),2))</x:f>
        <x:v>0</x:v>
      </x:c>
      <x:c r="T902" s="55" t="str"/>
      <x:c r="U902" s="51" t="str"/>
    </x:row>
    <x:row r="903">
      <x:c r="A903" s="51" t="str">
        <x:v>Norway</x:v>
      </x:c>
      <x:c r="B903" s="51" t="str">
        <x:v>I</x:v>
      </x:c>
      <x:c r="C903" s="51" t="n">
        <x:v>15</x:v>
      </x:c>
      <x:c r="D903" s="71" t="str"/>
      <x:c r="E903" s="51" t="str">
        <x:v>CM</x:v>
      </x:c>
      <x:c r="F903" s="51" t="str">
        <x:v>Midfield</x:v>
      </x:c>
      <x:c r="G903" s="51" t="str">
        <x:v>Rotation</x:v>
      </x:c>
      <x:c r="H903" s="55" t="n">
        <x:v>0.35</x:v>
      </x:c>
      <x:c r="I903" s="51" t="str"/>
      <x:c r="J903" s="72" t="str"/>
      <x:c r="K903" s="72" t="str"/>
      <x:c r="L903" s="72" t="str"/>
      <x:c r="M903" s="72" t="str"/>
      <x:c r="N903" s="72" t="str"/>
      <x:c r="O903" s="72" t="str"/>
      <x:c r="P903" s="72" t="str">
        <x:v>Available</x:v>
      </x:c>
      <x:c r="Q903" s="72" t="n">
        <x:v>0</x:v>
      </x:c>
      <x:c r="R903" s="55" t="str">
        <x:f>IF($D903="","",ROUND(MAX(0,MIN(100,0.35*$J903+0.2*$K903+0.15*$L903+0.15*$M903+0.1*$N903+0.05*$O903-IF(OR($P903="Out",$P903="Suspended"),$Q903,IF($P903="Doubtful",$Q903*0.5,IF($P903="Limited",$Q903*0.25,0))))),2))</x:f>
      </x:c>
      <x:c r="S903" s="55" t="n">
        <x:f>IF($D903="",0,ROUND(IF(OR($P903="Out",$P903="Suspended"),$Q903*$H903,IF($P903="Doubtful",$Q903*$H903*0.5,IF($P903="Limited",$Q903*$H903*0.25,0))),2))</x:f>
        <x:v>0</x:v>
      </x:c>
      <x:c r="T903" s="55" t="str"/>
      <x:c r="U903" s="51" t="str"/>
    </x:row>
    <x:row r="904">
      <x:c r="A904" s="51" t="str">
        <x:v>Norway</x:v>
      </x:c>
      <x:c r="B904" s="51" t="str">
        <x:v>I</x:v>
      </x:c>
      <x:c r="C904" s="51" t="n">
        <x:v>16</x:v>
      </x:c>
      <x:c r="D904" s="71" t="str"/>
      <x:c r="E904" s="51" t="str">
        <x:v>AM</x:v>
      </x:c>
      <x:c r="F904" s="51" t="str">
        <x:v>Attack</x:v>
      </x:c>
      <x:c r="G904" s="51" t="str">
        <x:v>Rotation</x:v>
      </x:c>
      <x:c r="H904" s="55" t="n">
        <x:v>0.35</x:v>
      </x:c>
      <x:c r="I904" s="51" t="str"/>
      <x:c r="J904" s="72" t="str"/>
      <x:c r="K904" s="72" t="str"/>
      <x:c r="L904" s="72" t="str"/>
      <x:c r="M904" s="72" t="str"/>
      <x:c r="N904" s="72" t="str"/>
      <x:c r="O904" s="72" t="str"/>
      <x:c r="P904" s="72" t="str">
        <x:v>Available</x:v>
      </x:c>
      <x:c r="Q904" s="72" t="n">
        <x:v>0</x:v>
      </x:c>
      <x:c r="R904" s="55" t="str">
        <x:f>IF($D904="","",ROUND(MAX(0,MIN(100,0.35*$J904+0.2*$K904+0.15*$L904+0.15*$M904+0.1*$N904+0.05*$O904-IF(OR($P904="Out",$P904="Suspended"),$Q904,IF($P904="Doubtful",$Q904*0.5,IF($P904="Limited",$Q904*0.25,0))))),2))</x:f>
      </x:c>
      <x:c r="S904" s="55" t="n">
        <x:f>IF($D904="",0,ROUND(IF(OR($P904="Out",$P904="Suspended"),$Q904*$H904,IF($P904="Doubtful",$Q904*$H904*0.5,IF($P904="Limited",$Q904*$H904*0.25,0))),2))</x:f>
        <x:v>0</x:v>
      </x:c>
      <x:c r="T904" s="55" t="str"/>
      <x:c r="U904" s="51" t="str"/>
    </x:row>
    <x:row r="905">
      <x:c r="A905" s="51" t="str">
        <x:v>Norway</x:v>
      </x:c>
      <x:c r="B905" s="51" t="str">
        <x:v>I</x:v>
      </x:c>
      <x:c r="C905" s="51" t="n">
        <x:v>17</x:v>
      </x:c>
      <x:c r="D905" s="71" t="str"/>
      <x:c r="E905" s="51" t="str">
        <x:v>AM</x:v>
      </x:c>
      <x:c r="F905" s="51" t="str">
        <x:v>Attack</x:v>
      </x:c>
      <x:c r="G905" s="51" t="str">
        <x:v>Rotation</x:v>
      </x:c>
      <x:c r="H905" s="55" t="n">
        <x:v>0.35</x:v>
      </x:c>
      <x:c r="I905" s="51" t="str"/>
      <x:c r="J905" s="72" t="str"/>
      <x:c r="K905" s="72" t="str"/>
      <x:c r="L905" s="72" t="str"/>
      <x:c r="M905" s="72" t="str"/>
      <x:c r="N905" s="72" t="str"/>
      <x:c r="O905" s="72" t="str"/>
      <x:c r="P905" s="72" t="str">
        <x:v>Available</x:v>
      </x:c>
      <x:c r="Q905" s="72" t="n">
        <x:v>0</x:v>
      </x:c>
      <x:c r="R905" s="55" t="str">
        <x:f>IF($D905="","",ROUND(MAX(0,MIN(100,0.35*$J905+0.2*$K905+0.15*$L905+0.15*$M905+0.1*$N905+0.05*$O905-IF(OR($P905="Out",$P905="Suspended"),$Q905,IF($P905="Doubtful",$Q905*0.5,IF($P905="Limited",$Q905*0.25,0))))),2))</x:f>
      </x:c>
      <x:c r="S905" s="55" t="n">
        <x:f>IF($D905="",0,ROUND(IF(OR($P905="Out",$P905="Suspended"),$Q905*$H905,IF($P905="Doubtful",$Q905*$H905*0.5,IF($P905="Limited",$Q905*$H905*0.25,0))),2))</x:f>
        <x:v>0</x:v>
      </x:c>
      <x:c r="T905" s="55" t="str"/>
      <x:c r="U905" s="51" t="str"/>
    </x:row>
    <x:row r="906">
      <x:c r="A906" s="51" t="str">
        <x:v>Norway</x:v>
      </x:c>
      <x:c r="B906" s="51" t="str">
        <x:v>I</x:v>
      </x:c>
      <x:c r="C906" s="51" t="n">
        <x:v>18</x:v>
      </x:c>
      <x:c r="D906" s="71" t="str"/>
      <x:c r="E906" s="51" t="str">
        <x:v>AM</x:v>
      </x:c>
      <x:c r="F906" s="51" t="str">
        <x:v>Attack</x:v>
      </x:c>
      <x:c r="G906" s="51" t="str">
        <x:v>Rotation</x:v>
      </x:c>
      <x:c r="H906" s="55" t="n">
        <x:v>0.35</x:v>
      </x:c>
      <x:c r="I906" s="51" t="str"/>
      <x:c r="J906" s="72" t="str"/>
      <x:c r="K906" s="72" t="str"/>
      <x:c r="L906" s="72" t="str"/>
      <x:c r="M906" s="72" t="str"/>
      <x:c r="N906" s="72" t="str"/>
      <x:c r="O906" s="72" t="str"/>
      <x:c r="P906" s="72" t="str">
        <x:v>Available</x:v>
      </x:c>
      <x:c r="Q906" s="72" t="n">
        <x:v>0</x:v>
      </x:c>
      <x:c r="R906" s="55" t="str">
        <x:f>IF($D906="","",ROUND(MAX(0,MIN(100,0.35*$J906+0.2*$K906+0.15*$L906+0.15*$M906+0.1*$N906+0.05*$O906-IF(OR($P906="Out",$P906="Suspended"),$Q906,IF($P906="Doubtful",$Q906*0.5,IF($P906="Limited",$Q906*0.25,0))))),2))</x:f>
      </x:c>
      <x:c r="S906" s="55" t="n">
        <x:f>IF($D906="",0,ROUND(IF(OR($P906="Out",$P906="Suspended"),$Q906*$H906,IF($P906="Doubtful",$Q906*$H906*0.5,IF($P906="Limited",$Q906*$H906*0.25,0))),2))</x:f>
        <x:v>0</x:v>
      </x:c>
      <x:c r="T906" s="55" t="str"/>
      <x:c r="U906" s="51" t="str"/>
    </x:row>
    <x:row r="907">
      <x:c r="A907" s="51" t="str">
        <x:v>Norway</x:v>
      </x:c>
      <x:c r="B907" s="51" t="str">
        <x:v>I</x:v>
      </x:c>
      <x:c r="C907" s="51" t="n">
        <x:v>19</x:v>
      </x:c>
      <x:c r="D907" s="71" t="str"/>
      <x:c r="E907" s="51" t="str">
        <x:v>AM</x:v>
      </x:c>
      <x:c r="F907" s="51" t="str">
        <x:v>Attack</x:v>
      </x:c>
      <x:c r="G907" s="51" t="str">
        <x:v>Rotation</x:v>
      </x:c>
      <x:c r="H907" s="55" t="n">
        <x:v>0.35</x:v>
      </x:c>
      <x:c r="I907" s="51" t="str"/>
      <x:c r="J907" s="72" t="str"/>
      <x:c r="K907" s="72" t="str"/>
      <x:c r="L907" s="72" t="str"/>
      <x:c r="M907" s="72" t="str"/>
      <x:c r="N907" s="72" t="str"/>
      <x:c r="O907" s="72" t="str"/>
      <x:c r="P907" s="72" t="str">
        <x:v>Available</x:v>
      </x:c>
      <x:c r="Q907" s="72" t="n">
        <x:v>0</x:v>
      </x:c>
      <x:c r="R907" s="55" t="str">
        <x:f>IF($D907="","",ROUND(MAX(0,MIN(100,0.35*$J907+0.2*$K907+0.15*$L907+0.15*$M907+0.1*$N907+0.05*$O907-IF(OR($P907="Out",$P907="Suspended"),$Q907,IF($P907="Doubtful",$Q907*0.5,IF($P907="Limited",$Q907*0.25,0))))),2))</x:f>
      </x:c>
      <x:c r="S907" s="55" t="n">
        <x:f>IF($D907="",0,ROUND(IF(OR($P907="Out",$P907="Suspended"),$Q907*$H907,IF($P907="Doubtful",$Q907*$H907*0.5,IF($P907="Limited",$Q907*$H907*0.25,0))),2))</x:f>
        <x:v>0</x:v>
      </x:c>
      <x:c r="T907" s="55" t="str"/>
      <x:c r="U907" s="51" t="str"/>
    </x:row>
    <x:row r="908">
      <x:c r="A908" s="51" t="str">
        <x:v>Norway</x:v>
      </x:c>
      <x:c r="B908" s="51" t="str">
        <x:v>I</x:v>
      </x:c>
      <x:c r="C908" s="51" t="n">
        <x:v>20</x:v>
      </x:c>
      <x:c r="D908" s="71" t="str"/>
      <x:c r="E908" s="51" t="str">
        <x:v>Winger</x:v>
      </x:c>
      <x:c r="F908" s="51" t="str">
        <x:v>Attack</x:v>
      </x:c>
      <x:c r="G908" s="51" t="str">
        <x:v>Rotation</x:v>
      </x:c>
      <x:c r="H908" s="55" t="n">
        <x:v>0.35</x:v>
      </x:c>
      <x:c r="I908" s="51" t="str"/>
      <x:c r="J908" s="72" t="str"/>
      <x:c r="K908" s="72" t="str"/>
      <x:c r="L908" s="72" t="str"/>
      <x:c r="M908" s="72" t="str"/>
      <x:c r="N908" s="72" t="str"/>
      <x:c r="O908" s="72" t="str"/>
      <x:c r="P908" s="72" t="str">
        <x:v>Available</x:v>
      </x:c>
      <x:c r="Q908" s="72" t="n">
        <x:v>0</x:v>
      </x:c>
      <x:c r="R908" s="55" t="str">
        <x:f>IF($D908="","",ROUND(MAX(0,MIN(100,0.35*$J908+0.2*$K908+0.15*$L908+0.15*$M908+0.1*$N908+0.05*$O908-IF(OR($P908="Out",$P908="Suspended"),$Q908,IF($P908="Doubtful",$Q908*0.5,IF($P908="Limited",$Q908*0.25,0))))),2))</x:f>
      </x:c>
      <x:c r="S908" s="55" t="n">
        <x:f>IF($D908="",0,ROUND(IF(OR($P908="Out",$P908="Suspended"),$Q908*$H908,IF($P908="Doubtful",$Q908*$H908*0.5,IF($P908="Limited",$Q908*$H908*0.25,0))),2))</x:f>
        <x:v>0</x:v>
      </x:c>
      <x:c r="T908" s="55" t="str"/>
      <x:c r="U908" s="51" t="str"/>
    </x:row>
    <x:row r="909">
      <x:c r="A909" s="51" t="str">
        <x:v>Norway</x:v>
      </x:c>
      <x:c r="B909" s="51" t="str">
        <x:v>I</x:v>
      </x:c>
      <x:c r="C909" s="51" t="n">
        <x:v>21</x:v>
      </x:c>
      <x:c r="D909" s="71" t="str"/>
      <x:c r="E909" s="51" t="str">
        <x:v>Winger</x:v>
      </x:c>
      <x:c r="F909" s="51" t="str">
        <x:v>Attack</x:v>
      </x:c>
      <x:c r="G909" s="51" t="str">
        <x:v>Depth</x:v>
      </x:c>
      <x:c r="H909" s="55" t="n">
        <x:v>0.1</x:v>
      </x:c>
      <x:c r="I909" s="51" t="str"/>
      <x:c r="J909" s="72" t="str"/>
      <x:c r="K909" s="72" t="str"/>
      <x:c r="L909" s="72" t="str"/>
      <x:c r="M909" s="72" t="str"/>
      <x:c r="N909" s="72" t="str"/>
      <x:c r="O909" s="72" t="str"/>
      <x:c r="P909" s="72" t="str">
        <x:v>Available</x:v>
      </x:c>
      <x:c r="Q909" s="72" t="n">
        <x:v>0</x:v>
      </x:c>
      <x:c r="R909" s="55" t="str">
        <x:f>IF($D909="","",ROUND(MAX(0,MIN(100,0.35*$J909+0.2*$K909+0.15*$L909+0.15*$M909+0.1*$N909+0.05*$O909-IF(OR($P909="Out",$P909="Suspended"),$Q909,IF($P909="Doubtful",$Q909*0.5,IF($P909="Limited",$Q909*0.25,0))))),2))</x:f>
      </x:c>
      <x:c r="S909" s="55" t="n">
        <x:f>IF($D909="",0,ROUND(IF(OR($P909="Out",$P909="Suspended"),$Q909*$H909,IF($P909="Doubtful",$Q909*$H909*0.5,IF($P909="Limited",$Q909*$H909*0.25,0))),2))</x:f>
        <x:v>0</x:v>
      </x:c>
      <x:c r="T909" s="55" t="str"/>
      <x:c r="U909" s="51" t="str"/>
    </x:row>
    <x:row r="910">
      <x:c r="A910" s="51" t="str">
        <x:v>Norway</x:v>
      </x:c>
      <x:c r="B910" s="51" t="str">
        <x:v>I</x:v>
      </x:c>
      <x:c r="C910" s="51" t="n">
        <x:v>22</x:v>
      </x:c>
      <x:c r="D910" s="71" t="str"/>
      <x:c r="E910" s="51" t="str">
        <x:v>Winger</x:v>
      </x:c>
      <x:c r="F910" s="51" t="str">
        <x:v>Attack</x:v>
      </x:c>
      <x:c r="G910" s="51" t="str">
        <x:v>Depth</x:v>
      </x:c>
      <x:c r="H910" s="55" t="n">
        <x:v>0.1</x:v>
      </x:c>
      <x:c r="I910" s="51" t="str"/>
      <x:c r="J910" s="72" t="str"/>
      <x:c r="K910" s="72" t="str"/>
      <x:c r="L910" s="72" t="str"/>
      <x:c r="M910" s="72" t="str"/>
      <x:c r="N910" s="72" t="str"/>
      <x:c r="O910" s="72" t="str"/>
      <x:c r="P910" s="72" t="str">
        <x:v>Available</x:v>
      </x:c>
      <x:c r="Q910" s="72" t="n">
        <x:v>0</x:v>
      </x:c>
      <x:c r="R910" s="55" t="str">
        <x:f>IF($D910="","",ROUND(MAX(0,MIN(100,0.35*$J910+0.2*$K910+0.15*$L910+0.15*$M910+0.1*$N910+0.05*$O910-IF(OR($P910="Out",$P910="Suspended"),$Q910,IF($P910="Doubtful",$Q910*0.5,IF($P910="Limited",$Q910*0.25,0))))),2))</x:f>
      </x:c>
      <x:c r="S910" s="55" t="n">
        <x:f>IF($D910="",0,ROUND(IF(OR($P910="Out",$P910="Suspended"),$Q910*$H910,IF($P910="Doubtful",$Q910*$H910*0.5,IF($P910="Limited",$Q910*$H910*0.25,0))),2))</x:f>
        <x:v>0</x:v>
      </x:c>
      <x:c r="T910" s="55" t="str"/>
      <x:c r="U910" s="51" t="str"/>
    </x:row>
    <x:row r="911">
      <x:c r="A911" s="51" t="str">
        <x:v>Norway</x:v>
      </x:c>
      <x:c r="B911" s="51" t="str">
        <x:v>I</x:v>
      </x:c>
      <x:c r="C911" s="51" t="n">
        <x:v>23</x:v>
      </x:c>
      <x:c r="D911" s="71" t="str"/>
      <x:c r="E911" s="51" t="str">
        <x:v>Winger</x:v>
      </x:c>
      <x:c r="F911" s="51" t="str">
        <x:v>Attack</x:v>
      </x:c>
      <x:c r="G911" s="51" t="str">
        <x:v>Depth</x:v>
      </x:c>
      <x:c r="H911" s="55" t="n">
        <x:v>0.1</x:v>
      </x:c>
      <x:c r="I911" s="51" t="str"/>
      <x:c r="J911" s="72" t="str"/>
      <x:c r="K911" s="72" t="str"/>
      <x:c r="L911" s="72" t="str"/>
      <x:c r="M911" s="72" t="str"/>
      <x:c r="N911" s="72" t="str"/>
      <x:c r="O911" s="72" t="str"/>
      <x:c r="P911" s="72" t="str">
        <x:v>Available</x:v>
      </x:c>
      <x:c r="Q911" s="72" t="n">
        <x:v>0</x:v>
      </x:c>
      <x:c r="R911" s="55" t="str">
        <x:f>IF($D911="","",ROUND(MAX(0,MIN(100,0.35*$J911+0.2*$K911+0.15*$L911+0.15*$M911+0.1*$N911+0.05*$O911-IF(OR($P911="Out",$P911="Suspended"),$Q911,IF($P911="Doubtful",$Q911*0.5,IF($P911="Limited",$Q911*0.25,0))))),2))</x:f>
      </x:c>
      <x:c r="S911" s="55" t="n">
        <x:f>IF($D911="",0,ROUND(IF(OR($P911="Out",$P911="Suspended"),$Q911*$H911,IF($P911="Doubtful",$Q911*$H911*0.5,IF($P911="Limited",$Q911*$H911*0.25,0))),2))</x:f>
        <x:v>0</x:v>
      </x:c>
      <x:c r="T911" s="55" t="str"/>
      <x:c r="U911" s="51" t="str"/>
    </x:row>
    <x:row r="912">
      <x:c r="A912" s="51" t="str">
        <x:v>Norway</x:v>
      </x:c>
      <x:c r="B912" s="51" t="str">
        <x:v>I</x:v>
      </x:c>
      <x:c r="C912" s="51" t="n">
        <x:v>24</x:v>
      </x:c>
      <x:c r="D912" s="71" t="str"/>
      <x:c r="E912" s="51" t="str">
        <x:v>ST</x:v>
      </x:c>
      <x:c r="F912" s="51" t="str">
        <x:v>Attack</x:v>
      </x:c>
      <x:c r="G912" s="51" t="str">
        <x:v>Depth</x:v>
      </x:c>
      <x:c r="H912" s="55" t="n">
        <x:v>0.1</x:v>
      </x:c>
      <x:c r="I912" s="51" t="str"/>
      <x:c r="J912" s="72" t="str"/>
      <x:c r="K912" s="72" t="str"/>
      <x:c r="L912" s="72" t="str"/>
      <x:c r="M912" s="72" t="str"/>
      <x:c r="N912" s="72" t="str"/>
      <x:c r="O912" s="72" t="str"/>
      <x:c r="P912" s="72" t="str">
        <x:v>Available</x:v>
      </x:c>
      <x:c r="Q912" s="72" t="n">
        <x:v>0</x:v>
      </x:c>
      <x:c r="R912" s="55" t="str">
        <x:f>IF($D912="","",ROUND(MAX(0,MIN(100,0.35*$J912+0.2*$K912+0.15*$L912+0.15*$M912+0.1*$N912+0.05*$O912-IF(OR($P912="Out",$P912="Suspended"),$Q912,IF($P912="Doubtful",$Q912*0.5,IF($P912="Limited",$Q912*0.25,0))))),2))</x:f>
      </x:c>
      <x:c r="S912" s="55" t="n">
        <x:f>IF($D912="",0,ROUND(IF(OR($P912="Out",$P912="Suspended"),$Q912*$H912,IF($P912="Doubtful",$Q912*$H912*0.5,IF($P912="Limited",$Q912*$H912*0.25,0))),2))</x:f>
        <x:v>0</x:v>
      </x:c>
      <x:c r="T912" s="55" t="str"/>
      <x:c r="U912" s="51" t="str"/>
    </x:row>
    <x:row r="913">
      <x:c r="A913" s="51" t="str">
        <x:v>Norway</x:v>
      </x:c>
      <x:c r="B913" s="51" t="str">
        <x:v>I</x:v>
      </x:c>
      <x:c r="C913" s="51" t="n">
        <x:v>25</x:v>
      </x:c>
      <x:c r="D913" s="71" t="str"/>
      <x:c r="E913" s="51" t="str">
        <x:v>ST</x:v>
      </x:c>
      <x:c r="F913" s="51" t="str">
        <x:v>Attack</x:v>
      </x:c>
      <x:c r="G913" s="51" t="str">
        <x:v>Depth</x:v>
      </x:c>
      <x:c r="H913" s="55" t="n">
        <x:v>0.1</x:v>
      </x:c>
      <x:c r="I913" s="51" t="str"/>
      <x:c r="J913" s="72" t="str"/>
      <x:c r="K913" s="72" t="str"/>
      <x:c r="L913" s="72" t="str"/>
      <x:c r="M913" s="72" t="str"/>
      <x:c r="N913" s="72" t="str"/>
      <x:c r="O913" s="72" t="str"/>
      <x:c r="P913" s="72" t="str">
        <x:v>Available</x:v>
      </x:c>
      <x:c r="Q913" s="72" t="n">
        <x:v>0</x:v>
      </x:c>
      <x:c r="R913" s="55" t="str">
        <x:f>IF($D913="","",ROUND(MAX(0,MIN(100,0.35*$J913+0.2*$K913+0.15*$L913+0.15*$M913+0.1*$N913+0.05*$O913-IF(OR($P913="Out",$P913="Suspended"),$Q913,IF($P913="Doubtful",$Q913*0.5,IF($P913="Limited",$Q913*0.25,0))))),2))</x:f>
      </x:c>
      <x:c r="S913" s="55" t="n">
        <x:f>IF($D913="",0,ROUND(IF(OR($P913="Out",$P913="Suspended"),$Q913*$H913,IF($P913="Doubtful",$Q913*$H913*0.5,IF($P913="Limited",$Q913*$H913*0.25,0))),2))</x:f>
        <x:v>0</x:v>
      </x:c>
      <x:c r="T913" s="55" t="str"/>
      <x:c r="U913" s="51" t="str"/>
    </x:row>
    <x:row r="914">
      <x:c r="A914" s="51" t="str">
        <x:v>Norway</x:v>
      </x:c>
      <x:c r="B914" s="51" t="str">
        <x:v>I</x:v>
      </x:c>
      <x:c r="C914" s="51" t="n">
        <x:v>26</x:v>
      </x:c>
      <x:c r="D914" s="71" t="str"/>
      <x:c r="E914" s="51" t="str">
        <x:v>ST</x:v>
      </x:c>
      <x:c r="F914" s="51" t="str">
        <x:v>Attack</x:v>
      </x:c>
      <x:c r="G914" s="51" t="str">
        <x:v>Depth</x:v>
      </x:c>
      <x:c r="H914" s="55" t="n">
        <x:v>0.1</x:v>
      </x:c>
      <x:c r="I914" s="51" t="str"/>
      <x:c r="J914" s="72" t="str"/>
      <x:c r="K914" s="72" t="str"/>
      <x:c r="L914" s="72" t="str"/>
      <x:c r="M914" s="72" t="str"/>
      <x:c r="N914" s="72" t="str"/>
      <x:c r="O914" s="72" t="str"/>
      <x:c r="P914" s="72" t="str">
        <x:v>Available</x:v>
      </x:c>
      <x:c r="Q914" s="72" t="n">
        <x:v>0</x:v>
      </x:c>
      <x:c r="R914" s="55" t="str">
        <x:f>IF($D914="","",ROUND(MAX(0,MIN(100,0.35*$J914+0.2*$K914+0.15*$L914+0.15*$M914+0.1*$N914+0.05*$O914-IF(OR($P914="Out",$P914="Suspended"),$Q914,IF($P914="Doubtful",$Q914*0.5,IF($P914="Limited",$Q914*0.25,0))))),2))</x:f>
      </x:c>
      <x:c r="S914" s="55" t="n">
        <x:f>IF($D914="",0,ROUND(IF(OR($P914="Out",$P914="Suspended"),$Q914*$H914,IF($P914="Doubtful",$Q914*$H914*0.5,IF($P914="Limited",$Q914*$H914*0.25,0))),2))</x:f>
        <x:v>0</x:v>
      </x:c>
      <x:c r="T914" s="55" t="str"/>
      <x:c r="U914" s="51" t="str"/>
    </x:row>
    <x:row r="915">
      <x:c r="A915" s="51" t="str">
        <x:v>Senegal</x:v>
      </x:c>
      <x:c r="B915" s="51" t="str">
        <x:v>I</x:v>
      </x:c>
      <x:c r="C915" s="51" t="n">
        <x:v>1</x:v>
      </x:c>
      <x:c r="D915" s="71" t="str"/>
      <x:c r="E915" s="51" t="str">
        <x:v>GK</x:v>
      </x:c>
      <x:c r="F915" s="51" t="str">
        <x:v>GK</x:v>
      </x:c>
      <x:c r="G915" s="51" t="str">
        <x:v>Starter</x:v>
      </x:c>
      <x:c r="H915" s="55" t="n">
        <x:v>1</x:v>
      </x:c>
      <x:c r="I915" s="51" t="str"/>
      <x:c r="J915" s="72" t="str"/>
      <x:c r="K915" s="72" t="str"/>
      <x:c r="L915" s="72" t="str"/>
      <x:c r="M915" s="72" t="str"/>
      <x:c r="N915" s="72" t="str"/>
      <x:c r="O915" s="72" t="str"/>
      <x:c r="P915" s="72" t="str">
        <x:v>Available</x:v>
      </x:c>
      <x:c r="Q915" s="72" t="n">
        <x:v>0</x:v>
      </x:c>
      <x:c r="R915" s="55" t="str">
        <x:f>IF($D915="","",ROUND(MAX(0,MIN(100,0.35*$J915+0.2*$K915+0.15*$L915+0.15*$M915+0.1*$N915+0.05*$O915-IF(OR($P915="Out",$P915="Suspended"),$Q915,IF($P915="Doubtful",$Q915*0.5,IF($P915="Limited",$Q915*0.25,0))))),2))</x:f>
      </x:c>
      <x:c r="S915" s="55" t="n">
        <x:f>IF($D915="",0,ROUND(IF(OR($P915="Out",$P915="Suspended"),$Q915*$H915,IF($P915="Doubtful",$Q915*$H915*0.5,IF($P915="Limited",$Q915*$H915*0.25,0))),2))</x:f>
        <x:v>0</x:v>
      </x:c>
      <x:c r="T915" s="55" t="str"/>
      <x:c r="U915" s="51" t="str"/>
    </x:row>
    <x:row r="916">
      <x:c r="A916" s="51" t="str">
        <x:v>Senegal</x:v>
      </x:c>
      <x:c r="B916" s="51" t="str">
        <x:v>I</x:v>
      </x:c>
      <x:c r="C916" s="51" t="n">
        <x:v>2</x:v>
      </x:c>
      <x:c r="D916" s="71" t="str"/>
      <x:c r="E916" s="51" t="str">
        <x:v>GK</x:v>
      </x:c>
      <x:c r="F916" s="51" t="str">
        <x:v>GK</x:v>
      </x:c>
      <x:c r="G916" s="51" t="str">
        <x:v>Starter</x:v>
      </x:c>
      <x:c r="H916" s="55" t="n">
        <x:v>1</x:v>
      </x:c>
      <x:c r="I916" s="51" t="str"/>
      <x:c r="J916" s="72" t="str"/>
      <x:c r="K916" s="72" t="str"/>
      <x:c r="L916" s="72" t="str"/>
      <x:c r="M916" s="72" t="str"/>
      <x:c r="N916" s="72" t="str"/>
      <x:c r="O916" s="72" t="str"/>
      <x:c r="P916" s="72" t="str">
        <x:v>Available</x:v>
      </x:c>
      <x:c r="Q916" s="72" t="n">
        <x:v>0</x:v>
      </x:c>
      <x:c r="R916" s="55" t="str">
        <x:f>IF($D916="","",ROUND(MAX(0,MIN(100,0.35*$J916+0.2*$K916+0.15*$L916+0.15*$M916+0.1*$N916+0.05*$O916-IF(OR($P916="Out",$P916="Suspended"),$Q916,IF($P916="Doubtful",$Q916*0.5,IF($P916="Limited",$Q916*0.25,0))))),2))</x:f>
      </x:c>
      <x:c r="S916" s="55" t="n">
        <x:f>IF($D916="",0,ROUND(IF(OR($P916="Out",$P916="Suspended"),$Q916*$H916,IF($P916="Doubtful",$Q916*$H916*0.5,IF($P916="Limited",$Q916*$H916*0.25,0))),2))</x:f>
        <x:v>0</x:v>
      </x:c>
      <x:c r="T916" s="55" t="str"/>
      <x:c r="U916" s="51" t="str"/>
    </x:row>
    <x:row r="917">
      <x:c r="A917" s="51" t="str">
        <x:v>Senegal</x:v>
      </x:c>
      <x:c r="B917" s="51" t="str">
        <x:v>I</x:v>
      </x:c>
      <x:c r="C917" s="51" t="n">
        <x:v>3</x:v>
      </x:c>
      <x:c r="D917" s="71" t="str"/>
      <x:c r="E917" s="51" t="str">
        <x:v>GK</x:v>
      </x:c>
      <x:c r="F917" s="51" t="str">
        <x:v>GK</x:v>
      </x:c>
      <x:c r="G917" s="51" t="str">
        <x:v>Starter</x:v>
      </x:c>
      <x:c r="H917" s="55" t="n">
        <x:v>1</x:v>
      </x:c>
      <x:c r="I917" s="51" t="str"/>
      <x:c r="J917" s="72" t="str"/>
      <x:c r="K917" s="72" t="str"/>
      <x:c r="L917" s="72" t="str"/>
      <x:c r="M917" s="72" t="str"/>
      <x:c r="N917" s="72" t="str"/>
      <x:c r="O917" s="72" t="str"/>
      <x:c r="P917" s="72" t="str">
        <x:v>Available</x:v>
      </x:c>
      <x:c r="Q917" s="72" t="n">
        <x:v>0</x:v>
      </x:c>
      <x:c r="R917" s="55" t="str">
        <x:f>IF($D917="","",ROUND(MAX(0,MIN(100,0.35*$J917+0.2*$K917+0.15*$L917+0.15*$M917+0.1*$N917+0.05*$O917-IF(OR($P917="Out",$P917="Suspended"),$Q917,IF($P917="Doubtful",$Q917*0.5,IF($P917="Limited",$Q917*0.25,0))))),2))</x:f>
      </x:c>
      <x:c r="S917" s="55" t="n">
        <x:f>IF($D917="",0,ROUND(IF(OR($P917="Out",$P917="Suspended"),$Q917*$H917,IF($P917="Doubtful",$Q917*$H917*0.5,IF($P917="Limited",$Q917*$H917*0.25,0))),2))</x:f>
        <x:v>0</x:v>
      </x:c>
      <x:c r="T917" s="55" t="str"/>
      <x:c r="U917" s="51" t="str"/>
    </x:row>
    <x:row r="918">
      <x:c r="A918" s="51" t="str">
        <x:v>Senegal</x:v>
      </x:c>
      <x:c r="B918" s="51" t="str">
        <x:v>I</x:v>
      </x:c>
      <x:c r="C918" s="51" t="n">
        <x:v>4</x:v>
      </x:c>
      <x:c r="D918" s="71" t="str"/>
      <x:c r="E918" s="51" t="str">
        <x:v>CB</x:v>
      </x:c>
      <x:c r="F918" s="51" t="str">
        <x:v>Defence</x:v>
      </x:c>
      <x:c r="G918" s="51" t="str">
        <x:v>Starter</x:v>
      </x:c>
      <x:c r="H918" s="55" t="n">
        <x:v>1</x:v>
      </x:c>
      <x:c r="I918" s="51" t="str"/>
      <x:c r="J918" s="72" t="str"/>
      <x:c r="K918" s="72" t="str"/>
      <x:c r="L918" s="72" t="str"/>
      <x:c r="M918" s="72" t="str"/>
      <x:c r="N918" s="72" t="str"/>
      <x:c r="O918" s="72" t="str"/>
      <x:c r="P918" s="72" t="str">
        <x:v>Available</x:v>
      </x:c>
      <x:c r="Q918" s="72" t="n">
        <x:v>0</x:v>
      </x:c>
      <x:c r="R918" s="55" t="str">
        <x:f>IF($D918="","",ROUND(MAX(0,MIN(100,0.35*$J918+0.2*$K918+0.15*$L918+0.15*$M918+0.1*$N918+0.05*$O918-IF(OR($P918="Out",$P918="Suspended"),$Q918,IF($P918="Doubtful",$Q918*0.5,IF($P918="Limited",$Q918*0.25,0))))),2))</x:f>
      </x:c>
      <x:c r="S918" s="55" t="n">
        <x:f>IF($D918="",0,ROUND(IF(OR($P918="Out",$P918="Suspended"),$Q918*$H918,IF($P918="Doubtful",$Q918*$H918*0.5,IF($P918="Limited",$Q918*$H918*0.25,0))),2))</x:f>
        <x:v>0</x:v>
      </x:c>
      <x:c r="T918" s="55" t="str"/>
      <x:c r="U918" s="51" t="str"/>
    </x:row>
    <x:row r="919">
      <x:c r="A919" s="51" t="str">
        <x:v>Senegal</x:v>
      </x:c>
      <x:c r="B919" s="51" t="str">
        <x:v>I</x:v>
      </x:c>
      <x:c r="C919" s="51" t="n">
        <x:v>5</x:v>
      </x:c>
      <x:c r="D919" s="71" t="str"/>
      <x:c r="E919" s="51" t="str">
        <x:v>CB</x:v>
      </x:c>
      <x:c r="F919" s="51" t="str">
        <x:v>Defence</x:v>
      </x:c>
      <x:c r="G919" s="51" t="str">
        <x:v>Starter</x:v>
      </x:c>
      <x:c r="H919" s="55" t="n">
        <x:v>1</x:v>
      </x:c>
      <x:c r="I919" s="51" t="str"/>
      <x:c r="J919" s="72" t="str"/>
      <x:c r="K919" s="72" t="str"/>
      <x:c r="L919" s="72" t="str"/>
      <x:c r="M919" s="72" t="str"/>
      <x:c r="N919" s="72" t="str"/>
      <x:c r="O919" s="72" t="str"/>
      <x:c r="P919" s="72" t="str">
        <x:v>Available</x:v>
      </x:c>
      <x:c r="Q919" s="72" t="n">
        <x:v>0</x:v>
      </x:c>
      <x:c r="R919" s="55" t="str">
        <x:f>IF($D919="","",ROUND(MAX(0,MIN(100,0.35*$J919+0.2*$K919+0.15*$L919+0.15*$M919+0.1*$N919+0.05*$O919-IF(OR($P919="Out",$P919="Suspended"),$Q919,IF($P919="Doubtful",$Q919*0.5,IF($P919="Limited",$Q919*0.25,0))))),2))</x:f>
      </x:c>
      <x:c r="S919" s="55" t="n">
        <x:f>IF($D919="",0,ROUND(IF(OR($P919="Out",$P919="Suspended"),$Q919*$H919,IF($P919="Doubtful",$Q919*$H919*0.5,IF($P919="Limited",$Q919*$H919*0.25,0))),2))</x:f>
        <x:v>0</x:v>
      </x:c>
      <x:c r="T919" s="55" t="str"/>
      <x:c r="U919" s="51" t="str"/>
    </x:row>
    <x:row r="920">
      <x:c r="A920" s="51" t="str">
        <x:v>Senegal</x:v>
      </x:c>
      <x:c r="B920" s="51" t="str">
        <x:v>I</x:v>
      </x:c>
      <x:c r="C920" s="51" t="n">
        <x:v>6</x:v>
      </x:c>
      <x:c r="D920" s="71" t="str"/>
      <x:c r="E920" s="51" t="str">
        <x:v>CB</x:v>
      </x:c>
      <x:c r="F920" s="51" t="str">
        <x:v>Defence</x:v>
      </x:c>
      <x:c r="G920" s="51" t="str">
        <x:v>Starter</x:v>
      </x:c>
      <x:c r="H920" s="55" t="n">
        <x:v>1</x:v>
      </x:c>
      <x:c r="I920" s="51" t="str"/>
      <x:c r="J920" s="72" t="str"/>
      <x:c r="K920" s="72" t="str"/>
      <x:c r="L920" s="72" t="str"/>
      <x:c r="M920" s="72" t="str"/>
      <x:c r="N920" s="72" t="str"/>
      <x:c r="O920" s="72" t="str"/>
      <x:c r="P920" s="72" t="str">
        <x:v>Available</x:v>
      </x:c>
      <x:c r="Q920" s="72" t="n">
        <x:v>0</x:v>
      </x:c>
      <x:c r="R920" s="55" t="str">
        <x:f>IF($D920="","",ROUND(MAX(0,MIN(100,0.35*$J920+0.2*$K920+0.15*$L920+0.15*$M920+0.1*$N920+0.05*$O920-IF(OR($P920="Out",$P920="Suspended"),$Q920,IF($P920="Doubtful",$Q920*0.5,IF($P920="Limited",$Q920*0.25,0))))),2))</x:f>
      </x:c>
      <x:c r="S920" s="55" t="n">
        <x:f>IF($D920="",0,ROUND(IF(OR($P920="Out",$P920="Suspended"),$Q920*$H920,IF($P920="Doubtful",$Q920*$H920*0.5,IF($P920="Limited",$Q920*$H920*0.25,0))),2))</x:f>
        <x:v>0</x:v>
      </x:c>
      <x:c r="T920" s="55" t="str"/>
      <x:c r="U920" s="51" t="str"/>
    </x:row>
    <x:row r="921">
      <x:c r="A921" s="51" t="str">
        <x:v>Senegal</x:v>
      </x:c>
      <x:c r="B921" s="51" t="str">
        <x:v>I</x:v>
      </x:c>
      <x:c r="C921" s="51" t="n">
        <x:v>7</x:v>
      </x:c>
      <x:c r="D921" s="71" t="str"/>
      <x:c r="E921" s="51" t="str">
        <x:v>FB</x:v>
      </x:c>
      <x:c r="F921" s="51" t="str">
        <x:v>Defence</x:v>
      </x:c>
      <x:c r="G921" s="51" t="str">
        <x:v>Starter</x:v>
      </x:c>
      <x:c r="H921" s="55" t="n">
        <x:v>1</x:v>
      </x:c>
      <x:c r="I921" s="51" t="str"/>
      <x:c r="J921" s="72" t="str"/>
      <x:c r="K921" s="72" t="str"/>
      <x:c r="L921" s="72" t="str"/>
      <x:c r="M921" s="72" t="str"/>
      <x:c r="N921" s="72" t="str"/>
      <x:c r="O921" s="72" t="str"/>
      <x:c r="P921" s="72" t="str">
        <x:v>Available</x:v>
      </x:c>
      <x:c r="Q921" s="72" t="n">
        <x:v>0</x:v>
      </x:c>
      <x:c r="R921" s="55" t="str">
        <x:f>IF($D921="","",ROUND(MAX(0,MIN(100,0.35*$J921+0.2*$K921+0.15*$L921+0.15*$M921+0.1*$N921+0.05*$O921-IF(OR($P921="Out",$P921="Suspended"),$Q921,IF($P921="Doubtful",$Q921*0.5,IF($P921="Limited",$Q921*0.25,0))))),2))</x:f>
      </x:c>
      <x:c r="S921" s="55" t="n">
        <x:f>IF($D921="",0,ROUND(IF(OR($P921="Out",$P921="Suspended"),$Q921*$H921,IF($P921="Doubtful",$Q921*$H921*0.5,IF($P921="Limited",$Q921*$H921*0.25,0))),2))</x:f>
        <x:v>0</x:v>
      </x:c>
      <x:c r="T921" s="55" t="str"/>
      <x:c r="U921" s="51" t="str"/>
    </x:row>
    <x:row r="922">
      <x:c r="A922" s="51" t="str">
        <x:v>Senegal</x:v>
      </x:c>
      <x:c r="B922" s="51" t="str">
        <x:v>I</x:v>
      </x:c>
      <x:c r="C922" s="51" t="n">
        <x:v>8</x:v>
      </x:c>
      <x:c r="D922" s="71" t="str"/>
      <x:c r="E922" s="51" t="str">
        <x:v>FB</x:v>
      </x:c>
      <x:c r="F922" s="51" t="str">
        <x:v>Defence</x:v>
      </x:c>
      <x:c r="G922" s="51" t="str">
        <x:v>Starter</x:v>
      </x:c>
      <x:c r="H922" s="55" t="n">
        <x:v>1</x:v>
      </x:c>
      <x:c r="I922" s="51" t="str"/>
      <x:c r="J922" s="72" t="str"/>
      <x:c r="K922" s="72" t="str"/>
      <x:c r="L922" s="72" t="str"/>
      <x:c r="M922" s="72" t="str"/>
      <x:c r="N922" s="72" t="str"/>
      <x:c r="O922" s="72" t="str"/>
      <x:c r="P922" s="72" t="str">
        <x:v>Available</x:v>
      </x:c>
      <x:c r="Q922" s="72" t="n">
        <x:v>0</x:v>
      </x:c>
      <x:c r="R922" s="55" t="str">
        <x:f>IF($D922="","",ROUND(MAX(0,MIN(100,0.35*$J922+0.2*$K922+0.15*$L922+0.15*$M922+0.1*$N922+0.05*$O922-IF(OR($P922="Out",$P922="Suspended"),$Q922,IF($P922="Doubtful",$Q922*0.5,IF($P922="Limited",$Q922*0.25,0))))),2))</x:f>
      </x:c>
      <x:c r="S922" s="55" t="n">
        <x:f>IF($D922="",0,ROUND(IF(OR($P922="Out",$P922="Suspended"),$Q922*$H922,IF($P922="Doubtful",$Q922*$H922*0.5,IF($P922="Limited",$Q922*$H922*0.25,0))),2))</x:f>
        <x:v>0</x:v>
      </x:c>
      <x:c r="T922" s="55" t="str"/>
      <x:c r="U922" s="51" t="str"/>
    </x:row>
    <x:row r="923">
      <x:c r="A923" s="51" t="str">
        <x:v>Senegal</x:v>
      </x:c>
      <x:c r="B923" s="51" t="str">
        <x:v>I</x:v>
      </x:c>
      <x:c r="C923" s="51" t="n">
        <x:v>9</x:v>
      </x:c>
      <x:c r="D923" s="71" t="str"/>
      <x:c r="E923" s="51" t="str">
        <x:v>DM</x:v>
      </x:c>
      <x:c r="F923" s="51" t="str">
        <x:v>Midfield</x:v>
      </x:c>
      <x:c r="G923" s="51" t="str">
        <x:v>Starter</x:v>
      </x:c>
      <x:c r="H923" s="55" t="n">
        <x:v>1</x:v>
      </x:c>
      <x:c r="I923" s="51" t="str"/>
      <x:c r="J923" s="72" t="str"/>
      <x:c r="K923" s="72" t="str"/>
      <x:c r="L923" s="72" t="str"/>
      <x:c r="M923" s="72" t="str"/>
      <x:c r="N923" s="72" t="str"/>
      <x:c r="O923" s="72" t="str"/>
      <x:c r="P923" s="72" t="str">
        <x:v>Available</x:v>
      </x:c>
      <x:c r="Q923" s="72" t="n">
        <x:v>0</x:v>
      </x:c>
      <x:c r="R923" s="55" t="str">
        <x:f>IF($D923="","",ROUND(MAX(0,MIN(100,0.35*$J923+0.2*$K923+0.15*$L923+0.15*$M923+0.1*$N923+0.05*$O923-IF(OR($P923="Out",$P923="Suspended"),$Q923,IF($P923="Doubtful",$Q923*0.5,IF($P923="Limited",$Q923*0.25,0))))),2))</x:f>
      </x:c>
      <x:c r="S923" s="55" t="n">
        <x:f>IF($D923="",0,ROUND(IF(OR($P923="Out",$P923="Suspended"),$Q923*$H923,IF($P923="Doubtful",$Q923*$H923*0.5,IF($P923="Limited",$Q923*$H923*0.25,0))),2))</x:f>
        <x:v>0</x:v>
      </x:c>
      <x:c r="T923" s="55" t="str"/>
      <x:c r="U923" s="51" t="str"/>
    </x:row>
    <x:row r="924">
      <x:c r="A924" s="51" t="str">
        <x:v>Senegal</x:v>
      </x:c>
      <x:c r="B924" s="51" t="str">
        <x:v>I</x:v>
      </x:c>
      <x:c r="C924" s="51" t="n">
        <x:v>10</x:v>
      </x:c>
      <x:c r="D924" s="71" t="str"/>
      <x:c r="E924" s="51" t="str">
        <x:v>DM</x:v>
      </x:c>
      <x:c r="F924" s="51" t="str">
        <x:v>Midfield</x:v>
      </x:c>
      <x:c r="G924" s="51" t="str">
        <x:v>Starter</x:v>
      </x:c>
      <x:c r="H924" s="55" t="n">
        <x:v>1</x:v>
      </x:c>
      <x:c r="I924" s="51" t="str"/>
      <x:c r="J924" s="72" t="str"/>
      <x:c r="K924" s="72" t="str"/>
      <x:c r="L924" s="72" t="str"/>
      <x:c r="M924" s="72" t="str"/>
      <x:c r="N924" s="72" t="str"/>
      <x:c r="O924" s="72" t="str"/>
      <x:c r="P924" s="72" t="str">
        <x:v>Available</x:v>
      </x:c>
      <x:c r="Q924" s="72" t="n">
        <x:v>0</x:v>
      </x:c>
      <x:c r="R924" s="55" t="str">
        <x:f>IF($D924="","",ROUND(MAX(0,MIN(100,0.35*$J924+0.2*$K924+0.15*$L924+0.15*$M924+0.1*$N924+0.05*$O924-IF(OR($P924="Out",$P924="Suspended"),$Q924,IF($P924="Doubtful",$Q924*0.5,IF($P924="Limited",$Q924*0.25,0))))),2))</x:f>
      </x:c>
      <x:c r="S924" s="55" t="n">
        <x:f>IF($D924="",0,ROUND(IF(OR($P924="Out",$P924="Suspended"),$Q924*$H924,IF($P924="Doubtful",$Q924*$H924*0.5,IF($P924="Limited",$Q924*$H924*0.25,0))),2))</x:f>
        <x:v>0</x:v>
      </x:c>
      <x:c r="T924" s="55" t="str"/>
      <x:c r="U924" s="51" t="str"/>
    </x:row>
    <x:row r="925">
      <x:c r="A925" s="51" t="str">
        <x:v>Senegal</x:v>
      </x:c>
      <x:c r="B925" s="51" t="str">
        <x:v>I</x:v>
      </x:c>
      <x:c r="C925" s="51" t="n">
        <x:v>11</x:v>
      </x:c>
      <x:c r="D925" s="71" t="str"/>
      <x:c r="E925" s="51" t="str">
        <x:v>DM</x:v>
      </x:c>
      <x:c r="F925" s="51" t="str">
        <x:v>Midfield</x:v>
      </x:c>
      <x:c r="G925" s="51" t="str">
        <x:v>Starter</x:v>
      </x:c>
      <x:c r="H925" s="55" t="n">
        <x:v>1</x:v>
      </x:c>
      <x:c r="I925" s="51" t="str"/>
      <x:c r="J925" s="72" t="str"/>
      <x:c r="K925" s="72" t="str"/>
      <x:c r="L925" s="72" t="str"/>
      <x:c r="M925" s="72" t="str"/>
      <x:c r="N925" s="72" t="str"/>
      <x:c r="O925" s="72" t="str"/>
      <x:c r="P925" s="72" t="str">
        <x:v>Available</x:v>
      </x:c>
      <x:c r="Q925" s="72" t="n">
        <x:v>0</x:v>
      </x:c>
      <x:c r="R925" s="55" t="str">
        <x:f>IF($D925="","",ROUND(MAX(0,MIN(100,0.35*$J925+0.2*$K925+0.15*$L925+0.15*$M925+0.1*$N925+0.05*$O925-IF(OR($P925="Out",$P925="Suspended"),$Q925,IF($P925="Doubtful",$Q925*0.5,IF($P925="Limited",$Q925*0.25,0))))),2))</x:f>
      </x:c>
      <x:c r="S925" s="55" t="n">
        <x:f>IF($D925="",0,ROUND(IF(OR($P925="Out",$P925="Suspended"),$Q925*$H925,IF($P925="Doubtful",$Q925*$H925*0.5,IF($P925="Limited",$Q925*$H925*0.25,0))),2))</x:f>
        <x:v>0</x:v>
      </x:c>
      <x:c r="T925" s="55" t="str"/>
      <x:c r="U925" s="51" t="str"/>
    </x:row>
    <x:row r="926">
      <x:c r="A926" s="51" t="str">
        <x:v>Senegal</x:v>
      </x:c>
      <x:c r="B926" s="51" t="str">
        <x:v>I</x:v>
      </x:c>
      <x:c r="C926" s="51" t="n">
        <x:v>12</x:v>
      </x:c>
      <x:c r="D926" s="71" t="str"/>
      <x:c r="E926" s="51" t="str">
        <x:v>CM</x:v>
      </x:c>
      <x:c r="F926" s="51" t="str">
        <x:v>Midfield</x:v>
      </x:c>
      <x:c r="G926" s="51" t="str">
        <x:v>Rotation</x:v>
      </x:c>
      <x:c r="H926" s="55" t="n">
        <x:v>0.35</x:v>
      </x:c>
      <x:c r="I926" s="51" t="str"/>
      <x:c r="J926" s="72" t="str"/>
      <x:c r="K926" s="72" t="str"/>
      <x:c r="L926" s="72" t="str"/>
      <x:c r="M926" s="72" t="str"/>
      <x:c r="N926" s="72" t="str"/>
      <x:c r="O926" s="72" t="str"/>
      <x:c r="P926" s="72" t="str">
        <x:v>Available</x:v>
      </x:c>
      <x:c r="Q926" s="72" t="n">
        <x:v>0</x:v>
      </x:c>
      <x:c r="R926" s="55" t="str">
        <x:f>IF($D926="","",ROUND(MAX(0,MIN(100,0.35*$J926+0.2*$K926+0.15*$L926+0.15*$M926+0.1*$N926+0.05*$O926-IF(OR($P926="Out",$P926="Suspended"),$Q926,IF($P926="Doubtful",$Q926*0.5,IF($P926="Limited",$Q926*0.25,0))))),2))</x:f>
      </x:c>
      <x:c r="S926" s="55" t="n">
        <x:f>IF($D926="",0,ROUND(IF(OR($P926="Out",$P926="Suspended"),$Q926*$H926,IF($P926="Doubtful",$Q926*$H926*0.5,IF($P926="Limited",$Q926*$H926*0.25,0))),2))</x:f>
        <x:v>0</x:v>
      </x:c>
      <x:c r="T926" s="55" t="str"/>
      <x:c r="U926" s="51" t="str"/>
    </x:row>
    <x:row r="927">
      <x:c r="A927" s="51" t="str">
        <x:v>Senegal</x:v>
      </x:c>
      <x:c r="B927" s="51" t="str">
        <x:v>I</x:v>
      </x:c>
      <x:c r="C927" s="51" t="n">
        <x:v>13</x:v>
      </x:c>
      <x:c r="D927" s="71" t="str"/>
      <x:c r="E927" s="51" t="str">
        <x:v>CM</x:v>
      </x:c>
      <x:c r="F927" s="51" t="str">
        <x:v>Midfield</x:v>
      </x:c>
      <x:c r="G927" s="51" t="str">
        <x:v>Rotation</x:v>
      </x:c>
      <x:c r="H927" s="55" t="n">
        <x:v>0.35</x:v>
      </x:c>
      <x:c r="I927" s="51" t="str"/>
      <x:c r="J927" s="72" t="str"/>
      <x:c r="K927" s="72" t="str"/>
      <x:c r="L927" s="72" t="str"/>
      <x:c r="M927" s="72" t="str"/>
      <x:c r="N927" s="72" t="str"/>
      <x:c r="O927" s="72" t="str"/>
      <x:c r="P927" s="72" t="str">
        <x:v>Available</x:v>
      </x:c>
      <x:c r="Q927" s="72" t="n">
        <x:v>0</x:v>
      </x:c>
      <x:c r="R927" s="55" t="str">
        <x:f>IF($D927="","",ROUND(MAX(0,MIN(100,0.35*$J927+0.2*$K927+0.15*$L927+0.15*$M927+0.1*$N927+0.05*$O927-IF(OR($P927="Out",$P927="Suspended"),$Q927,IF($P927="Doubtful",$Q927*0.5,IF($P927="Limited",$Q927*0.25,0))))),2))</x:f>
      </x:c>
      <x:c r="S927" s="55" t="n">
        <x:f>IF($D927="",0,ROUND(IF(OR($P927="Out",$P927="Suspended"),$Q927*$H927,IF($P927="Doubtful",$Q927*$H927*0.5,IF($P927="Limited",$Q927*$H927*0.25,0))),2))</x:f>
        <x:v>0</x:v>
      </x:c>
      <x:c r="T927" s="55" t="str"/>
      <x:c r="U927" s="51" t="str"/>
    </x:row>
    <x:row r="928">
      <x:c r="A928" s="51" t="str">
        <x:v>Senegal</x:v>
      </x:c>
      <x:c r="B928" s="51" t="str">
        <x:v>I</x:v>
      </x:c>
      <x:c r="C928" s="51" t="n">
        <x:v>14</x:v>
      </x:c>
      <x:c r="D928" s="71" t="str"/>
      <x:c r="E928" s="51" t="str">
        <x:v>CM</x:v>
      </x:c>
      <x:c r="F928" s="51" t="str">
        <x:v>Midfield</x:v>
      </x:c>
      <x:c r="G928" s="51" t="str">
        <x:v>Rotation</x:v>
      </x:c>
      <x:c r="H928" s="55" t="n">
        <x:v>0.35</x:v>
      </x:c>
      <x:c r="I928" s="51" t="str"/>
      <x:c r="J928" s="72" t="str"/>
      <x:c r="K928" s="72" t="str"/>
      <x:c r="L928" s="72" t="str"/>
      <x:c r="M928" s="72" t="str"/>
      <x:c r="N928" s="72" t="str"/>
      <x:c r="O928" s="72" t="str"/>
      <x:c r="P928" s="72" t="str">
        <x:v>Available</x:v>
      </x:c>
      <x:c r="Q928" s="72" t="n">
        <x:v>0</x:v>
      </x:c>
      <x:c r="R928" s="55" t="str">
        <x:f>IF($D928="","",ROUND(MAX(0,MIN(100,0.35*$J928+0.2*$K928+0.15*$L928+0.15*$M928+0.1*$N928+0.05*$O928-IF(OR($P928="Out",$P928="Suspended"),$Q928,IF($P928="Doubtful",$Q928*0.5,IF($P928="Limited",$Q928*0.25,0))))),2))</x:f>
      </x:c>
      <x:c r="S928" s="55" t="n">
        <x:f>IF($D928="",0,ROUND(IF(OR($P928="Out",$P928="Suspended"),$Q928*$H928,IF($P928="Doubtful",$Q928*$H928*0.5,IF($P928="Limited",$Q928*$H928*0.25,0))),2))</x:f>
        <x:v>0</x:v>
      </x:c>
      <x:c r="T928" s="55" t="str"/>
      <x:c r="U928" s="51" t="str"/>
    </x:row>
    <x:row r="929">
      <x:c r="A929" s="51" t="str">
        <x:v>Senegal</x:v>
      </x:c>
      <x:c r="B929" s="51" t="str">
        <x:v>I</x:v>
      </x:c>
      <x:c r="C929" s="51" t="n">
        <x:v>15</x:v>
      </x:c>
      <x:c r="D929" s="71" t="str"/>
      <x:c r="E929" s="51" t="str">
        <x:v>CM</x:v>
      </x:c>
      <x:c r="F929" s="51" t="str">
        <x:v>Midfield</x:v>
      </x:c>
      <x:c r="G929" s="51" t="str">
        <x:v>Rotation</x:v>
      </x:c>
      <x:c r="H929" s="55" t="n">
        <x:v>0.35</x:v>
      </x:c>
      <x:c r="I929" s="51" t="str"/>
      <x:c r="J929" s="72" t="str"/>
      <x:c r="K929" s="72" t="str"/>
      <x:c r="L929" s="72" t="str"/>
      <x:c r="M929" s="72" t="str"/>
      <x:c r="N929" s="72" t="str"/>
      <x:c r="O929" s="72" t="str"/>
      <x:c r="P929" s="72" t="str">
        <x:v>Available</x:v>
      </x:c>
      <x:c r="Q929" s="72" t="n">
        <x:v>0</x:v>
      </x:c>
      <x:c r="R929" s="55" t="str">
        <x:f>IF($D929="","",ROUND(MAX(0,MIN(100,0.35*$J929+0.2*$K929+0.15*$L929+0.15*$M929+0.1*$N929+0.05*$O929-IF(OR($P929="Out",$P929="Suspended"),$Q929,IF($P929="Doubtful",$Q929*0.5,IF($P929="Limited",$Q929*0.25,0))))),2))</x:f>
      </x:c>
      <x:c r="S929" s="55" t="n">
        <x:f>IF($D929="",0,ROUND(IF(OR($P929="Out",$P929="Suspended"),$Q929*$H929,IF($P929="Doubtful",$Q929*$H929*0.5,IF($P929="Limited",$Q929*$H929*0.25,0))),2))</x:f>
        <x:v>0</x:v>
      </x:c>
      <x:c r="T929" s="55" t="str"/>
      <x:c r="U929" s="51" t="str"/>
    </x:row>
    <x:row r="930">
      <x:c r="A930" s="51" t="str">
        <x:v>Senegal</x:v>
      </x:c>
      <x:c r="B930" s="51" t="str">
        <x:v>I</x:v>
      </x:c>
      <x:c r="C930" s="51" t="n">
        <x:v>16</x:v>
      </x:c>
      <x:c r="D930" s="71" t="str"/>
      <x:c r="E930" s="51" t="str">
        <x:v>AM</x:v>
      </x:c>
      <x:c r="F930" s="51" t="str">
        <x:v>Attack</x:v>
      </x:c>
      <x:c r="G930" s="51" t="str">
        <x:v>Rotation</x:v>
      </x:c>
      <x:c r="H930" s="55" t="n">
        <x:v>0.35</x:v>
      </x:c>
      <x:c r="I930" s="51" t="str"/>
      <x:c r="J930" s="72" t="str"/>
      <x:c r="K930" s="72" t="str"/>
      <x:c r="L930" s="72" t="str"/>
      <x:c r="M930" s="72" t="str"/>
      <x:c r="N930" s="72" t="str"/>
      <x:c r="O930" s="72" t="str"/>
      <x:c r="P930" s="72" t="str">
        <x:v>Available</x:v>
      </x:c>
      <x:c r="Q930" s="72" t="n">
        <x:v>0</x:v>
      </x:c>
      <x:c r="R930" s="55" t="str">
        <x:f>IF($D930="","",ROUND(MAX(0,MIN(100,0.35*$J930+0.2*$K930+0.15*$L930+0.15*$M930+0.1*$N930+0.05*$O930-IF(OR($P930="Out",$P930="Suspended"),$Q930,IF($P930="Doubtful",$Q930*0.5,IF($P930="Limited",$Q930*0.25,0))))),2))</x:f>
      </x:c>
      <x:c r="S930" s="55" t="n">
        <x:f>IF($D930="",0,ROUND(IF(OR($P930="Out",$P930="Suspended"),$Q930*$H930,IF($P930="Doubtful",$Q930*$H930*0.5,IF($P930="Limited",$Q930*$H930*0.25,0))),2))</x:f>
        <x:v>0</x:v>
      </x:c>
      <x:c r="T930" s="55" t="str"/>
      <x:c r="U930" s="51" t="str"/>
    </x:row>
    <x:row r="931">
      <x:c r="A931" s="51" t="str">
        <x:v>Senegal</x:v>
      </x:c>
      <x:c r="B931" s="51" t="str">
        <x:v>I</x:v>
      </x:c>
      <x:c r="C931" s="51" t="n">
        <x:v>17</x:v>
      </x:c>
      <x:c r="D931" s="71" t="str"/>
      <x:c r="E931" s="51" t="str">
        <x:v>AM</x:v>
      </x:c>
      <x:c r="F931" s="51" t="str">
        <x:v>Attack</x:v>
      </x:c>
      <x:c r="G931" s="51" t="str">
        <x:v>Rotation</x:v>
      </x:c>
      <x:c r="H931" s="55" t="n">
        <x:v>0.35</x:v>
      </x:c>
      <x:c r="I931" s="51" t="str"/>
      <x:c r="J931" s="72" t="str"/>
      <x:c r="K931" s="72" t="str"/>
      <x:c r="L931" s="72" t="str"/>
      <x:c r="M931" s="72" t="str"/>
      <x:c r="N931" s="72" t="str"/>
      <x:c r="O931" s="72" t="str"/>
      <x:c r="P931" s="72" t="str">
        <x:v>Available</x:v>
      </x:c>
      <x:c r="Q931" s="72" t="n">
        <x:v>0</x:v>
      </x:c>
      <x:c r="R931" s="55" t="str">
        <x:f>IF($D931="","",ROUND(MAX(0,MIN(100,0.35*$J931+0.2*$K931+0.15*$L931+0.15*$M931+0.1*$N931+0.05*$O931-IF(OR($P931="Out",$P931="Suspended"),$Q931,IF($P931="Doubtful",$Q931*0.5,IF($P931="Limited",$Q931*0.25,0))))),2))</x:f>
      </x:c>
      <x:c r="S931" s="55" t="n">
        <x:f>IF($D931="",0,ROUND(IF(OR($P931="Out",$P931="Suspended"),$Q931*$H931,IF($P931="Doubtful",$Q931*$H931*0.5,IF($P931="Limited",$Q931*$H931*0.25,0))),2))</x:f>
        <x:v>0</x:v>
      </x:c>
      <x:c r="T931" s="55" t="str"/>
      <x:c r="U931" s="51" t="str"/>
    </x:row>
    <x:row r="932">
      <x:c r="A932" s="51" t="str">
        <x:v>Senegal</x:v>
      </x:c>
      <x:c r="B932" s="51" t="str">
        <x:v>I</x:v>
      </x:c>
      <x:c r="C932" s="51" t="n">
        <x:v>18</x:v>
      </x:c>
      <x:c r="D932" s="71" t="str"/>
      <x:c r="E932" s="51" t="str">
        <x:v>AM</x:v>
      </x:c>
      <x:c r="F932" s="51" t="str">
        <x:v>Attack</x:v>
      </x:c>
      <x:c r="G932" s="51" t="str">
        <x:v>Rotation</x:v>
      </x:c>
      <x:c r="H932" s="55" t="n">
        <x:v>0.35</x:v>
      </x:c>
      <x:c r="I932" s="51" t="str"/>
      <x:c r="J932" s="72" t="str"/>
      <x:c r="K932" s="72" t="str"/>
      <x:c r="L932" s="72" t="str"/>
      <x:c r="M932" s="72" t="str"/>
      <x:c r="N932" s="72" t="str"/>
      <x:c r="O932" s="72" t="str"/>
      <x:c r="P932" s="72" t="str">
        <x:v>Available</x:v>
      </x:c>
      <x:c r="Q932" s="72" t="n">
        <x:v>0</x:v>
      </x:c>
      <x:c r="R932" s="55" t="str">
        <x:f>IF($D932="","",ROUND(MAX(0,MIN(100,0.35*$J932+0.2*$K932+0.15*$L932+0.15*$M932+0.1*$N932+0.05*$O932-IF(OR($P932="Out",$P932="Suspended"),$Q932,IF($P932="Doubtful",$Q932*0.5,IF($P932="Limited",$Q932*0.25,0))))),2))</x:f>
      </x:c>
      <x:c r="S932" s="55" t="n">
        <x:f>IF($D932="",0,ROUND(IF(OR($P932="Out",$P932="Suspended"),$Q932*$H932,IF($P932="Doubtful",$Q932*$H932*0.5,IF($P932="Limited",$Q932*$H932*0.25,0))),2))</x:f>
        <x:v>0</x:v>
      </x:c>
      <x:c r="T932" s="55" t="str"/>
      <x:c r="U932" s="51" t="str"/>
    </x:row>
    <x:row r="933">
      <x:c r="A933" s="51" t="str">
        <x:v>Senegal</x:v>
      </x:c>
      <x:c r="B933" s="51" t="str">
        <x:v>I</x:v>
      </x:c>
      <x:c r="C933" s="51" t="n">
        <x:v>19</x:v>
      </x:c>
      <x:c r="D933" s="71" t="str"/>
      <x:c r="E933" s="51" t="str">
        <x:v>AM</x:v>
      </x:c>
      <x:c r="F933" s="51" t="str">
        <x:v>Attack</x:v>
      </x:c>
      <x:c r="G933" s="51" t="str">
        <x:v>Rotation</x:v>
      </x:c>
      <x:c r="H933" s="55" t="n">
        <x:v>0.35</x:v>
      </x:c>
      <x:c r="I933" s="51" t="str"/>
      <x:c r="J933" s="72" t="str"/>
      <x:c r="K933" s="72" t="str"/>
      <x:c r="L933" s="72" t="str"/>
      <x:c r="M933" s="72" t="str"/>
      <x:c r="N933" s="72" t="str"/>
      <x:c r="O933" s="72" t="str"/>
      <x:c r="P933" s="72" t="str">
        <x:v>Available</x:v>
      </x:c>
      <x:c r="Q933" s="72" t="n">
        <x:v>0</x:v>
      </x:c>
      <x:c r="R933" s="55" t="str">
        <x:f>IF($D933="","",ROUND(MAX(0,MIN(100,0.35*$J933+0.2*$K933+0.15*$L933+0.15*$M933+0.1*$N933+0.05*$O933-IF(OR($P933="Out",$P933="Suspended"),$Q933,IF($P933="Doubtful",$Q933*0.5,IF($P933="Limited",$Q933*0.25,0))))),2))</x:f>
      </x:c>
      <x:c r="S933" s="55" t="n">
        <x:f>IF($D933="",0,ROUND(IF(OR($P933="Out",$P933="Suspended"),$Q933*$H933,IF($P933="Doubtful",$Q933*$H933*0.5,IF($P933="Limited",$Q933*$H933*0.25,0))),2))</x:f>
        <x:v>0</x:v>
      </x:c>
      <x:c r="T933" s="55" t="str"/>
      <x:c r="U933" s="51" t="str"/>
    </x:row>
    <x:row r="934">
      <x:c r="A934" s="51" t="str">
        <x:v>Senegal</x:v>
      </x:c>
      <x:c r="B934" s="51" t="str">
        <x:v>I</x:v>
      </x:c>
      <x:c r="C934" s="51" t="n">
        <x:v>20</x:v>
      </x:c>
      <x:c r="D934" s="71" t="str"/>
      <x:c r="E934" s="51" t="str">
        <x:v>Winger</x:v>
      </x:c>
      <x:c r="F934" s="51" t="str">
        <x:v>Attack</x:v>
      </x:c>
      <x:c r="G934" s="51" t="str">
        <x:v>Rotation</x:v>
      </x:c>
      <x:c r="H934" s="55" t="n">
        <x:v>0.35</x:v>
      </x:c>
      <x:c r="I934" s="51" t="str"/>
      <x:c r="J934" s="72" t="str"/>
      <x:c r="K934" s="72" t="str"/>
      <x:c r="L934" s="72" t="str"/>
      <x:c r="M934" s="72" t="str"/>
      <x:c r="N934" s="72" t="str"/>
      <x:c r="O934" s="72" t="str"/>
      <x:c r="P934" s="72" t="str">
        <x:v>Available</x:v>
      </x:c>
      <x:c r="Q934" s="72" t="n">
        <x:v>0</x:v>
      </x:c>
      <x:c r="R934" s="55" t="str">
        <x:f>IF($D934="","",ROUND(MAX(0,MIN(100,0.35*$J934+0.2*$K934+0.15*$L934+0.15*$M934+0.1*$N934+0.05*$O934-IF(OR($P934="Out",$P934="Suspended"),$Q934,IF($P934="Doubtful",$Q934*0.5,IF($P934="Limited",$Q934*0.25,0))))),2))</x:f>
      </x:c>
      <x:c r="S934" s="55" t="n">
        <x:f>IF($D934="",0,ROUND(IF(OR($P934="Out",$P934="Suspended"),$Q934*$H934,IF($P934="Doubtful",$Q934*$H934*0.5,IF($P934="Limited",$Q934*$H934*0.25,0))),2))</x:f>
        <x:v>0</x:v>
      </x:c>
      <x:c r="T934" s="55" t="str"/>
      <x:c r="U934" s="51" t="str"/>
    </x:row>
    <x:row r="935">
      <x:c r="A935" s="51" t="str">
        <x:v>Senegal</x:v>
      </x:c>
      <x:c r="B935" s="51" t="str">
        <x:v>I</x:v>
      </x:c>
      <x:c r="C935" s="51" t="n">
        <x:v>21</x:v>
      </x:c>
      <x:c r="D935" s="71" t="str"/>
      <x:c r="E935" s="51" t="str">
        <x:v>Winger</x:v>
      </x:c>
      <x:c r="F935" s="51" t="str">
        <x:v>Attack</x:v>
      </x:c>
      <x:c r="G935" s="51" t="str">
        <x:v>Depth</x:v>
      </x:c>
      <x:c r="H935" s="55" t="n">
        <x:v>0.1</x:v>
      </x:c>
      <x:c r="I935" s="51" t="str"/>
      <x:c r="J935" s="72" t="str"/>
      <x:c r="K935" s="72" t="str"/>
      <x:c r="L935" s="72" t="str"/>
      <x:c r="M935" s="72" t="str"/>
      <x:c r="N935" s="72" t="str"/>
      <x:c r="O935" s="72" t="str"/>
      <x:c r="P935" s="72" t="str">
        <x:v>Available</x:v>
      </x:c>
      <x:c r="Q935" s="72" t="n">
        <x:v>0</x:v>
      </x:c>
      <x:c r="R935" s="55" t="str">
        <x:f>IF($D935="","",ROUND(MAX(0,MIN(100,0.35*$J935+0.2*$K935+0.15*$L935+0.15*$M935+0.1*$N935+0.05*$O935-IF(OR($P935="Out",$P935="Suspended"),$Q935,IF($P935="Doubtful",$Q935*0.5,IF($P935="Limited",$Q935*0.25,0))))),2))</x:f>
      </x:c>
      <x:c r="S935" s="55" t="n">
        <x:f>IF($D935="",0,ROUND(IF(OR($P935="Out",$P935="Suspended"),$Q935*$H935,IF($P935="Doubtful",$Q935*$H935*0.5,IF($P935="Limited",$Q935*$H935*0.25,0))),2))</x:f>
        <x:v>0</x:v>
      </x:c>
      <x:c r="T935" s="55" t="str"/>
      <x:c r="U935" s="51" t="str"/>
    </x:row>
    <x:row r="936">
      <x:c r="A936" s="51" t="str">
        <x:v>Senegal</x:v>
      </x:c>
      <x:c r="B936" s="51" t="str">
        <x:v>I</x:v>
      </x:c>
      <x:c r="C936" s="51" t="n">
        <x:v>22</x:v>
      </x:c>
      <x:c r="D936" s="71" t="str"/>
      <x:c r="E936" s="51" t="str">
        <x:v>Winger</x:v>
      </x:c>
      <x:c r="F936" s="51" t="str">
        <x:v>Attack</x:v>
      </x:c>
      <x:c r="G936" s="51" t="str">
        <x:v>Depth</x:v>
      </x:c>
      <x:c r="H936" s="55" t="n">
        <x:v>0.1</x:v>
      </x:c>
      <x:c r="I936" s="51" t="str"/>
      <x:c r="J936" s="72" t="str"/>
      <x:c r="K936" s="72" t="str"/>
      <x:c r="L936" s="72" t="str"/>
      <x:c r="M936" s="72" t="str"/>
      <x:c r="N936" s="72" t="str"/>
      <x:c r="O936" s="72" t="str"/>
      <x:c r="P936" s="72" t="str">
        <x:v>Available</x:v>
      </x:c>
      <x:c r="Q936" s="72" t="n">
        <x:v>0</x:v>
      </x:c>
      <x:c r="R936" s="55" t="str">
        <x:f>IF($D936="","",ROUND(MAX(0,MIN(100,0.35*$J936+0.2*$K936+0.15*$L936+0.15*$M936+0.1*$N936+0.05*$O936-IF(OR($P936="Out",$P936="Suspended"),$Q936,IF($P936="Doubtful",$Q936*0.5,IF($P936="Limited",$Q936*0.25,0))))),2))</x:f>
      </x:c>
      <x:c r="S936" s="55" t="n">
        <x:f>IF($D936="",0,ROUND(IF(OR($P936="Out",$P936="Suspended"),$Q936*$H936,IF($P936="Doubtful",$Q936*$H936*0.5,IF($P936="Limited",$Q936*$H936*0.25,0))),2))</x:f>
        <x:v>0</x:v>
      </x:c>
      <x:c r="T936" s="55" t="str"/>
      <x:c r="U936" s="51" t="str"/>
    </x:row>
    <x:row r="937">
      <x:c r="A937" s="51" t="str">
        <x:v>Senegal</x:v>
      </x:c>
      <x:c r="B937" s="51" t="str">
        <x:v>I</x:v>
      </x:c>
      <x:c r="C937" s="51" t="n">
        <x:v>23</x:v>
      </x:c>
      <x:c r="D937" s="71" t="str"/>
      <x:c r="E937" s="51" t="str">
        <x:v>Winger</x:v>
      </x:c>
      <x:c r="F937" s="51" t="str">
        <x:v>Attack</x:v>
      </x:c>
      <x:c r="G937" s="51" t="str">
        <x:v>Depth</x:v>
      </x:c>
      <x:c r="H937" s="55" t="n">
        <x:v>0.1</x:v>
      </x:c>
      <x:c r="I937" s="51" t="str"/>
      <x:c r="J937" s="72" t="str"/>
      <x:c r="K937" s="72" t="str"/>
      <x:c r="L937" s="72" t="str"/>
      <x:c r="M937" s="72" t="str"/>
      <x:c r="N937" s="72" t="str"/>
      <x:c r="O937" s="72" t="str"/>
      <x:c r="P937" s="72" t="str">
        <x:v>Available</x:v>
      </x:c>
      <x:c r="Q937" s="72" t="n">
        <x:v>0</x:v>
      </x:c>
      <x:c r="R937" s="55" t="str">
        <x:f>IF($D937="","",ROUND(MAX(0,MIN(100,0.35*$J937+0.2*$K937+0.15*$L937+0.15*$M937+0.1*$N937+0.05*$O937-IF(OR($P937="Out",$P937="Suspended"),$Q937,IF($P937="Doubtful",$Q937*0.5,IF($P937="Limited",$Q937*0.25,0))))),2))</x:f>
      </x:c>
      <x:c r="S937" s="55" t="n">
        <x:f>IF($D937="",0,ROUND(IF(OR($P937="Out",$P937="Suspended"),$Q937*$H937,IF($P937="Doubtful",$Q937*$H937*0.5,IF($P937="Limited",$Q937*$H937*0.25,0))),2))</x:f>
        <x:v>0</x:v>
      </x:c>
      <x:c r="T937" s="55" t="str"/>
      <x:c r="U937" s="51" t="str"/>
    </x:row>
    <x:row r="938">
      <x:c r="A938" s="51" t="str">
        <x:v>Senegal</x:v>
      </x:c>
      <x:c r="B938" s="51" t="str">
        <x:v>I</x:v>
      </x:c>
      <x:c r="C938" s="51" t="n">
        <x:v>24</x:v>
      </x:c>
      <x:c r="D938" s="71" t="str"/>
      <x:c r="E938" s="51" t="str">
        <x:v>ST</x:v>
      </x:c>
      <x:c r="F938" s="51" t="str">
        <x:v>Attack</x:v>
      </x:c>
      <x:c r="G938" s="51" t="str">
        <x:v>Depth</x:v>
      </x:c>
      <x:c r="H938" s="55" t="n">
        <x:v>0.1</x:v>
      </x:c>
      <x:c r="I938" s="51" t="str"/>
      <x:c r="J938" s="72" t="str"/>
      <x:c r="K938" s="72" t="str"/>
      <x:c r="L938" s="72" t="str"/>
      <x:c r="M938" s="72" t="str"/>
      <x:c r="N938" s="72" t="str"/>
      <x:c r="O938" s="72" t="str"/>
      <x:c r="P938" s="72" t="str">
        <x:v>Available</x:v>
      </x:c>
      <x:c r="Q938" s="72" t="n">
        <x:v>0</x:v>
      </x:c>
      <x:c r="R938" s="55" t="str">
        <x:f>IF($D938="","",ROUND(MAX(0,MIN(100,0.35*$J938+0.2*$K938+0.15*$L938+0.15*$M938+0.1*$N938+0.05*$O938-IF(OR($P938="Out",$P938="Suspended"),$Q938,IF($P938="Doubtful",$Q938*0.5,IF($P938="Limited",$Q938*0.25,0))))),2))</x:f>
      </x:c>
      <x:c r="S938" s="55" t="n">
        <x:f>IF($D938="",0,ROUND(IF(OR($P938="Out",$P938="Suspended"),$Q938*$H938,IF($P938="Doubtful",$Q938*$H938*0.5,IF($P938="Limited",$Q938*$H938*0.25,0))),2))</x:f>
        <x:v>0</x:v>
      </x:c>
      <x:c r="T938" s="55" t="str"/>
      <x:c r="U938" s="51" t="str"/>
    </x:row>
    <x:row r="939">
      <x:c r="A939" s="51" t="str">
        <x:v>Senegal</x:v>
      </x:c>
      <x:c r="B939" s="51" t="str">
        <x:v>I</x:v>
      </x:c>
      <x:c r="C939" s="51" t="n">
        <x:v>25</x:v>
      </x:c>
      <x:c r="D939" s="71" t="str"/>
      <x:c r="E939" s="51" t="str">
        <x:v>ST</x:v>
      </x:c>
      <x:c r="F939" s="51" t="str">
        <x:v>Attack</x:v>
      </x:c>
      <x:c r="G939" s="51" t="str">
        <x:v>Depth</x:v>
      </x:c>
      <x:c r="H939" s="55" t="n">
        <x:v>0.1</x:v>
      </x:c>
      <x:c r="I939" s="51" t="str"/>
      <x:c r="J939" s="72" t="str"/>
      <x:c r="K939" s="72" t="str"/>
      <x:c r="L939" s="72" t="str"/>
      <x:c r="M939" s="72" t="str"/>
      <x:c r="N939" s="72" t="str"/>
      <x:c r="O939" s="72" t="str"/>
      <x:c r="P939" s="72" t="str">
        <x:v>Available</x:v>
      </x:c>
      <x:c r="Q939" s="72" t="n">
        <x:v>0</x:v>
      </x:c>
      <x:c r="R939" s="55" t="str">
        <x:f>IF($D939="","",ROUND(MAX(0,MIN(100,0.35*$J939+0.2*$K939+0.15*$L939+0.15*$M939+0.1*$N939+0.05*$O939-IF(OR($P939="Out",$P939="Suspended"),$Q939,IF($P939="Doubtful",$Q939*0.5,IF($P939="Limited",$Q939*0.25,0))))),2))</x:f>
      </x:c>
      <x:c r="S939" s="55" t="n">
        <x:f>IF($D939="",0,ROUND(IF(OR($P939="Out",$P939="Suspended"),$Q939*$H939,IF($P939="Doubtful",$Q939*$H939*0.5,IF($P939="Limited",$Q939*$H939*0.25,0))),2))</x:f>
        <x:v>0</x:v>
      </x:c>
      <x:c r="T939" s="55" t="str"/>
      <x:c r="U939" s="51" t="str"/>
    </x:row>
    <x:row r="940">
      <x:c r="A940" s="51" t="str">
        <x:v>Senegal</x:v>
      </x:c>
      <x:c r="B940" s="51" t="str">
        <x:v>I</x:v>
      </x:c>
      <x:c r="C940" s="51" t="n">
        <x:v>26</x:v>
      </x:c>
      <x:c r="D940" s="71" t="str"/>
      <x:c r="E940" s="51" t="str">
        <x:v>ST</x:v>
      </x:c>
      <x:c r="F940" s="51" t="str">
        <x:v>Attack</x:v>
      </x:c>
      <x:c r="G940" s="51" t="str">
        <x:v>Depth</x:v>
      </x:c>
      <x:c r="H940" s="55" t="n">
        <x:v>0.1</x:v>
      </x:c>
      <x:c r="I940" s="51" t="str"/>
      <x:c r="J940" s="72" t="str"/>
      <x:c r="K940" s="72" t="str"/>
      <x:c r="L940" s="72" t="str"/>
      <x:c r="M940" s="72" t="str"/>
      <x:c r="N940" s="72" t="str"/>
      <x:c r="O940" s="72" t="str"/>
      <x:c r="P940" s="72" t="str">
        <x:v>Available</x:v>
      </x:c>
      <x:c r="Q940" s="72" t="n">
        <x:v>0</x:v>
      </x:c>
      <x:c r="R940" s="55" t="str">
        <x:f>IF($D940="","",ROUND(MAX(0,MIN(100,0.35*$J940+0.2*$K940+0.15*$L940+0.15*$M940+0.1*$N940+0.05*$O940-IF(OR($P940="Out",$P940="Suspended"),$Q940,IF($P940="Doubtful",$Q940*0.5,IF($P940="Limited",$Q940*0.25,0))))),2))</x:f>
      </x:c>
      <x:c r="S940" s="55" t="n">
        <x:f>IF($D940="",0,ROUND(IF(OR($P940="Out",$P940="Suspended"),$Q940*$H940,IF($P940="Doubtful",$Q940*$H940*0.5,IF($P940="Limited",$Q940*$H940*0.25,0))),2))</x:f>
        <x:v>0</x:v>
      </x:c>
      <x:c r="T940" s="55" t="str"/>
      <x:c r="U940" s="51" t="str"/>
    </x:row>
    <x:row r="941">
      <x:c r="A941" s="51" t="str">
        <x:v>Algeria</x:v>
      </x:c>
      <x:c r="B941" s="51" t="str">
        <x:v>J</x:v>
      </x:c>
      <x:c r="C941" s="51" t="n">
        <x:v>1</x:v>
      </x:c>
      <x:c r="D941" s="71" t="str"/>
      <x:c r="E941" s="51" t="str">
        <x:v>GK</x:v>
      </x:c>
      <x:c r="F941" s="51" t="str">
        <x:v>GK</x:v>
      </x:c>
      <x:c r="G941" s="51" t="str">
        <x:v>Starter</x:v>
      </x:c>
      <x:c r="H941" s="55" t="n">
        <x:v>1</x:v>
      </x:c>
      <x:c r="I941" s="51" t="str"/>
      <x:c r="J941" s="72" t="str"/>
      <x:c r="K941" s="72" t="str"/>
      <x:c r="L941" s="72" t="str"/>
      <x:c r="M941" s="72" t="str"/>
      <x:c r="N941" s="72" t="str"/>
      <x:c r="O941" s="72" t="str"/>
      <x:c r="P941" s="72" t="str">
        <x:v>Available</x:v>
      </x:c>
      <x:c r="Q941" s="72" t="n">
        <x:v>0</x:v>
      </x:c>
      <x:c r="R941" s="55" t="str">
        <x:f>IF($D941="","",ROUND(MAX(0,MIN(100,0.35*$J941+0.2*$K941+0.15*$L941+0.15*$M941+0.1*$N941+0.05*$O941-IF(OR($P941="Out",$P941="Suspended"),$Q941,IF($P941="Doubtful",$Q941*0.5,IF($P941="Limited",$Q941*0.25,0))))),2))</x:f>
      </x:c>
      <x:c r="S941" s="55" t="n">
        <x:f>IF($D941="",0,ROUND(IF(OR($P941="Out",$P941="Suspended"),$Q941*$H941,IF($P941="Doubtful",$Q941*$H941*0.5,IF($P941="Limited",$Q941*$H941*0.25,0))),2))</x:f>
        <x:v>0</x:v>
      </x:c>
      <x:c r="T941" s="55" t="str"/>
      <x:c r="U941" s="51" t="str"/>
    </x:row>
    <x:row r="942">
      <x:c r="A942" s="51" t="str">
        <x:v>Algeria</x:v>
      </x:c>
      <x:c r="B942" s="51" t="str">
        <x:v>J</x:v>
      </x:c>
      <x:c r="C942" s="51" t="n">
        <x:v>2</x:v>
      </x:c>
      <x:c r="D942" s="71" t="str"/>
      <x:c r="E942" s="51" t="str">
        <x:v>GK</x:v>
      </x:c>
      <x:c r="F942" s="51" t="str">
        <x:v>GK</x:v>
      </x:c>
      <x:c r="G942" s="51" t="str">
        <x:v>Starter</x:v>
      </x:c>
      <x:c r="H942" s="55" t="n">
        <x:v>1</x:v>
      </x:c>
      <x:c r="I942" s="51" t="str"/>
      <x:c r="J942" s="72" t="str"/>
      <x:c r="K942" s="72" t="str"/>
      <x:c r="L942" s="72" t="str"/>
      <x:c r="M942" s="72" t="str"/>
      <x:c r="N942" s="72" t="str"/>
      <x:c r="O942" s="72" t="str"/>
      <x:c r="P942" s="72" t="str">
        <x:v>Available</x:v>
      </x:c>
      <x:c r="Q942" s="72" t="n">
        <x:v>0</x:v>
      </x:c>
      <x:c r="R942" s="55" t="str">
        <x:f>IF($D942="","",ROUND(MAX(0,MIN(100,0.35*$J942+0.2*$K942+0.15*$L942+0.15*$M942+0.1*$N942+0.05*$O942-IF(OR($P942="Out",$P942="Suspended"),$Q942,IF($P942="Doubtful",$Q942*0.5,IF($P942="Limited",$Q942*0.25,0))))),2))</x:f>
      </x:c>
      <x:c r="S942" s="55" t="n">
        <x:f>IF($D942="",0,ROUND(IF(OR($P942="Out",$P942="Suspended"),$Q942*$H942,IF($P942="Doubtful",$Q942*$H942*0.5,IF($P942="Limited",$Q942*$H942*0.25,0))),2))</x:f>
        <x:v>0</x:v>
      </x:c>
      <x:c r="T942" s="55" t="str"/>
      <x:c r="U942" s="51" t="str"/>
    </x:row>
    <x:row r="943">
      <x:c r="A943" s="51" t="str">
        <x:v>Algeria</x:v>
      </x:c>
      <x:c r="B943" s="51" t="str">
        <x:v>J</x:v>
      </x:c>
      <x:c r="C943" s="51" t="n">
        <x:v>3</x:v>
      </x:c>
      <x:c r="D943" s="71" t="str"/>
      <x:c r="E943" s="51" t="str">
        <x:v>GK</x:v>
      </x:c>
      <x:c r="F943" s="51" t="str">
        <x:v>GK</x:v>
      </x:c>
      <x:c r="G943" s="51" t="str">
        <x:v>Starter</x:v>
      </x:c>
      <x:c r="H943" s="55" t="n">
        <x:v>1</x:v>
      </x:c>
      <x:c r="I943" s="51" t="str"/>
      <x:c r="J943" s="72" t="str"/>
      <x:c r="K943" s="72" t="str"/>
      <x:c r="L943" s="72" t="str"/>
      <x:c r="M943" s="72" t="str"/>
      <x:c r="N943" s="72" t="str"/>
      <x:c r="O943" s="72" t="str"/>
      <x:c r="P943" s="72" t="str">
        <x:v>Available</x:v>
      </x:c>
      <x:c r="Q943" s="72" t="n">
        <x:v>0</x:v>
      </x:c>
      <x:c r="R943" s="55" t="str">
        <x:f>IF($D943="","",ROUND(MAX(0,MIN(100,0.35*$J943+0.2*$K943+0.15*$L943+0.15*$M943+0.1*$N943+0.05*$O943-IF(OR($P943="Out",$P943="Suspended"),$Q943,IF($P943="Doubtful",$Q943*0.5,IF($P943="Limited",$Q943*0.25,0))))),2))</x:f>
      </x:c>
      <x:c r="S943" s="55" t="n">
        <x:f>IF($D943="",0,ROUND(IF(OR($P943="Out",$P943="Suspended"),$Q943*$H943,IF($P943="Doubtful",$Q943*$H943*0.5,IF($P943="Limited",$Q943*$H943*0.25,0))),2))</x:f>
        <x:v>0</x:v>
      </x:c>
      <x:c r="T943" s="55" t="str"/>
      <x:c r="U943" s="51" t="str"/>
    </x:row>
    <x:row r="944">
      <x:c r="A944" s="51" t="str">
        <x:v>Algeria</x:v>
      </x:c>
      <x:c r="B944" s="51" t="str">
        <x:v>J</x:v>
      </x:c>
      <x:c r="C944" s="51" t="n">
        <x:v>4</x:v>
      </x:c>
      <x:c r="D944" s="71" t="str"/>
      <x:c r="E944" s="51" t="str">
        <x:v>CB</x:v>
      </x:c>
      <x:c r="F944" s="51" t="str">
        <x:v>Defence</x:v>
      </x:c>
      <x:c r="G944" s="51" t="str">
        <x:v>Starter</x:v>
      </x:c>
      <x:c r="H944" s="55" t="n">
        <x:v>1</x:v>
      </x:c>
      <x:c r="I944" s="51" t="str"/>
      <x:c r="J944" s="72" t="str"/>
      <x:c r="K944" s="72" t="str"/>
      <x:c r="L944" s="72" t="str"/>
      <x:c r="M944" s="72" t="str"/>
      <x:c r="N944" s="72" t="str"/>
      <x:c r="O944" s="72" t="str"/>
      <x:c r="P944" s="72" t="str">
        <x:v>Available</x:v>
      </x:c>
      <x:c r="Q944" s="72" t="n">
        <x:v>0</x:v>
      </x:c>
      <x:c r="R944" s="55" t="str">
        <x:f>IF($D944="","",ROUND(MAX(0,MIN(100,0.35*$J944+0.2*$K944+0.15*$L944+0.15*$M944+0.1*$N944+0.05*$O944-IF(OR($P944="Out",$P944="Suspended"),$Q944,IF($P944="Doubtful",$Q944*0.5,IF($P944="Limited",$Q944*0.25,0))))),2))</x:f>
      </x:c>
      <x:c r="S944" s="55" t="n">
        <x:f>IF($D944="",0,ROUND(IF(OR($P944="Out",$P944="Suspended"),$Q944*$H944,IF($P944="Doubtful",$Q944*$H944*0.5,IF($P944="Limited",$Q944*$H944*0.25,0))),2))</x:f>
        <x:v>0</x:v>
      </x:c>
      <x:c r="T944" s="55" t="str"/>
      <x:c r="U944" s="51" t="str"/>
    </x:row>
    <x:row r="945">
      <x:c r="A945" s="51" t="str">
        <x:v>Algeria</x:v>
      </x:c>
      <x:c r="B945" s="51" t="str">
        <x:v>J</x:v>
      </x:c>
      <x:c r="C945" s="51" t="n">
        <x:v>5</x:v>
      </x:c>
      <x:c r="D945" s="71" t="str"/>
      <x:c r="E945" s="51" t="str">
        <x:v>CB</x:v>
      </x:c>
      <x:c r="F945" s="51" t="str">
        <x:v>Defence</x:v>
      </x:c>
      <x:c r="G945" s="51" t="str">
        <x:v>Starter</x:v>
      </x:c>
      <x:c r="H945" s="55" t="n">
        <x:v>1</x:v>
      </x:c>
      <x:c r="I945" s="51" t="str"/>
      <x:c r="J945" s="72" t="str"/>
      <x:c r="K945" s="72" t="str"/>
      <x:c r="L945" s="72" t="str"/>
      <x:c r="M945" s="72" t="str"/>
      <x:c r="N945" s="72" t="str"/>
      <x:c r="O945" s="72" t="str"/>
      <x:c r="P945" s="72" t="str">
        <x:v>Available</x:v>
      </x:c>
      <x:c r="Q945" s="72" t="n">
        <x:v>0</x:v>
      </x:c>
      <x:c r="R945" s="55" t="str">
        <x:f>IF($D945="","",ROUND(MAX(0,MIN(100,0.35*$J945+0.2*$K945+0.15*$L945+0.15*$M945+0.1*$N945+0.05*$O945-IF(OR($P945="Out",$P945="Suspended"),$Q945,IF($P945="Doubtful",$Q945*0.5,IF($P945="Limited",$Q945*0.25,0))))),2))</x:f>
      </x:c>
      <x:c r="S945" s="55" t="n">
        <x:f>IF($D945="",0,ROUND(IF(OR($P945="Out",$P945="Suspended"),$Q945*$H945,IF($P945="Doubtful",$Q945*$H945*0.5,IF($P945="Limited",$Q945*$H945*0.25,0))),2))</x:f>
        <x:v>0</x:v>
      </x:c>
      <x:c r="T945" s="55" t="str"/>
      <x:c r="U945" s="51" t="str"/>
    </x:row>
    <x:row r="946">
      <x:c r="A946" s="51" t="str">
        <x:v>Algeria</x:v>
      </x:c>
      <x:c r="B946" s="51" t="str">
        <x:v>J</x:v>
      </x:c>
      <x:c r="C946" s="51" t="n">
        <x:v>6</x:v>
      </x:c>
      <x:c r="D946" s="71" t="str"/>
      <x:c r="E946" s="51" t="str">
        <x:v>CB</x:v>
      </x:c>
      <x:c r="F946" s="51" t="str">
        <x:v>Defence</x:v>
      </x:c>
      <x:c r="G946" s="51" t="str">
        <x:v>Starter</x:v>
      </x:c>
      <x:c r="H946" s="55" t="n">
        <x:v>1</x:v>
      </x:c>
      <x:c r="I946" s="51" t="str"/>
      <x:c r="J946" s="72" t="str"/>
      <x:c r="K946" s="72" t="str"/>
      <x:c r="L946" s="72" t="str"/>
      <x:c r="M946" s="72" t="str"/>
      <x:c r="N946" s="72" t="str"/>
      <x:c r="O946" s="72" t="str"/>
      <x:c r="P946" s="72" t="str">
        <x:v>Available</x:v>
      </x:c>
      <x:c r="Q946" s="72" t="n">
        <x:v>0</x:v>
      </x:c>
      <x:c r="R946" s="55" t="str">
        <x:f>IF($D946="","",ROUND(MAX(0,MIN(100,0.35*$J946+0.2*$K946+0.15*$L946+0.15*$M946+0.1*$N946+0.05*$O946-IF(OR($P946="Out",$P946="Suspended"),$Q946,IF($P946="Doubtful",$Q946*0.5,IF($P946="Limited",$Q946*0.25,0))))),2))</x:f>
      </x:c>
      <x:c r="S946" s="55" t="n">
        <x:f>IF($D946="",0,ROUND(IF(OR($P946="Out",$P946="Suspended"),$Q946*$H946,IF($P946="Doubtful",$Q946*$H946*0.5,IF($P946="Limited",$Q946*$H946*0.25,0))),2))</x:f>
        <x:v>0</x:v>
      </x:c>
      <x:c r="T946" s="55" t="str"/>
      <x:c r="U946" s="51" t="str"/>
    </x:row>
    <x:row r="947">
      <x:c r="A947" s="51" t="str">
        <x:v>Algeria</x:v>
      </x:c>
      <x:c r="B947" s="51" t="str">
        <x:v>J</x:v>
      </x:c>
      <x:c r="C947" s="51" t="n">
        <x:v>7</x:v>
      </x:c>
      <x:c r="D947" s="71" t="str"/>
      <x:c r="E947" s="51" t="str">
        <x:v>FB</x:v>
      </x:c>
      <x:c r="F947" s="51" t="str">
        <x:v>Defence</x:v>
      </x:c>
      <x:c r="G947" s="51" t="str">
        <x:v>Starter</x:v>
      </x:c>
      <x:c r="H947" s="55" t="n">
        <x:v>1</x:v>
      </x:c>
      <x:c r="I947" s="51" t="str"/>
      <x:c r="J947" s="72" t="str"/>
      <x:c r="K947" s="72" t="str"/>
      <x:c r="L947" s="72" t="str"/>
      <x:c r="M947" s="72" t="str"/>
      <x:c r="N947" s="72" t="str"/>
      <x:c r="O947" s="72" t="str"/>
      <x:c r="P947" s="72" t="str">
        <x:v>Available</x:v>
      </x:c>
      <x:c r="Q947" s="72" t="n">
        <x:v>0</x:v>
      </x:c>
      <x:c r="R947" s="55" t="str">
        <x:f>IF($D947="","",ROUND(MAX(0,MIN(100,0.35*$J947+0.2*$K947+0.15*$L947+0.15*$M947+0.1*$N947+0.05*$O947-IF(OR($P947="Out",$P947="Suspended"),$Q947,IF($P947="Doubtful",$Q947*0.5,IF($P947="Limited",$Q947*0.25,0))))),2))</x:f>
      </x:c>
      <x:c r="S947" s="55" t="n">
        <x:f>IF($D947="",0,ROUND(IF(OR($P947="Out",$P947="Suspended"),$Q947*$H947,IF($P947="Doubtful",$Q947*$H947*0.5,IF($P947="Limited",$Q947*$H947*0.25,0))),2))</x:f>
        <x:v>0</x:v>
      </x:c>
      <x:c r="T947" s="55" t="str"/>
      <x:c r="U947" s="51" t="str"/>
    </x:row>
    <x:row r="948">
      <x:c r="A948" s="51" t="str">
        <x:v>Algeria</x:v>
      </x:c>
      <x:c r="B948" s="51" t="str">
        <x:v>J</x:v>
      </x:c>
      <x:c r="C948" s="51" t="n">
        <x:v>8</x:v>
      </x:c>
      <x:c r="D948" s="71" t="str"/>
      <x:c r="E948" s="51" t="str">
        <x:v>FB</x:v>
      </x:c>
      <x:c r="F948" s="51" t="str">
        <x:v>Defence</x:v>
      </x:c>
      <x:c r="G948" s="51" t="str">
        <x:v>Starter</x:v>
      </x:c>
      <x:c r="H948" s="55" t="n">
        <x:v>1</x:v>
      </x:c>
      <x:c r="I948" s="51" t="str"/>
      <x:c r="J948" s="72" t="str"/>
      <x:c r="K948" s="72" t="str"/>
      <x:c r="L948" s="72" t="str"/>
      <x:c r="M948" s="72" t="str"/>
      <x:c r="N948" s="72" t="str"/>
      <x:c r="O948" s="72" t="str"/>
      <x:c r="P948" s="72" t="str">
        <x:v>Available</x:v>
      </x:c>
      <x:c r="Q948" s="72" t="n">
        <x:v>0</x:v>
      </x:c>
      <x:c r="R948" s="55" t="str">
        <x:f>IF($D948="","",ROUND(MAX(0,MIN(100,0.35*$J948+0.2*$K948+0.15*$L948+0.15*$M948+0.1*$N948+0.05*$O948-IF(OR($P948="Out",$P948="Suspended"),$Q948,IF($P948="Doubtful",$Q948*0.5,IF($P948="Limited",$Q948*0.25,0))))),2))</x:f>
      </x:c>
      <x:c r="S948" s="55" t="n">
        <x:f>IF($D948="",0,ROUND(IF(OR($P948="Out",$P948="Suspended"),$Q948*$H948,IF($P948="Doubtful",$Q948*$H948*0.5,IF($P948="Limited",$Q948*$H948*0.25,0))),2))</x:f>
        <x:v>0</x:v>
      </x:c>
      <x:c r="T948" s="55" t="str"/>
      <x:c r="U948" s="51" t="str"/>
    </x:row>
    <x:row r="949">
      <x:c r="A949" s="51" t="str">
        <x:v>Algeria</x:v>
      </x:c>
      <x:c r="B949" s="51" t="str">
        <x:v>J</x:v>
      </x:c>
      <x:c r="C949" s="51" t="n">
        <x:v>9</x:v>
      </x:c>
      <x:c r="D949" s="71" t="str"/>
      <x:c r="E949" s="51" t="str">
        <x:v>DM</x:v>
      </x:c>
      <x:c r="F949" s="51" t="str">
        <x:v>Midfield</x:v>
      </x:c>
      <x:c r="G949" s="51" t="str">
        <x:v>Starter</x:v>
      </x:c>
      <x:c r="H949" s="55" t="n">
        <x:v>1</x:v>
      </x:c>
      <x:c r="I949" s="51" t="str"/>
      <x:c r="J949" s="72" t="str"/>
      <x:c r="K949" s="72" t="str"/>
      <x:c r="L949" s="72" t="str"/>
      <x:c r="M949" s="72" t="str"/>
      <x:c r="N949" s="72" t="str"/>
      <x:c r="O949" s="72" t="str"/>
      <x:c r="P949" s="72" t="str">
        <x:v>Available</x:v>
      </x:c>
      <x:c r="Q949" s="72" t="n">
        <x:v>0</x:v>
      </x:c>
      <x:c r="R949" s="55" t="str">
        <x:f>IF($D949="","",ROUND(MAX(0,MIN(100,0.35*$J949+0.2*$K949+0.15*$L949+0.15*$M949+0.1*$N949+0.05*$O949-IF(OR($P949="Out",$P949="Suspended"),$Q949,IF($P949="Doubtful",$Q949*0.5,IF($P949="Limited",$Q949*0.25,0))))),2))</x:f>
      </x:c>
      <x:c r="S949" s="55" t="n">
        <x:f>IF($D949="",0,ROUND(IF(OR($P949="Out",$P949="Suspended"),$Q949*$H949,IF($P949="Doubtful",$Q949*$H949*0.5,IF($P949="Limited",$Q949*$H949*0.25,0))),2))</x:f>
        <x:v>0</x:v>
      </x:c>
      <x:c r="T949" s="55" t="str"/>
      <x:c r="U949" s="51" t="str"/>
    </x:row>
    <x:row r="950">
      <x:c r="A950" s="51" t="str">
        <x:v>Algeria</x:v>
      </x:c>
      <x:c r="B950" s="51" t="str">
        <x:v>J</x:v>
      </x:c>
      <x:c r="C950" s="51" t="n">
        <x:v>10</x:v>
      </x:c>
      <x:c r="D950" s="71" t="str"/>
      <x:c r="E950" s="51" t="str">
        <x:v>DM</x:v>
      </x:c>
      <x:c r="F950" s="51" t="str">
        <x:v>Midfield</x:v>
      </x:c>
      <x:c r="G950" s="51" t="str">
        <x:v>Starter</x:v>
      </x:c>
      <x:c r="H950" s="55" t="n">
        <x:v>1</x:v>
      </x:c>
      <x:c r="I950" s="51" t="str"/>
      <x:c r="J950" s="72" t="str"/>
      <x:c r="K950" s="72" t="str"/>
      <x:c r="L950" s="72" t="str"/>
      <x:c r="M950" s="72" t="str"/>
      <x:c r="N950" s="72" t="str"/>
      <x:c r="O950" s="72" t="str"/>
      <x:c r="P950" s="72" t="str">
        <x:v>Available</x:v>
      </x:c>
      <x:c r="Q950" s="72" t="n">
        <x:v>0</x:v>
      </x:c>
      <x:c r="R950" s="55" t="str">
        <x:f>IF($D950="","",ROUND(MAX(0,MIN(100,0.35*$J950+0.2*$K950+0.15*$L950+0.15*$M950+0.1*$N950+0.05*$O950-IF(OR($P950="Out",$P950="Suspended"),$Q950,IF($P950="Doubtful",$Q950*0.5,IF($P950="Limited",$Q950*0.25,0))))),2))</x:f>
      </x:c>
      <x:c r="S950" s="55" t="n">
        <x:f>IF($D950="",0,ROUND(IF(OR($P950="Out",$P950="Suspended"),$Q950*$H950,IF($P950="Doubtful",$Q950*$H950*0.5,IF($P950="Limited",$Q950*$H950*0.25,0))),2))</x:f>
        <x:v>0</x:v>
      </x:c>
      <x:c r="T950" s="55" t="str"/>
      <x:c r="U950" s="51" t="str"/>
    </x:row>
    <x:row r="951">
      <x:c r="A951" s="51" t="str">
        <x:v>Algeria</x:v>
      </x:c>
      <x:c r="B951" s="51" t="str">
        <x:v>J</x:v>
      </x:c>
      <x:c r="C951" s="51" t="n">
        <x:v>11</x:v>
      </x:c>
      <x:c r="D951" s="71" t="str"/>
      <x:c r="E951" s="51" t="str">
        <x:v>DM</x:v>
      </x:c>
      <x:c r="F951" s="51" t="str">
        <x:v>Midfield</x:v>
      </x:c>
      <x:c r="G951" s="51" t="str">
        <x:v>Starter</x:v>
      </x:c>
      <x:c r="H951" s="55" t="n">
        <x:v>1</x:v>
      </x:c>
      <x:c r="I951" s="51" t="str"/>
      <x:c r="J951" s="72" t="str"/>
      <x:c r="K951" s="72" t="str"/>
      <x:c r="L951" s="72" t="str"/>
      <x:c r="M951" s="72" t="str"/>
      <x:c r="N951" s="72" t="str"/>
      <x:c r="O951" s="72" t="str"/>
      <x:c r="P951" s="72" t="str">
        <x:v>Available</x:v>
      </x:c>
      <x:c r="Q951" s="72" t="n">
        <x:v>0</x:v>
      </x:c>
      <x:c r="R951" s="55" t="str">
        <x:f>IF($D951="","",ROUND(MAX(0,MIN(100,0.35*$J951+0.2*$K951+0.15*$L951+0.15*$M951+0.1*$N951+0.05*$O951-IF(OR($P951="Out",$P951="Suspended"),$Q951,IF($P951="Doubtful",$Q951*0.5,IF($P951="Limited",$Q951*0.25,0))))),2))</x:f>
      </x:c>
      <x:c r="S951" s="55" t="n">
        <x:f>IF($D951="",0,ROUND(IF(OR($P951="Out",$P951="Suspended"),$Q951*$H951,IF($P951="Doubtful",$Q951*$H951*0.5,IF($P951="Limited",$Q951*$H951*0.25,0))),2))</x:f>
        <x:v>0</x:v>
      </x:c>
      <x:c r="T951" s="55" t="str"/>
      <x:c r="U951" s="51" t="str"/>
    </x:row>
    <x:row r="952">
      <x:c r="A952" s="51" t="str">
        <x:v>Algeria</x:v>
      </x:c>
      <x:c r="B952" s="51" t="str">
        <x:v>J</x:v>
      </x:c>
      <x:c r="C952" s="51" t="n">
        <x:v>12</x:v>
      </x:c>
      <x:c r="D952" s="71" t="str"/>
      <x:c r="E952" s="51" t="str">
        <x:v>CM</x:v>
      </x:c>
      <x:c r="F952" s="51" t="str">
        <x:v>Midfield</x:v>
      </x:c>
      <x:c r="G952" s="51" t="str">
        <x:v>Rotation</x:v>
      </x:c>
      <x:c r="H952" s="55" t="n">
        <x:v>0.35</x:v>
      </x:c>
      <x:c r="I952" s="51" t="str"/>
      <x:c r="J952" s="72" t="str"/>
      <x:c r="K952" s="72" t="str"/>
      <x:c r="L952" s="72" t="str"/>
      <x:c r="M952" s="72" t="str"/>
      <x:c r="N952" s="72" t="str"/>
      <x:c r="O952" s="72" t="str"/>
      <x:c r="P952" s="72" t="str">
        <x:v>Available</x:v>
      </x:c>
      <x:c r="Q952" s="72" t="n">
        <x:v>0</x:v>
      </x:c>
      <x:c r="R952" s="55" t="str">
        <x:f>IF($D952="","",ROUND(MAX(0,MIN(100,0.35*$J952+0.2*$K952+0.15*$L952+0.15*$M952+0.1*$N952+0.05*$O952-IF(OR($P952="Out",$P952="Suspended"),$Q952,IF($P952="Doubtful",$Q952*0.5,IF($P952="Limited",$Q952*0.25,0))))),2))</x:f>
      </x:c>
      <x:c r="S952" s="55" t="n">
        <x:f>IF($D952="",0,ROUND(IF(OR($P952="Out",$P952="Suspended"),$Q952*$H952,IF($P952="Doubtful",$Q952*$H952*0.5,IF($P952="Limited",$Q952*$H952*0.25,0))),2))</x:f>
        <x:v>0</x:v>
      </x:c>
      <x:c r="T952" s="55" t="str"/>
      <x:c r="U952" s="51" t="str"/>
    </x:row>
    <x:row r="953">
      <x:c r="A953" s="51" t="str">
        <x:v>Algeria</x:v>
      </x:c>
      <x:c r="B953" s="51" t="str">
        <x:v>J</x:v>
      </x:c>
      <x:c r="C953" s="51" t="n">
        <x:v>13</x:v>
      </x:c>
      <x:c r="D953" s="71" t="str"/>
      <x:c r="E953" s="51" t="str">
        <x:v>CM</x:v>
      </x:c>
      <x:c r="F953" s="51" t="str">
        <x:v>Midfield</x:v>
      </x:c>
      <x:c r="G953" s="51" t="str">
        <x:v>Rotation</x:v>
      </x:c>
      <x:c r="H953" s="55" t="n">
        <x:v>0.35</x:v>
      </x:c>
      <x:c r="I953" s="51" t="str"/>
      <x:c r="J953" s="72" t="str"/>
      <x:c r="K953" s="72" t="str"/>
      <x:c r="L953" s="72" t="str"/>
      <x:c r="M953" s="72" t="str"/>
      <x:c r="N953" s="72" t="str"/>
      <x:c r="O953" s="72" t="str"/>
      <x:c r="P953" s="72" t="str">
        <x:v>Available</x:v>
      </x:c>
      <x:c r="Q953" s="72" t="n">
        <x:v>0</x:v>
      </x:c>
      <x:c r="R953" s="55" t="str">
        <x:f>IF($D953="","",ROUND(MAX(0,MIN(100,0.35*$J953+0.2*$K953+0.15*$L953+0.15*$M953+0.1*$N953+0.05*$O953-IF(OR($P953="Out",$P953="Suspended"),$Q953,IF($P953="Doubtful",$Q953*0.5,IF($P953="Limited",$Q953*0.25,0))))),2))</x:f>
      </x:c>
      <x:c r="S953" s="55" t="n">
        <x:f>IF($D953="",0,ROUND(IF(OR($P953="Out",$P953="Suspended"),$Q953*$H953,IF($P953="Doubtful",$Q953*$H953*0.5,IF($P953="Limited",$Q953*$H953*0.25,0))),2))</x:f>
        <x:v>0</x:v>
      </x:c>
      <x:c r="T953" s="55" t="str"/>
      <x:c r="U953" s="51" t="str"/>
    </x:row>
    <x:row r="954">
      <x:c r="A954" s="51" t="str">
        <x:v>Algeria</x:v>
      </x:c>
      <x:c r="B954" s="51" t="str">
        <x:v>J</x:v>
      </x:c>
      <x:c r="C954" s="51" t="n">
        <x:v>14</x:v>
      </x:c>
      <x:c r="D954" s="71" t="str"/>
      <x:c r="E954" s="51" t="str">
        <x:v>CM</x:v>
      </x:c>
      <x:c r="F954" s="51" t="str">
        <x:v>Midfield</x:v>
      </x:c>
      <x:c r="G954" s="51" t="str">
        <x:v>Rotation</x:v>
      </x:c>
      <x:c r="H954" s="55" t="n">
        <x:v>0.35</x:v>
      </x:c>
      <x:c r="I954" s="51" t="str"/>
      <x:c r="J954" s="72" t="str"/>
      <x:c r="K954" s="72" t="str"/>
      <x:c r="L954" s="72" t="str"/>
      <x:c r="M954" s="72" t="str"/>
      <x:c r="N954" s="72" t="str"/>
      <x:c r="O954" s="72" t="str"/>
      <x:c r="P954" s="72" t="str">
        <x:v>Available</x:v>
      </x:c>
      <x:c r="Q954" s="72" t="n">
        <x:v>0</x:v>
      </x:c>
      <x:c r="R954" s="55" t="str">
        <x:f>IF($D954="","",ROUND(MAX(0,MIN(100,0.35*$J954+0.2*$K954+0.15*$L954+0.15*$M954+0.1*$N954+0.05*$O954-IF(OR($P954="Out",$P954="Suspended"),$Q954,IF($P954="Doubtful",$Q954*0.5,IF($P954="Limited",$Q954*0.25,0))))),2))</x:f>
      </x:c>
      <x:c r="S954" s="55" t="n">
        <x:f>IF($D954="",0,ROUND(IF(OR($P954="Out",$P954="Suspended"),$Q954*$H954,IF($P954="Doubtful",$Q954*$H954*0.5,IF($P954="Limited",$Q954*$H954*0.25,0))),2))</x:f>
        <x:v>0</x:v>
      </x:c>
      <x:c r="T954" s="55" t="str"/>
      <x:c r="U954" s="51" t="str"/>
    </x:row>
    <x:row r="955">
      <x:c r="A955" s="51" t="str">
        <x:v>Algeria</x:v>
      </x:c>
      <x:c r="B955" s="51" t="str">
        <x:v>J</x:v>
      </x:c>
      <x:c r="C955" s="51" t="n">
        <x:v>15</x:v>
      </x:c>
      <x:c r="D955" s="71" t="str"/>
      <x:c r="E955" s="51" t="str">
        <x:v>CM</x:v>
      </x:c>
      <x:c r="F955" s="51" t="str">
        <x:v>Midfield</x:v>
      </x:c>
      <x:c r="G955" s="51" t="str">
        <x:v>Rotation</x:v>
      </x:c>
      <x:c r="H955" s="55" t="n">
        <x:v>0.35</x:v>
      </x:c>
      <x:c r="I955" s="51" t="str"/>
      <x:c r="J955" s="72" t="str"/>
      <x:c r="K955" s="72" t="str"/>
      <x:c r="L955" s="72" t="str"/>
      <x:c r="M955" s="72" t="str"/>
      <x:c r="N955" s="72" t="str"/>
      <x:c r="O955" s="72" t="str"/>
      <x:c r="P955" s="72" t="str">
        <x:v>Available</x:v>
      </x:c>
      <x:c r="Q955" s="72" t="n">
        <x:v>0</x:v>
      </x:c>
      <x:c r="R955" s="55" t="str">
        <x:f>IF($D955="","",ROUND(MAX(0,MIN(100,0.35*$J955+0.2*$K955+0.15*$L955+0.15*$M955+0.1*$N955+0.05*$O955-IF(OR($P955="Out",$P955="Suspended"),$Q955,IF($P955="Doubtful",$Q955*0.5,IF($P955="Limited",$Q955*0.25,0))))),2))</x:f>
      </x:c>
      <x:c r="S955" s="55" t="n">
        <x:f>IF($D955="",0,ROUND(IF(OR($P955="Out",$P955="Suspended"),$Q955*$H955,IF($P955="Doubtful",$Q955*$H955*0.5,IF($P955="Limited",$Q955*$H955*0.25,0))),2))</x:f>
        <x:v>0</x:v>
      </x:c>
      <x:c r="T955" s="55" t="str"/>
      <x:c r="U955" s="51" t="str"/>
    </x:row>
    <x:row r="956">
      <x:c r="A956" s="51" t="str">
        <x:v>Algeria</x:v>
      </x:c>
      <x:c r="B956" s="51" t="str">
        <x:v>J</x:v>
      </x:c>
      <x:c r="C956" s="51" t="n">
        <x:v>16</x:v>
      </x:c>
      <x:c r="D956" s="71" t="str"/>
      <x:c r="E956" s="51" t="str">
        <x:v>AM</x:v>
      </x:c>
      <x:c r="F956" s="51" t="str">
        <x:v>Attack</x:v>
      </x:c>
      <x:c r="G956" s="51" t="str">
        <x:v>Rotation</x:v>
      </x:c>
      <x:c r="H956" s="55" t="n">
        <x:v>0.35</x:v>
      </x:c>
      <x:c r="I956" s="51" t="str"/>
      <x:c r="J956" s="72" t="str"/>
      <x:c r="K956" s="72" t="str"/>
      <x:c r="L956" s="72" t="str"/>
      <x:c r="M956" s="72" t="str"/>
      <x:c r="N956" s="72" t="str"/>
      <x:c r="O956" s="72" t="str"/>
      <x:c r="P956" s="72" t="str">
        <x:v>Available</x:v>
      </x:c>
      <x:c r="Q956" s="72" t="n">
        <x:v>0</x:v>
      </x:c>
      <x:c r="R956" s="55" t="str">
        <x:f>IF($D956="","",ROUND(MAX(0,MIN(100,0.35*$J956+0.2*$K956+0.15*$L956+0.15*$M956+0.1*$N956+0.05*$O956-IF(OR($P956="Out",$P956="Suspended"),$Q956,IF($P956="Doubtful",$Q956*0.5,IF($P956="Limited",$Q956*0.25,0))))),2))</x:f>
      </x:c>
      <x:c r="S956" s="55" t="n">
        <x:f>IF($D956="",0,ROUND(IF(OR($P956="Out",$P956="Suspended"),$Q956*$H956,IF($P956="Doubtful",$Q956*$H956*0.5,IF($P956="Limited",$Q956*$H956*0.25,0))),2))</x:f>
        <x:v>0</x:v>
      </x:c>
      <x:c r="T956" s="55" t="str"/>
      <x:c r="U956" s="51" t="str"/>
    </x:row>
    <x:row r="957">
      <x:c r="A957" s="51" t="str">
        <x:v>Algeria</x:v>
      </x:c>
      <x:c r="B957" s="51" t="str">
        <x:v>J</x:v>
      </x:c>
      <x:c r="C957" s="51" t="n">
        <x:v>17</x:v>
      </x:c>
      <x:c r="D957" s="71" t="str"/>
      <x:c r="E957" s="51" t="str">
        <x:v>AM</x:v>
      </x:c>
      <x:c r="F957" s="51" t="str">
        <x:v>Attack</x:v>
      </x:c>
      <x:c r="G957" s="51" t="str">
        <x:v>Rotation</x:v>
      </x:c>
      <x:c r="H957" s="55" t="n">
        <x:v>0.35</x:v>
      </x:c>
      <x:c r="I957" s="51" t="str"/>
      <x:c r="J957" s="72" t="str"/>
      <x:c r="K957" s="72" t="str"/>
      <x:c r="L957" s="72" t="str"/>
      <x:c r="M957" s="72" t="str"/>
      <x:c r="N957" s="72" t="str"/>
      <x:c r="O957" s="72" t="str"/>
      <x:c r="P957" s="72" t="str">
        <x:v>Available</x:v>
      </x:c>
      <x:c r="Q957" s="72" t="n">
        <x:v>0</x:v>
      </x:c>
      <x:c r="R957" s="55" t="str">
        <x:f>IF($D957="","",ROUND(MAX(0,MIN(100,0.35*$J957+0.2*$K957+0.15*$L957+0.15*$M957+0.1*$N957+0.05*$O957-IF(OR($P957="Out",$P957="Suspended"),$Q957,IF($P957="Doubtful",$Q957*0.5,IF($P957="Limited",$Q957*0.25,0))))),2))</x:f>
      </x:c>
      <x:c r="S957" s="55" t="n">
        <x:f>IF($D957="",0,ROUND(IF(OR($P957="Out",$P957="Suspended"),$Q957*$H957,IF($P957="Doubtful",$Q957*$H957*0.5,IF($P957="Limited",$Q957*$H957*0.25,0))),2))</x:f>
        <x:v>0</x:v>
      </x:c>
      <x:c r="T957" s="55" t="str"/>
      <x:c r="U957" s="51" t="str"/>
    </x:row>
    <x:row r="958">
      <x:c r="A958" s="51" t="str">
        <x:v>Algeria</x:v>
      </x:c>
      <x:c r="B958" s="51" t="str">
        <x:v>J</x:v>
      </x:c>
      <x:c r="C958" s="51" t="n">
        <x:v>18</x:v>
      </x:c>
      <x:c r="D958" s="71" t="str"/>
      <x:c r="E958" s="51" t="str">
        <x:v>AM</x:v>
      </x:c>
      <x:c r="F958" s="51" t="str">
        <x:v>Attack</x:v>
      </x:c>
      <x:c r="G958" s="51" t="str">
        <x:v>Rotation</x:v>
      </x:c>
      <x:c r="H958" s="55" t="n">
        <x:v>0.35</x:v>
      </x:c>
      <x:c r="I958" s="51" t="str"/>
      <x:c r="J958" s="72" t="str"/>
      <x:c r="K958" s="72" t="str"/>
      <x:c r="L958" s="72" t="str"/>
      <x:c r="M958" s="72" t="str"/>
      <x:c r="N958" s="72" t="str"/>
      <x:c r="O958" s="72" t="str"/>
      <x:c r="P958" s="72" t="str">
        <x:v>Available</x:v>
      </x:c>
      <x:c r="Q958" s="72" t="n">
        <x:v>0</x:v>
      </x:c>
      <x:c r="R958" s="55" t="str">
        <x:f>IF($D958="","",ROUND(MAX(0,MIN(100,0.35*$J958+0.2*$K958+0.15*$L958+0.15*$M958+0.1*$N958+0.05*$O958-IF(OR($P958="Out",$P958="Suspended"),$Q958,IF($P958="Doubtful",$Q958*0.5,IF($P958="Limited",$Q958*0.25,0))))),2))</x:f>
      </x:c>
      <x:c r="S958" s="55" t="n">
        <x:f>IF($D958="",0,ROUND(IF(OR($P958="Out",$P958="Suspended"),$Q958*$H958,IF($P958="Doubtful",$Q958*$H958*0.5,IF($P958="Limited",$Q958*$H958*0.25,0))),2))</x:f>
        <x:v>0</x:v>
      </x:c>
      <x:c r="T958" s="55" t="str"/>
      <x:c r="U958" s="51" t="str"/>
    </x:row>
    <x:row r="959">
      <x:c r="A959" s="51" t="str">
        <x:v>Algeria</x:v>
      </x:c>
      <x:c r="B959" s="51" t="str">
        <x:v>J</x:v>
      </x:c>
      <x:c r="C959" s="51" t="n">
        <x:v>19</x:v>
      </x:c>
      <x:c r="D959" s="71" t="str"/>
      <x:c r="E959" s="51" t="str">
        <x:v>AM</x:v>
      </x:c>
      <x:c r="F959" s="51" t="str">
        <x:v>Attack</x:v>
      </x:c>
      <x:c r="G959" s="51" t="str">
        <x:v>Rotation</x:v>
      </x:c>
      <x:c r="H959" s="55" t="n">
        <x:v>0.35</x:v>
      </x:c>
      <x:c r="I959" s="51" t="str"/>
      <x:c r="J959" s="72" t="str"/>
      <x:c r="K959" s="72" t="str"/>
      <x:c r="L959" s="72" t="str"/>
      <x:c r="M959" s="72" t="str"/>
      <x:c r="N959" s="72" t="str"/>
      <x:c r="O959" s="72" t="str"/>
      <x:c r="P959" s="72" t="str">
        <x:v>Available</x:v>
      </x:c>
      <x:c r="Q959" s="72" t="n">
        <x:v>0</x:v>
      </x:c>
      <x:c r="R959" s="55" t="str">
        <x:f>IF($D959="","",ROUND(MAX(0,MIN(100,0.35*$J959+0.2*$K959+0.15*$L959+0.15*$M959+0.1*$N959+0.05*$O959-IF(OR($P959="Out",$P959="Suspended"),$Q959,IF($P959="Doubtful",$Q959*0.5,IF($P959="Limited",$Q959*0.25,0))))),2))</x:f>
      </x:c>
      <x:c r="S959" s="55" t="n">
        <x:f>IF($D959="",0,ROUND(IF(OR($P959="Out",$P959="Suspended"),$Q959*$H959,IF($P959="Doubtful",$Q959*$H959*0.5,IF($P959="Limited",$Q959*$H959*0.25,0))),2))</x:f>
        <x:v>0</x:v>
      </x:c>
      <x:c r="T959" s="55" t="str"/>
      <x:c r="U959" s="51" t="str"/>
    </x:row>
    <x:row r="960">
      <x:c r="A960" s="51" t="str">
        <x:v>Algeria</x:v>
      </x:c>
      <x:c r="B960" s="51" t="str">
        <x:v>J</x:v>
      </x:c>
      <x:c r="C960" s="51" t="n">
        <x:v>20</x:v>
      </x:c>
      <x:c r="D960" s="71" t="str"/>
      <x:c r="E960" s="51" t="str">
        <x:v>Winger</x:v>
      </x:c>
      <x:c r="F960" s="51" t="str">
        <x:v>Attack</x:v>
      </x:c>
      <x:c r="G960" s="51" t="str">
        <x:v>Rotation</x:v>
      </x:c>
      <x:c r="H960" s="55" t="n">
        <x:v>0.35</x:v>
      </x:c>
      <x:c r="I960" s="51" t="str"/>
      <x:c r="J960" s="72" t="str"/>
      <x:c r="K960" s="72" t="str"/>
      <x:c r="L960" s="72" t="str"/>
      <x:c r="M960" s="72" t="str"/>
      <x:c r="N960" s="72" t="str"/>
      <x:c r="O960" s="72" t="str"/>
      <x:c r="P960" s="72" t="str">
        <x:v>Available</x:v>
      </x:c>
      <x:c r="Q960" s="72" t="n">
        <x:v>0</x:v>
      </x:c>
      <x:c r="R960" s="55" t="str">
        <x:f>IF($D960="","",ROUND(MAX(0,MIN(100,0.35*$J960+0.2*$K960+0.15*$L960+0.15*$M960+0.1*$N960+0.05*$O960-IF(OR($P960="Out",$P960="Suspended"),$Q960,IF($P960="Doubtful",$Q960*0.5,IF($P960="Limited",$Q960*0.25,0))))),2))</x:f>
      </x:c>
      <x:c r="S960" s="55" t="n">
        <x:f>IF($D960="",0,ROUND(IF(OR($P960="Out",$P960="Suspended"),$Q960*$H960,IF($P960="Doubtful",$Q960*$H960*0.5,IF($P960="Limited",$Q960*$H960*0.25,0))),2))</x:f>
        <x:v>0</x:v>
      </x:c>
      <x:c r="T960" s="55" t="str"/>
      <x:c r="U960" s="51" t="str"/>
    </x:row>
    <x:row r="961">
      <x:c r="A961" s="51" t="str">
        <x:v>Algeria</x:v>
      </x:c>
      <x:c r="B961" s="51" t="str">
        <x:v>J</x:v>
      </x:c>
      <x:c r="C961" s="51" t="n">
        <x:v>21</x:v>
      </x:c>
      <x:c r="D961" s="71" t="str"/>
      <x:c r="E961" s="51" t="str">
        <x:v>Winger</x:v>
      </x:c>
      <x:c r="F961" s="51" t="str">
        <x:v>Attack</x:v>
      </x:c>
      <x:c r="G961" s="51" t="str">
        <x:v>Depth</x:v>
      </x:c>
      <x:c r="H961" s="55" t="n">
        <x:v>0.1</x:v>
      </x:c>
      <x:c r="I961" s="51" t="str"/>
      <x:c r="J961" s="72" t="str"/>
      <x:c r="K961" s="72" t="str"/>
      <x:c r="L961" s="72" t="str"/>
      <x:c r="M961" s="72" t="str"/>
      <x:c r="N961" s="72" t="str"/>
      <x:c r="O961" s="72" t="str"/>
      <x:c r="P961" s="72" t="str">
        <x:v>Available</x:v>
      </x:c>
      <x:c r="Q961" s="72" t="n">
        <x:v>0</x:v>
      </x:c>
      <x:c r="R961" s="55" t="str">
        <x:f>IF($D961="","",ROUND(MAX(0,MIN(100,0.35*$J961+0.2*$K961+0.15*$L961+0.15*$M961+0.1*$N961+0.05*$O961-IF(OR($P961="Out",$P961="Suspended"),$Q961,IF($P961="Doubtful",$Q961*0.5,IF($P961="Limited",$Q961*0.25,0))))),2))</x:f>
      </x:c>
      <x:c r="S961" s="55" t="n">
        <x:f>IF($D961="",0,ROUND(IF(OR($P961="Out",$P961="Suspended"),$Q961*$H961,IF($P961="Doubtful",$Q961*$H961*0.5,IF($P961="Limited",$Q961*$H961*0.25,0))),2))</x:f>
        <x:v>0</x:v>
      </x:c>
      <x:c r="T961" s="55" t="str"/>
      <x:c r="U961" s="51" t="str"/>
    </x:row>
    <x:row r="962">
      <x:c r="A962" s="51" t="str">
        <x:v>Algeria</x:v>
      </x:c>
      <x:c r="B962" s="51" t="str">
        <x:v>J</x:v>
      </x:c>
      <x:c r="C962" s="51" t="n">
        <x:v>22</x:v>
      </x:c>
      <x:c r="D962" s="71" t="str"/>
      <x:c r="E962" s="51" t="str">
        <x:v>Winger</x:v>
      </x:c>
      <x:c r="F962" s="51" t="str">
        <x:v>Attack</x:v>
      </x:c>
      <x:c r="G962" s="51" t="str">
        <x:v>Depth</x:v>
      </x:c>
      <x:c r="H962" s="55" t="n">
        <x:v>0.1</x:v>
      </x:c>
      <x:c r="I962" s="51" t="str"/>
      <x:c r="J962" s="72" t="str"/>
      <x:c r="K962" s="72" t="str"/>
      <x:c r="L962" s="72" t="str"/>
      <x:c r="M962" s="72" t="str"/>
      <x:c r="N962" s="72" t="str"/>
      <x:c r="O962" s="72" t="str"/>
      <x:c r="P962" s="72" t="str">
        <x:v>Available</x:v>
      </x:c>
      <x:c r="Q962" s="72" t="n">
        <x:v>0</x:v>
      </x:c>
      <x:c r="R962" s="55" t="str">
        <x:f>IF($D962="","",ROUND(MAX(0,MIN(100,0.35*$J962+0.2*$K962+0.15*$L962+0.15*$M962+0.1*$N962+0.05*$O962-IF(OR($P962="Out",$P962="Suspended"),$Q962,IF($P962="Doubtful",$Q962*0.5,IF($P962="Limited",$Q962*0.25,0))))),2))</x:f>
      </x:c>
      <x:c r="S962" s="55" t="n">
        <x:f>IF($D962="",0,ROUND(IF(OR($P962="Out",$P962="Suspended"),$Q962*$H962,IF($P962="Doubtful",$Q962*$H962*0.5,IF($P962="Limited",$Q962*$H962*0.25,0))),2))</x:f>
        <x:v>0</x:v>
      </x:c>
      <x:c r="T962" s="55" t="str"/>
      <x:c r="U962" s="51" t="str"/>
    </x:row>
    <x:row r="963">
      <x:c r="A963" s="51" t="str">
        <x:v>Algeria</x:v>
      </x:c>
      <x:c r="B963" s="51" t="str">
        <x:v>J</x:v>
      </x:c>
      <x:c r="C963" s="51" t="n">
        <x:v>23</x:v>
      </x:c>
      <x:c r="D963" s="71" t="str"/>
      <x:c r="E963" s="51" t="str">
        <x:v>Winger</x:v>
      </x:c>
      <x:c r="F963" s="51" t="str">
        <x:v>Attack</x:v>
      </x:c>
      <x:c r="G963" s="51" t="str">
        <x:v>Depth</x:v>
      </x:c>
      <x:c r="H963" s="55" t="n">
        <x:v>0.1</x:v>
      </x:c>
      <x:c r="I963" s="51" t="str"/>
      <x:c r="J963" s="72" t="str"/>
      <x:c r="K963" s="72" t="str"/>
      <x:c r="L963" s="72" t="str"/>
      <x:c r="M963" s="72" t="str"/>
      <x:c r="N963" s="72" t="str"/>
      <x:c r="O963" s="72" t="str"/>
      <x:c r="P963" s="72" t="str">
        <x:v>Available</x:v>
      </x:c>
      <x:c r="Q963" s="72" t="n">
        <x:v>0</x:v>
      </x:c>
      <x:c r="R963" s="55" t="str">
        <x:f>IF($D963="","",ROUND(MAX(0,MIN(100,0.35*$J963+0.2*$K963+0.15*$L963+0.15*$M963+0.1*$N963+0.05*$O963-IF(OR($P963="Out",$P963="Suspended"),$Q963,IF($P963="Doubtful",$Q963*0.5,IF($P963="Limited",$Q963*0.25,0))))),2))</x:f>
      </x:c>
      <x:c r="S963" s="55" t="n">
        <x:f>IF($D963="",0,ROUND(IF(OR($P963="Out",$P963="Suspended"),$Q963*$H963,IF($P963="Doubtful",$Q963*$H963*0.5,IF($P963="Limited",$Q963*$H963*0.25,0))),2))</x:f>
        <x:v>0</x:v>
      </x:c>
      <x:c r="T963" s="55" t="str"/>
      <x:c r="U963" s="51" t="str"/>
    </x:row>
    <x:row r="964">
      <x:c r="A964" s="51" t="str">
        <x:v>Algeria</x:v>
      </x:c>
      <x:c r="B964" s="51" t="str">
        <x:v>J</x:v>
      </x:c>
      <x:c r="C964" s="51" t="n">
        <x:v>24</x:v>
      </x:c>
      <x:c r="D964" s="71" t="str"/>
      <x:c r="E964" s="51" t="str">
        <x:v>ST</x:v>
      </x:c>
      <x:c r="F964" s="51" t="str">
        <x:v>Attack</x:v>
      </x:c>
      <x:c r="G964" s="51" t="str">
        <x:v>Depth</x:v>
      </x:c>
      <x:c r="H964" s="55" t="n">
        <x:v>0.1</x:v>
      </x:c>
      <x:c r="I964" s="51" t="str"/>
      <x:c r="J964" s="72" t="str"/>
      <x:c r="K964" s="72" t="str"/>
      <x:c r="L964" s="72" t="str"/>
      <x:c r="M964" s="72" t="str"/>
      <x:c r="N964" s="72" t="str"/>
      <x:c r="O964" s="72" t="str"/>
      <x:c r="P964" s="72" t="str">
        <x:v>Available</x:v>
      </x:c>
      <x:c r="Q964" s="72" t="n">
        <x:v>0</x:v>
      </x:c>
      <x:c r="R964" s="55" t="str">
        <x:f>IF($D964="","",ROUND(MAX(0,MIN(100,0.35*$J964+0.2*$K964+0.15*$L964+0.15*$M964+0.1*$N964+0.05*$O964-IF(OR($P964="Out",$P964="Suspended"),$Q964,IF($P964="Doubtful",$Q964*0.5,IF($P964="Limited",$Q964*0.25,0))))),2))</x:f>
      </x:c>
      <x:c r="S964" s="55" t="n">
        <x:f>IF($D964="",0,ROUND(IF(OR($P964="Out",$P964="Suspended"),$Q964*$H964,IF($P964="Doubtful",$Q964*$H964*0.5,IF($P964="Limited",$Q964*$H964*0.25,0))),2))</x:f>
        <x:v>0</x:v>
      </x:c>
      <x:c r="T964" s="55" t="str"/>
      <x:c r="U964" s="51" t="str"/>
    </x:row>
    <x:row r="965">
      <x:c r="A965" s="51" t="str">
        <x:v>Algeria</x:v>
      </x:c>
      <x:c r="B965" s="51" t="str">
        <x:v>J</x:v>
      </x:c>
      <x:c r="C965" s="51" t="n">
        <x:v>25</x:v>
      </x:c>
      <x:c r="D965" s="71" t="str"/>
      <x:c r="E965" s="51" t="str">
        <x:v>ST</x:v>
      </x:c>
      <x:c r="F965" s="51" t="str">
        <x:v>Attack</x:v>
      </x:c>
      <x:c r="G965" s="51" t="str">
        <x:v>Depth</x:v>
      </x:c>
      <x:c r="H965" s="55" t="n">
        <x:v>0.1</x:v>
      </x:c>
      <x:c r="I965" s="51" t="str"/>
      <x:c r="J965" s="72" t="str"/>
      <x:c r="K965" s="72" t="str"/>
      <x:c r="L965" s="72" t="str"/>
      <x:c r="M965" s="72" t="str"/>
      <x:c r="N965" s="72" t="str"/>
      <x:c r="O965" s="72" t="str"/>
      <x:c r="P965" s="72" t="str">
        <x:v>Available</x:v>
      </x:c>
      <x:c r="Q965" s="72" t="n">
        <x:v>0</x:v>
      </x:c>
      <x:c r="R965" s="55" t="str">
        <x:f>IF($D965="","",ROUND(MAX(0,MIN(100,0.35*$J965+0.2*$K965+0.15*$L965+0.15*$M965+0.1*$N965+0.05*$O965-IF(OR($P965="Out",$P965="Suspended"),$Q965,IF($P965="Doubtful",$Q965*0.5,IF($P965="Limited",$Q965*0.25,0))))),2))</x:f>
      </x:c>
      <x:c r="S965" s="55" t="n">
        <x:f>IF($D965="",0,ROUND(IF(OR($P965="Out",$P965="Suspended"),$Q965*$H965,IF($P965="Doubtful",$Q965*$H965*0.5,IF($P965="Limited",$Q965*$H965*0.25,0))),2))</x:f>
        <x:v>0</x:v>
      </x:c>
      <x:c r="T965" s="55" t="str"/>
      <x:c r="U965" s="51" t="str"/>
    </x:row>
    <x:row r="966">
      <x:c r="A966" s="51" t="str">
        <x:v>Algeria</x:v>
      </x:c>
      <x:c r="B966" s="51" t="str">
        <x:v>J</x:v>
      </x:c>
      <x:c r="C966" s="51" t="n">
        <x:v>26</x:v>
      </x:c>
      <x:c r="D966" s="71" t="str"/>
      <x:c r="E966" s="51" t="str">
        <x:v>ST</x:v>
      </x:c>
      <x:c r="F966" s="51" t="str">
        <x:v>Attack</x:v>
      </x:c>
      <x:c r="G966" s="51" t="str">
        <x:v>Depth</x:v>
      </x:c>
      <x:c r="H966" s="55" t="n">
        <x:v>0.1</x:v>
      </x:c>
      <x:c r="I966" s="51" t="str"/>
      <x:c r="J966" s="72" t="str"/>
      <x:c r="K966" s="72" t="str"/>
      <x:c r="L966" s="72" t="str"/>
      <x:c r="M966" s="72" t="str"/>
      <x:c r="N966" s="72" t="str"/>
      <x:c r="O966" s="72" t="str"/>
      <x:c r="P966" s="72" t="str">
        <x:v>Available</x:v>
      </x:c>
      <x:c r="Q966" s="72" t="n">
        <x:v>0</x:v>
      </x:c>
      <x:c r="R966" s="55" t="str">
        <x:f>IF($D966="","",ROUND(MAX(0,MIN(100,0.35*$J966+0.2*$K966+0.15*$L966+0.15*$M966+0.1*$N966+0.05*$O966-IF(OR($P966="Out",$P966="Suspended"),$Q966,IF($P966="Doubtful",$Q966*0.5,IF($P966="Limited",$Q966*0.25,0))))),2))</x:f>
      </x:c>
      <x:c r="S966" s="55" t="n">
        <x:f>IF($D966="",0,ROUND(IF(OR($P966="Out",$P966="Suspended"),$Q966*$H966,IF($P966="Doubtful",$Q966*$H966*0.5,IF($P966="Limited",$Q966*$H966*0.25,0))),2))</x:f>
        <x:v>0</x:v>
      </x:c>
      <x:c r="T966" s="55" t="str"/>
      <x:c r="U966" s="51" t="str"/>
    </x:row>
    <x:row r="967">
      <x:c r="A967" s="51" t="str">
        <x:v>Argentina</x:v>
      </x:c>
      <x:c r="B967" s="51" t="str">
        <x:v>J</x:v>
      </x:c>
      <x:c r="C967" s="51" t="n">
        <x:v>1</x:v>
      </x:c>
      <x:c r="D967" s="71" t="str"/>
      <x:c r="E967" s="51" t="str">
        <x:v>GK</x:v>
      </x:c>
      <x:c r="F967" s="51" t="str">
        <x:v>GK</x:v>
      </x:c>
      <x:c r="G967" s="51" t="str">
        <x:v>Starter</x:v>
      </x:c>
      <x:c r="H967" s="55" t="n">
        <x:v>1</x:v>
      </x:c>
      <x:c r="I967" s="51" t="str"/>
      <x:c r="J967" s="72" t="str"/>
      <x:c r="K967" s="72" t="str"/>
      <x:c r="L967" s="72" t="str"/>
      <x:c r="M967" s="72" t="str"/>
      <x:c r="N967" s="72" t="str"/>
      <x:c r="O967" s="72" t="str"/>
      <x:c r="P967" s="72" t="str">
        <x:v>Available</x:v>
      </x:c>
      <x:c r="Q967" s="72" t="n">
        <x:v>0</x:v>
      </x:c>
      <x:c r="R967" s="55" t="str">
        <x:f>IF($D967="","",ROUND(MAX(0,MIN(100,0.35*$J967+0.2*$K967+0.15*$L967+0.15*$M967+0.1*$N967+0.05*$O967-IF(OR($P967="Out",$P967="Suspended"),$Q967,IF($P967="Doubtful",$Q967*0.5,IF($P967="Limited",$Q967*0.25,0))))),2))</x:f>
      </x:c>
      <x:c r="S967" s="55" t="n">
        <x:f>IF($D967="",0,ROUND(IF(OR($P967="Out",$P967="Suspended"),$Q967*$H967,IF($P967="Doubtful",$Q967*$H967*0.5,IF($P967="Limited",$Q967*$H967*0.25,0))),2))</x:f>
        <x:v>0</x:v>
      </x:c>
      <x:c r="T967" s="55" t="str"/>
      <x:c r="U967" s="51" t="str"/>
    </x:row>
    <x:row r="968">
      <x:c r="A968" s="51" t="str">
        <x:v>Argentina</x:v>
      </x:c>
      <x:c r="B968" s="51" t="str">
        <x:v>J</x:v>
      </x:c>
      <x:c r="C968" s="51" t="n">
        <x:v>2</x:v>
      </x:c>
      <x:c r="D968" s="71" t="str"/>
      <x:c r="E968" s="51" t="str">
        <x:v>GK</x:v>
      </x:c>
      <x:c r="F968" s="51" t="str">
        <x:v>GK</x:v>
      </x:c>
      <x:c r="G968" s="51" t="str">
        <x:v>Starter</x:v>
      </x:c>
      <x:c r="H968" s="55" t="n">
        <x:v>1</x:v>
      </x:c>
      <x:c r="I968" s="51" t="str"/>
      <x:c r="J968" s="72" t="str"/>
      <x:c r="K968" s="72" t="str"/>
      <x:c r="L968" s="72" t="str"/>
      <x:c r="M968" s="72" t="str"/>
      <x:c r="N968" s="72" t="str"/>
      <x:c r="O968" s="72" t="str"/>
      <x:c r="P968" s="72" t="str">
        <x:v>Available</x:v>
      </x:c>
      <x:c r="Q968" s="72" t="n">
        <x:v>0</x:v>
      </x:c>
      <x:c r="R968" s="55" t="str">
        <x:f>IF($D968="","",ROUND(MAX(0,MIN(100,0.35*$J968+0.2*$K968+0.15*$L968+0.15*$M968+0.1*$N968+0.05*$O968-IF(OR($P968="Out",$P968="Suspended"),$Q968,IF($P968="Doubtful",$Q968*0.5,IF($P968="Limited",$Q968*0.25,0))))),2))</x:f>
      </x:c>
      <x:c r="S968" s="55" t="n">
        <x:f>IF($D968="",0,ROUND(IF(OR($P968="Out",$P968="Suspended"),$Q968*$H968,IF($P968="Doubtful",$Q968*$H968*0.5,IF($P968="Limited",$Q968*$H968*0.25,0))),2))</x:f>
        <x:v>0</x:v>
      </x:c>
      <x:c r="T968" s="55" t="str"/>
      <x:c r="U968" s="51" t="str"/>
    </x:row>
    <x:row r="969">
      <x:c r="A969" s="51" t="str">
        <x:v>Argentina</x:v>
      </x:c>
      <x:c r="B969" s="51" t="str">
        <x:v>J</x:v>
      </x:c>
      <x:c r="C969" s="51" t="n">
        <x:v>3</x:v>
      </x:c>
      <x:c r="D969" s="71" t="str"/>
      <x:c r="E969" s="51" t="str">
        <x:v>GK</x:v>
      </x:c>
      <x:c r="F969" s="51" t="str">
        <x:v>GK</x:v>
      </x:c>
      <x:c r="G969" s="51" t="str">
        <x:v>Starter</x:v>
      </x:c>
      <x:c r="H969" s="55" t="n">
        <x:v>1</x:v>
      </x:c>
      <x:c r="I969" s="51" t="str"/>
      <x:c r="J969" s="72" t="str"/>
      <x:c r="K969" s="72" t="str"/>
      <x:c r="L969" s="72" t="str"/>
      <x:c r="M969" s="72" t="str"/>
      <x:c r="N969" s="72" t="str"/>
      <x:c r="O969" s="72" t="str"/>
      <x:c r="P969" s="72" t="str">
        <x:v>Available</x:v>
      </x:c>
      <x:c r="Q969" s="72" t="n">
        <x:v>0</x:v>
      </x:c>
      <x:c r="R969" s="55" t="str">
        <x:f>IF($D969="","",ROUND(MAX(0,MIN(100,0.35*$J969+0.2*$K969+0.15*$L969+0.15*$M969+0.1*$N969+0.05*$O969-IF(OR($P969="Out",$P969="Suspended"),$Q969,IF($P969="Doubtful",$Q969*0.5,IF($P969="Limited",$Q969*0.25,0))))),2))</x:f>
      </x:c>
      <x:c r="S969" s="55" t="n">
        <x:f>IF($D969="",0,ROUND(IF(OR($P969="Out",$P969="Suspended"),$Q969*$H969,IF($P969="Doubtful",$Q969*$H969*0.5,IF($P969="Limited",$Q969*$H969*0.25,0))),2))</x:f>
        <x:v>0</x:v>
      </x:c>
      <x:c r="T969" s="55" t="str"/>
      <x:c r="U969" s="51" t="str"/>
    </x:row>
    <x:row r="970">
      <x:c r="A970" s="51" t="str">
        <x:v>Argentina</x:v>
      </x:c>
      <x:c r="B970" s="51" t="str">
        <x:v>J</x:v>
      </x:c>
      <x:c r="C970" s="51" t="n">
        <x:v>4</x:v>
      </x:c>
      <x:c r="D970" s="71" t="str"/>
      <x:c r="E970" s="51" t="str">
        <x:v>CB</x:v>
      </x:c>
      <x:c r="F970" s="51" t="str">
        <x:v>Defence</x:v>
      </x:c>
      <x:c r="G970" s="51" t="str">
        <x:v>Starter</x:v>
      </x:c>
      <x:c r="H970" s="55" t="n">
        <x:v>1</x:v>
      </x:c>
      <x:c r="I970" s="51" t="str"/>
      <x:c r="J970" s="72" t="str"/>
      <x:c r="K970" s="72" t="str"/>
      <x:c r="L970" s="72" t="str"/>
      <x:c r="M970" s="72" t="str"/>
      <x:c r="N970" s="72" t="str"/>
      <x:c r="O970" s="72" t="str"/>
      <x:c r="P970" s="72" t="str">
        <x:v>Available</x:v>
      </x:c>
      <x:c r="Q970" s="72" t="n">
        <x:v>0</x:v>
      </x:c>
      <x:c r="R970" s="55" t="str">
        <x:f>IF($D970="","",ROUND(MAX(0,MIN(100,0.35*$J970+0.2*$K970+0.15*$L970+0.15*$M970+0.1*$N970+0.05*$O970-IF(OR($P970="Out",$P970="Suspended"),$Q970,IF($P970="Doubtful",$Q970*0.5,IF($P970="Limited",$Q970*0.25,0))))),2))</x:f>
      </x:c>
      <x:c r="S970" s="55" t="n">
        <x:f>IF($D970="",0,ROUND(IF(OR($P970="Out",$P970="Suspended"),$Q970*$H970,IF($P970="Doubtful",$Q970*$H970*0.5,IF($P970="Limited",$Q970*$H970*0.25,0))),2))</x:f>
        <x:v>0</x:v>
      </x:c>
      <x:c r="T970" s="55" t="str"/>
      <x:c r="U970" s="51" t="str"/>
    </x:row>
    <x:row r="971">
      <x:c r="A971" s="51" t="str">
        <x:v>Argentina</x:v>
      </x:c>
      <x:c r="B971" s="51" t="str">
        <x:v>J</x:v>
      </x:c>
      <x:c r="C971" s="51" t="n">
        <x:v>5</x:v>
      </x:c>
      <x:c r="D971" s="71" t="str"/>
      <x:c r="E971" s="51" t="str">
        <x:v>CB</x:v>
      </x:c>
      <x:c r="F971" s="51" t="str">
        <x:v>Defence</x:v>
      </x:c>
      <x:c r="G971" s="51" t="str">
        <x:v>Starter</x:v>
      </x:c>
      <x:c r="H971" s="55" t="n">
        <x:v>1</x:v>
      </x:c>
      <x:c r="I971" s="51" t="str"/>
      <x:c r="J971" s="72" t="str"/>
      <x:c r="K971" s="72" t="str"/>
      <x:c r="L971" s="72" t="str"/>
      <x:c r="M971" s="72" t="str"/>
      <x:c r="N971" s="72" t="str"/>
      <x:c r="O971" s="72" t="str"/>
      <x:c r="P971" s="72" t="str">
        <x:v>Available</x:v>
      </x:c>
      <x:c r="Q971" s="72" t="n">
        <x:v>0</x:v>
      </x:c>
      <x:c r="R971" s="55" t="str">
        <x:f>IF($D971="","",ROUND(MAX(0,MIN(100,0.35*$J971+0.2*$K971+0.15*$L971+0.15*$M971+0.1*$N971+0.05*$O971-IF(OR($P971="Out",$P971="Suspended"),$Q971,IF($P971="Doubtful",$Q971*0.5,IF($P971="Limited",$Q971*0.25,0))))),2))</x:f>
      </x:c>
      <x:c r="S971" s="55" t="n">
        <x:f>IF($D971="",0,ROUND(IF(OR($P971="Out",$P971="Suspended"),$Q971*$H971,IF($P971="Doubtful",$Q971*$H971*0.5,IF($P971="Limited",$Q971*$H971*0.25,0))),2))</x:f>
        <x:v>0</x:v>
      </x:c>
      <x:c r="T971" s="55" t="str"/>
      <x:c r="U971" s="51" t="str"/>
    </x:row>
    <x:row r="972">
      <x:c r="A972" s="51" t="str">
        <x:v>Argentina</x:v>
      </x:c>
      <x:c r="B972" s="51" t="str">
        <x:v>J</x:v>
      </x:c>
      <x:c r="C972" s="51" t="n">
        <x:v>6</x:v>
      </x:c>
      <x:c r="D972" s="71" t="str"/>
      <x:c r="E972" s="51" t="str">
        <x:v>CB</x:v>
      </x:c>
      <x:c r="F972" s="51" t="str">
        <x:v>Defence</x:v>
      </x:c>
      <x:c r="G972" s="51" t="str">
        <x:v>Starter</x:v>
      </x:c>
      <x:c r="H972" s="55" t="n">
        <x:v>1</x:v>
      </x:c>
      <x:c r="I972" s="51" t="str"/>
      <x:c r="J972" s="72" t="str"/>
      <x:c r="K972" s="72" t="str"/>
      <x:c r="L972" s="72" t="str"/>
      <x:c r="M972" s="72" t="str"/>
      <x:c r="N972" s="72" t="str"/>
      <x:c r="O972" s="72" t="str"/>
      <x:c r="P972" s="72" t="str">
        <x:v>Available</x:v>
      </x:c>
      <x:c r="Q972" s="72" t="n">
        <x:v>0</x:v>
      </x:c>
      <x:c r="R972" s="55" t="str">
        <x:f>IF($D972="","",ROUND(MAX(0,MIN(100,0.35*$J972+0.2*$K972+0.15*$L972+0.15*$M972+0.1*$N972+0.05*$O972-IF(OR($P972="Out",$P972="Suspended"),$Q972,IF($P972="Doubtful",$Q972*0.5,IF($P972="Limited",$Q972*0.25,0))))),2))</x:f>
      </x:c>
      <x:c r="S972" s="55" t="n">
        <x:f>IF($D972="",0,ROUND(IF(OR($P972="Out",$P972="Suspended"),$Q972*$H972,IF($P972="Doubtful",$Q972*$H972*0.5,IF($P972="Limited",$Q972*$H972*0.25,0))),2))</x:f>
        <x:v>0</x:v>
      </x:c>
      <x:c r="T972" s="55" t="str"/>
      <x:c r="U972" s="51" t="str"/>
    </x:row>
    <x:row r="973">
      <x:c r="A973" s="51" t="str">
        <x:v>Argentina</x:v>
      </x:c>
      <x:c r="B973" s="51" t="str">
        <x:v>J</x:v>
      </x:c>
      <x:c r="C973" s="51" t="n">
        <x:v>7</x:v>
      </x:c>
      <x:c r="D973" s="71" t="str"/>
      <x:c r="E973" s="51" t="str">
        <x:v>FB</x:v>
      </x:c>
      <x:c r="F973" s="51" t="str">
        <x:v>Defence</x:v>
      </x:c>
      <x:c r="G973" s="51" t="str">
        <x:v>Starter</x:v>
      </x:c>
      <x:c r="H973" s="55" t="n">
        <x:v>1</x:v>
      </x:c>
      <x:c r="I973" s="51" t="str"/>
      <x:c r="J973" s="72" t="str"/>
      <x:c r="K973" s="72" t="str"/>
      <x:c r="L973" s="72" t="str"/>
      <x:c r="M973" s="72" t="str"/>
      <x:c r="N973" s="72" t="str"/>
      <x:c r="O973" s="72" t="str"/>
      <x:c r="P973" s="72" t="str">
        <x:v>Available</x:v>
      </x:c>
      <x:c r="Q973" s="72" t="n">
        <x:v>0</x:v>
      </x:c>
      <x:c r="R973" s="55" t="str">
        <x:f>IF($D973="","",ROUND(MAX(0,MIN(100,0.35*$J973+0.2*$K973+0.15*$L973+0.15*$M973+0.1*$N973+0.05*$O973-IF(OR($P973="Out",$P973="Suspended"),$Q973,IF($P973="Doubtful",$Q973*0.5,IF($P973="Limited",$Q973*0.25,0))))),2))</x:f>
      </x:c>
      <x:c r="S973" s="55" t="n">
        <x:f>IF($D973="",0,ROUND(IF(OR($P973="Out",$P973="Suspended"),$Q973*$H973,IF($P973="Doubtful",$Q973*$H973*0.5,IF($P973="Limited",$Q973*$H973*0.25,0))),2))</x:f>
        <x:v>0</x:v>
      </x:c>
      <x:c r="T973" s="55" t="str"/>
      <x:c r="U973" s="51" t="str"/>
    </x:row>
    <x:row r="974">
      <x:c r="A974" s="51" t="str">
        <x:v>Argentina</x:v>
      </x:c>
      <x:c r="B974" s="51" t="str">
        <x:v>J</x:v>
      </x:c>
      <x:c r="C974" s="51" t="n">
        <x:v>8</x:v>
      </x:c>
      <x:c r="D974" s="71" t="str"/>
      <x:c r="E974" s="51" t="str">
        <x:v>FB</x:v>
      </x:c>
      <x:c r="F974" s="51" t="str">
        <x:v>Defence</x:v>
      </x:c>
      <x:c r="G974" s="51" t="str">
        <x:v>Starter</x:v>
      </x:c>
      <x:c r="H974" s="55" t="n">
        <x:v>1</x:v>
      </x:c>
      <x:c r="I974" s="51" t="str"/>
      <x:c r="J974" s="72" t="str"/>
      <x:c r="K974" s="72" t="str"/>
      <x:c r="L974" s="72" t="str"/>
      <x:c r="M974" s="72" t="str"/>
      <x:c r="N974" s="72" t="str"/>
      <x:c r="O974" s="72" t="str"/>
      <x:c r="P974" s="72" t="str">
        <x:v>Available</x:v>
      </x:c>
      <x:c r="Q974" s="72" t="n">
        <x:v>0</x:v>
      </x:c>
      <x:c r="R974" s="55" t="str">
        <x:f>IF($D974="","",ROUND(MAX(0,MIN(100,0.35*$J974+0.2*$K974+0.15*$L974+0.15*$M974+0.1*$N974+0.05*$O974-IF(OR($P974="Out",$P974="Suspended"),$Q974,IF($P974="Doubtful",$Q974*0.5,IF($P974="Limited",$Q974*0.25,0))))),2))</x:f>
      </x:c>
      <x:c r="S974" s="55" t="n">
        <x:f>IF($D974="",0,ROUND(IF(OR($P974="Out",$P974="Suspended"),$Q974*$H974,IF($P974="Doubtful",$Q974*$H974*0.5,IF($P974="Limited",$Q974*$H974*0.25,0))),2))</x:f>
        <x:v>0</x:v>
      </x:c>
      <x:c r="T974" s="55" t="str"/>
      <x:c r="U974" s="51" t="str"/>
    </x:row>
    <x:row r="975">
      <x:c r="A975" s="51" t="str">
        <x:v>Argentina</x:v>
      </x:c>
      <x:c r="B975" s="51" t="str">
        <x:v>J</x:v>
      </x:c>
      <x:c r="C975" s="51" t="n">
        <x:v>9</x:v>
      </x:c>
      <x:c r="D975" s="71" t="str"/>
      <x:c r="E975" s="51" t="str">
        <x:v>DM</x:v>
      </x:c>
      <x:c r="F975" s="51" t="str">
        <x:v>Midfield</x:v>
      </x:c>
      <x:c r="G975" s="51" t="str">
        <x:v>Starter</x:v>
      </x:c>
      <x:c r="H975" s="55" t="n">
        <x:v>1</x:v>
      </x:c>
      <x:c r="I975" s="51" t="str"/>
      <x:c r="J975" s="72" t="str"/>
      <x:c r="K975" s="72" t="str"/>
      <x:c r="L975" s="72" t="str"/>
      <x:c r="M975" s="72" t="str"/>
      <x:c r="N975" s="72" t="str"/>
      <x:c r="O975" s="72" t="str"/>
      <x:c r="P975" s="72" t="str">
        <x:v>Available</x:v>
      </x:c>
      <x:c r="Q975" s="72" t="n">
        <x:v>0</x:v>
      </x:c>
      <x:c r="R975" s="55" t="str">
        <x:f>IF($D975="","",ROUND(MAX(0,MIN(100,0.35*$J975+0.2*$K975+0.15*$L975+0.15*$M975+0.1*$N975+0.05*$O975-IF(OR($P975="Out",$P975="Suspended"),$Q975,IF($P975="Doubtful",$Q975*0.5,IF($P975="Limited",$Q975*0.25,0))))),2))</x:f>
      </x:c>
      <x:c r="S975" s="55" t="n">
        <x:f>IF($D975="",0,ROUND(IF(OR($P975="Out",$P975="Suspended"),$Q975*$H975,IF($P975="Doubtful",$Q975*$H975*0.5,IF($P975="Limited",$Q975*$H975*0.25,0))),2))</x:f>
        <x:v>0</x:v>
      </x:c>
      <x:c r="T975" s="55" t="str"/>
      <x:c r="U975" s="51" t="str"/>
    </x:row>
    <x:row r="976">
      <x:c r="A976" s="51" t="str">
        <x:v>Argentina</x:v>
      </x:c>
      <x:c r="B976" s="51" t="str">
        <x:v>J</x:v>
      </x:c>
      <x:c r="C976" s="51" t="n">
        <x:v>10</x:v>
      </x:c>
      <x:c r="D976" s="71" t="str"/>
      <x:c r="E976" s="51" t="str">
        <x:v>DM</x:v>
      </x:c>
      <x:c r="F976" s="51" t="str">
        <x:v>Midfield</x:v>
      </x:c>
      <x:c r="G976" s="51" t="str">
        <x:v>Starter</x:v>
      </x:c>
      <x:c r="H976" s="55" t="n">
        <x:v>1</x:v>
      </x:c>
      <x:c r="I976" s="51" t="str"/>
      <x:c r="J976" s="72" t="str"/>
      <x:c r="K976" s="72" t="str"/>
      <x:c r="L976" s="72" t="str"/>
      <x:c r="M976" s="72" t="str"/>
      <x:c r="N976" s="72" t="str"/>
      <x:c r="O976" s="72" t="str"/>
      <x:c r="P976" s="72" t="str">
        <x:v>Available</x:v>
      </x:c>
      <x:c r="Q976" s="72" t="n">
        <x:v>0</x:v>
      </x:c>
      <x:c r="R976" s="55" t="str">
        <x:f>IF($D976="","",ROUND(MAX(0,MIN(100,0.35*$J976+0.2*$K976+0.15*$L976+0.15*$M976+0.1*$N976+0.05*$O976-IF(OR($P976="Out",$P976="Suspended"),$Q976,IF($P976="Doubtful",$Q976*0.5,IF($P976="Limited",$Q976*0.25,0))))),2))</x:f>
      </x:c>
      <x:c r="S976" s="55" t="n">
        <x:f>IF($D976="",0,ROUND(IF(OR($P976="Out",$P976="Suspended"),$Q976*$H976,IF($P976="Doubtful",$Q976*$H976*0.5,IF($P976="Limited",$Q976*$H976*0.25,0))),2))</x:f>
        <x:v>0</x:v>
      </x:c>
      <x:c r="T976" s="55" t="str"/>
      <x:c r="U976" s="51" t="str"/>
    </x:row>
    <x:row r="977">
      <x:c r="A977" s="51" t="str">
        <x:v>Argentina</x:v>
      </x:c>
      <x:c r="B977" s="51" t="str">
        <x:v>J</x:v>
      </x:c>
      <x:c r="C977" s="51" t="n">
        <x:v>11</x:v>
      </x:c>
      <x:c r="D977" s="71" t="str"/>
      <x:c r="E977" s="51" t="str">
        <x:v>DM</x:v>
      </x:c>
      <x:c r="F977" s="51" t="str">
        <x:v>Midfield</x:v>
      </x:c>
      <x:c r="G977" s="51" t="str">
        <x:v>Starter</x:v>
      </x:c>
      <x:c r="H977" s="55" t="n">
        <x:v>1</x:v>
      </x:c>
      <x:c r="I977" s="51" t="str"/>
      <x:c r="J977" s="72" t="str"/>
      <x:c r="K977" s="72" t="str"/>
      <x:c r="L977" s="72" t="str"/>
      <x:c r="M977" s="72" t="str"/>
      <x:c r="N977" s="72" t="str"/>
      <x:c r="O977" s="72" t="str"/>
      <x:c r="P977" s="72" t="str">
        <x:v>Available</x:v>
      </x:c>
      <x:c r="Q977" s="72" t="n">
        <x:v>0</x:v>
      </x:c>
      <x:c r="R977" s="55" t="str">
        <x:f>IF($D977="","",ROUND(MAX(0,MIN(100,0.35*$J977+0.2*$K977+0.15*$L977+0.15*$M977+0.1*$N977+0.05*$O977-IF(OR($P977="Out",$P977="Suspended"),$Q977,IF($P977="Doubtful",$Q977*0.5,IF($P977="Limited",$Q977*0.25,0))))),2))</x:f>
      </x:c>
      <x:c r="S977" s="55" t="n">
        <x:f>IF($D977="",0,ROUND(IF(OR($P977="Out",$P977="Suspended"),$Q977*$H977,IF($P977="Doubtful",$Q977*$H977*0.5,IF($P977="Limited",$Q977*$H977*0.25,0))),2))</x:f>
        <x:v>0</x:v>
      </x:c>
      <x:c r="T977" s="55" t="str"/>
      <x:c r="U977" s="51" t="str"/>
    </x:row>
    <x:row r="978">
      <x:c r="A978" s="51" t="str">
        <x:v>Argentina</x:v>
      </x:c>
      <x:c r="B978" s="51" t="str">
        <x:v>J</x:v>
      </x:c>
      <x:c r="C978" s="51" t="n">
        <x:v>12</x:v>
      </x:c>
      <x:c r="D978" s="71" t="str"/>
      <x:c r="E978" s="51" t="str">
        <x:v>CM</x:v>
      </x:c>
      <x:c r="F978" s="51" t="str">
        <x:v>Midfield</x:v>
      </x:c>
      <x:c r="G978" s="51" t="str">
        <x:v>Rotation</x:v>
      </x:c>
      <x:c r="H978" s="55" t="n">
        <x:v>0.35</x:v>
      </x:c>
      <x:c r="I978" s="51" t="str"/>
      <x:c r="J978" s="72" t="str"/>
      <x:c r="K978" s="72" t="str"/>
      <x:c r="L978" s="72" t="str"/>
      <x:c r="M978" s="72" t="str"/>
      <x:c r="N978" s="72" t="str"/>
      <x:c r="O978" s="72" t="str"/>
      <x:c r="P978" s="72" t="str">
        <x:v>Available</x:v>
      </x:c>
      <x:c r="Q978" s="72" t="n">
        <x:v>0</x:v>
      </x:c>
      <x:c r="R978" s="55" t="str">
        <x:f>IF($D978="","",ROUND(MAX(0,MIN(100,0.35*$J978+0.2*$K978+0.15*$L978+0.15*$M978+0.1*$N978+0.05*$O978-IF(OR($P978="Out",$P978="Suspended"),$Q978,IF($P978="Doubtful",$Q978*0.5,IF($P978="Limited",$Q978*0.25,0))))),2))</x:f>
      </x:c>
      <x:c r="S978" s="55" t="n">
        <x:f>IF($D978="",0,ROUND(IF(OR($P978="Out",$P978="Suspended"),$Q978*$H978,IF($P978="Doubtful",$Q978*$H978*0.5,IF($P978="Limited",$Q978*$H978*0.25,0))),2))</x:f>
        <x:v>0</x:v>
      </x:c>
      <x:c r="T978" s="55" t="str"/>
      <x:c r="U978" s="51" t="str"/>
    </x:row>
    <x:row r="979">
      <x:c r="A979" s="51" t="str">
        <x:v>Argentina</x:v>
      </x:c>
      <x:c r="B979" s="51" t="str">
        <x:v>J</x:v>
      </x:c>
      <x:c r="C979" s="51" t="n">
        <x:v>13</x:v>
      </x:c>
      <x:c r="D979" s="71" t="str"/>
      <x:c r="E979" s="51" t="str">
        <x:v>CM</x:v>
      </x:c>
      <x:c r="F979" s="51" t="str">
        <x:v>Midfield</x:v>
      </x:c>
      <x:c r="G979" s="51" t="str">
        <x:v>Rotation</x:v>
      </x:c>
      <x:c r="H979" s="55" t="n">
        <x:v>0.35</x:v>
      </x:c>
      <x:c r="I979" s="51" t="str"/>
      <x:c r="J979" s="72" t="str"/>
      <x:c r="K979" s="72" t="str"/>
      <x:c r="L979" s="72" t="str"/>
      <x:c r="M979" s="72" t="str"/>
      <x:c r="N979" s="72" t="str"/>
      <x:c r="O979" s="72" t="str"/>
      <x:c r="P979" s="72" t="str">
        <x:v>Available</x:v>
      </x:c>
      <x:c r="Q979" s="72" t="n">
        <x:v>0</x:v>
      </x:c>
      <x:c r="R979" s="55" t="str">
        <x:f>IF($D979="","",ROUND(MAX(0,MIN(100,0.35*$J979+0.2*$K979+0.15*$L979+0.15*$M979+0.1*$N979+0.05*$O979-IF(OR($P979="Out",$P979="Suspended"),$Q979,IF($P979="Doubtful",$Q979*0.5,IF($P979="Limited",$Q979*0.25,0))))),2))</x:f>
      </x:c>
      <x:c r="S979" s="55" t="n">
        <x:f>IF($D979="",0,ROUND(IF(OR($P979="Out",$P979="Suspended"),$Q979*$H979,IF($P979="Doubtful",$Q979*$H979*0.5,IF($P979="Limited",$Q979*$H979*0.25,0))),2))</x:f>
        <x:v>0</x:v>
      </x:c>
      <x:c r="T979" s="55" t="str"/>
      <x:c r="U979" s="51" t="str"/>
    </x:row>
    <x:row r="980">
      <x:c r="A980" s="51" t="str">
        <x:v>Argentina</x:v>
      </x:c>
      <x:c r="B980" s="51" t="str">
        <x:v>J</x:v>
      </x:c>
      <x:c r="C980" s="51" t="n">
        <x:v>14</x:v>
      </x:c>
      <x:c r="D980" s="71" t="str"/>
      <x:c r="E980" s="51" t="str">
        <x:v>CM</x:v>
      </x:c>
      <x:c r="F980" s="51" t="str">
        <x:v>Midfield</x:v>
      </x:c>
      <x:c r="G980" s="51" t="str">
        <x:v>Rotation</x:v>
      </x:c>
      <x:c r="H980" s="55" t="n">
        <x:v>0.35</x:v>
      </x:c>
      <x:c r="I980" s="51" t="str"/>
      <x:c r="J980" s="72" t="str"/>
      <x:c r="K980" s="72" t="str"/>
      <x:c r="L980" s="72" t="str"/>
      <x:c r="M980" s="72" t="str"/>
      <x:c r="N980" s="72" t="str"/>
      <x:c r="O980" s="72" t="str"/>
      <x:c r="P980" s="72" t="str">
        <x:v>Available</x:v>
      </x:c>
      <x:c r="Q980" s="72" t="n">
        <x:v>0</x:v>
      </x:c>
      <x:c r="R980" s="55" t="str">
        <x:f>IF($D980="","",ROUND(MAX(0,MIN(100,0.35*$J980+0.2*$K980+0.15*$L980+0.15*$M980+0.1*$N980+0.05*$O980-IF(OR($P980="Out",$P980="Suspended"),$Q980,IF($P980="Doubtful",$Q980*0.5,IF($P980="Limited",$Q980*0.25,0))))),2))</x:f>
      </x:c>
      <x:c r="S980" s="55" t="n">
        <x:f>IF($D980="",0,ROUND(IF(OR($P980="Out",$P980="Suspended"),$Q980*$H980,IF($P980="Doubtful",$Q980*$H980*0.5,IF($P980="Limited",$Q980*$H980*0.25,0))),2))</x:f>
        <x:v>0</x:v>
      </x:c>
      <x:c r="T980" s="55" t="str"/>
      <x:c r="U980" s="51" t="str"/>
    </x:row>
    <x:row r="981">
      <x:c r="A981" s="51" t="str">
        <x:v>Argentina</x:v>
      </x:c>
      <x:c r="B981" s="51" t="str">
        <x:v>J</x:v>
      </x:c>
      <x:c r="C981" s="51" t="n">
        <x:v>15</x:v>
      </x:c>
      <x:c r="D981" s="71" t="str"/>
      <x:c r="E981" s="51" t="str">
        <x:v>CM</x:v>
      </x:c>
      <x:c r="F981" s="51" t="str">
        <x:v>Midfield</x:v>
      </x:c>
      <x:c r="G981" s="51" t="str">
        <x:v>Rotation</x:v>
      </x:c>
      <x:c r="H981" s="55" t="n">
        <x:v>0.35</x:v>
      </x:c>
      <x:c r="I981" s="51" t="str"/>
      <x:c r="J981" s="72" t="str"/>
      <x:c r="K981" s="72" t="str"/>
      <x:c r="L981" s="72" t="str"/>
      <x:c r="M981" s="72" t="str"/>
      <x:c r="N981" s="72" t="str"/>
      <x:c r="O981" s="72" t="str"/>
      <x:c r="P981" s="72" t="str">
        <x:v>Available</x:v>
      </x:c>
      <x:c r="Q981" s="72" t="n">
        <x:v>0</x:v>
      </x:c>
      <x:c r="R981" s="55" t="str">
        <x:f>IF($D981="","",ROUND(MAX(0,MIN(100,0.35*$J981+0.2*$K981+0.15*$L981+0.15*$M981+0.1*$N981+0.05*$O981-IF(OR($P981="Out",$P981="Suspended"),$Q981,IF($P981="Doubtful",$Q981*0.5,IF($P981="Limited",$Q981*0.25,0))))),2))</x:f>
      </x:c>
      <x:c r="S981" s="55" t="n">
        <x:f>IF($D981="",0,ROUND(IF(OR($P981="Out",$P981="Suspended"),$Q981*$H981,IF($P981="Doubtful",$Q981*$H981*0.5,IF($P981="Limited",$Q981*$H981*0.25,0))),2))</x:f>
        <x:v>0</x:v>
      </x:c>
      <x:c r="T981" s="55" t="str"/>
      <x:c r="U981" s="51" t="str"/>
    </x:row>
    <x:row r="982">
      <x:c r="A982" s="51" t="str">
        <x:v>Argentina</x:v>
      </x:c>
      <x:c r="B982" s="51" t="str">
        <x:v>J</x:v>
      </x:c>
      <x:c r="C982" s="51" t="n">
        <x:v>16</x:v>
      </x:c>
      <x:c r="D982" s="71" t="str"/>
      <x:c r="E982" s="51" t="str">
        <x:v>AM</x:v>
      </x:c>
      <x:c r="F982" s="51" t="str">
        <x:v>Attack</x:v>
      </x:c>
      <x:c r="G982" s="51" t="str">
        <x:v>Rotation</x:v>
      </x:c>
      <x:c r="H982" s="55" t="n">
        <x:v>0.35</x:v>
      </x:c>
      <x:c r="I982" s="51" t="str"/>
      <x:c r="J982" s="72" t="str"/>
      <x:c r="K982" s="72" t="str"/>
      <x:c r="L982" s="72" t="str"/>
      <x:c r="M982" s="72" t="str"/>
      <x:c r="N982" s="72" t="str"/>
      <x:c r="O982" s="72" t="str"/>
      <x:c r="P982" s="72" t="str">
        <x:v>Available</x:v>
      </x:c>
      <x:c r="Q982" s="72" t="n">
        <x:v>0</x:v>
      </x:c>
      <x:c r="R982" s="55" t="str">
        <x:f>IF($D982="","",ROUND(MAX(0,MIN(100,0.35*$J982+0.2*$K982+0.15*$L982+0.15*$M982+0.1*$N982+0.05*$O982-IF(OR($P982="Out",$P982="Suspended"),$Q982,IF($P982="Doubtful",$Q982*0.5,IF($P982="Limited",$Q982*0.25,0))))),2))</x:f>
      </x:c>
      <x:c r="S982" s="55" t="n">
        <x:f>IF($D982="",0,ROUND(IF(OR($P982="Out",$P982="Suspended"),$Q982*$H982,IF($P982="Doubtful",$Q982*$H982*0.5,IF($P982="Limited",$Q982*$H982*0.25,0))),2))</x:f>
        <x:v>0</x:v>
      </x:c>
      <x:c r="T982" s="55" t="str"/>
      <x:c r="U982" s="51" t="str"/>
    </x:row>
    <x:row r="983">
      <x:c r="A983" s="51" t="str">
        <x:v>Argentina</x:v>
      </x:c>
      <x:c r="B983" s="51" t="str">
        <x:v>J</x:v>
      </x:c>
      <x:c r="C983" s="51" t="n">
        <x:v>17</x:v>
      </x:c>
      <x:c r="D983" s="71" t="str"/>
      <x:c r="E983" s="51" t="str">
        <x:v>AM</x:v>
      </x:c>
      <x:c r="F983" s="51" t="str">
        <x:v>Attack</x:v>
      </x:c>
      <x:c r="G983" s="51" t="str">
        <x:v>Rotation</x:v>
      </x:c>
      <x:c r="H983" s="55" t="n">
        <x:v>0.35</x:v>
      </x:c>
      <x:c r="I983" s="51" t="str"/>
      <x:c r="J983" s="72" t="str"/>
      <x:c r="K983" s="72" t="str"/>
      <x:c r="L983" s="72" t="str"/>
      <x:c r="M983" s="72" t="str"/>
      <x:c r="N983" s="72" t="str"/>
      <x:c r="O983" s="72" t="str"/>
      <x:c r="P983" s="72" t="str">
        <x:v>Available</x:v>
      </x:c>
      <x:c r="Q983" s="72" t="n">
        <x:v>0</x:v>
      </x:c>
      <x:c r="R983" s="55" t="str">
        <x:f>IF($D983="","",ROUND(MAX(0,MIN(100,0.35*$J983+0.2*$K983+0.15*$L983+0.15*$M983+0.1*$N983+0.05*$O983-IF(OR($P983="Out",$P983="Suspended"),$Q983,IF($P983="Doubtful",$Q983*0.5,IF($P983="Limited",$Q983*0.25,0))))),2))</x:f>
      </x:c>
      <x:c r="S983" s="55" t="n">
        <x:f>IF($D983="",0,ROUND(IF(OR($P983="Out",$P983="Suspended"),$Q983*$H983,IF($P983="Doubtful",$Q983*$H983*0.5,IF($P983="Limited",$Q983*$H983*0.25,0))),2))</x:f>
        <x:v>0</x:v>
      </x:c>
      <x:c r="T983" s="55" t="str"/>
      <x:c r="U983" s="51" t="str"/>
    </x:row>
    <x:row r="984">
      <x:c r="A984" s="51" t="str">
        <x:v>Argentina</x:v>
      </x:c>
      <x:c r="B984" s="51" t="str">
        <x:v>J</x:v>
      </x:c>
      <x:c r="C984" s="51" t="n">
        <x:v>18</x:v>
      </x:c>
      <x:c r="D984" s="71" t="str"/>
      <x:c r="E984" s="51" t="str">
        <x:v>AM</x:v>
      </x:c>
      <x:c r="F984" s="51" t="str">
        <x:v>Attack</x:v>
      </x:c>
      <x:c r="G984" s="51" t="str">
        <x:v>Rotation</x:v>
      </x:c>
      <x:c r="H984" s="55" t="n">
        <x:v>0.35</x:v>
      </x:c>
      <x:c r="I984" s="51" t="str"/>
      <x:c r="J984" s="72" t="str"/>
      <x:c r="K984" s="72" t="str"/>
      <x:c r="L984" s="72" t="str"/>
      <x:c r="M984" s="72" t="str"/>
      <x:c r="N984" s="72" t="str"/>
      <x:c r="O984" s="72" t="str"/>
      <x:c r="P984" s="72" t="str">
        <x:v>Available</x:v>
      </x:c>
      <x:c r="Q984" s="72" t="n">
        <x:v>0</x:v>
      </x:c>
      <x:c r="R984" s="55" t="str">
        <x:f>IF($D984="","",ROUND(MAX(0,MIN(100,0.35*$J984+0.2*$K984+0.15*$L984+0.15*$M984+0.1*$N984+0.05*$O984-IF(OR($P984="Out",$P984="Suspended"),$Q984,IF($P984="Doubtful",$Q984*0.5,IF($P984="Limited",$Q984*0.25,0))))),2))</x:f>
      </x:c>
      <x:c r="S984" s="55" t="n">
        <x:f>IF($D984="",0,ROUND(IF(OR($P984="Out",$P984="Suspended"),$Q984*$H984,IF($P984="Doubtful",$Q984*$H984*0.5,IF($P984="Limited",$Q984*$H984*0.25,0))),2))</x:f>
        <x:v>0</x:v>
      </x:c>
      <x:c r="T984" s="55" t="str"/>
      <x:c r="U984" s="51" t="str"/>
    </x:row>
    <x:row r="985">
      <x:c r="A985" s="51" t="str">
        <x:v>Argentina</x:v>
      </x:c>
      <x:c r="B985" s="51" t="str">
        <x:v>J</x:v>
      </x:c>
      <x:c r="C985" s="51" t="n">
        <x:v>19</x:v>
      </x:c>
      <x:c r="D985" s="71" t="str"/>
      <x:c r="E985" s="51" t="str">
        <x:v>AM</x:v>
      </x:c>
      <x:c r="F985" s="51" t="str">
        <x:v>Attack</x:v>
      </x:c>
      <x:c r="G985" s="51" t="str">
        <x:v>Rotation</x:v>
      </x:c>
      <x:c r="H985" s="55" t="n">
        <x:v>0.35</x:v>
      </x:c>
      <x:c r="I985" s="51" t="str"/>
      <x:c r="J985" s="72" t="str"/>
      <x:c r="K985" s="72" t="str"/>
      <x:c r="L985" s="72" t="str"/>
      <x:c r="M985" s="72" t="str"/>
      <x:c r="N985" s="72" t="str"/>
      <x:c r="O985" s="72" t="str"/>
      <x:c r="P985" s="72" t="str">
        <x:v>Available</x:v>
      </x:c>
      <x:c r="Q985" s="72" t="n">
        <x:v>0</x:v>
      </x:c>
      <x:c r="R985" s="55" t="str">
        <x:f>IF($D985="","",ROUND(MAX(0,MIN(100,0.35*$J985+0.2*$K985+0.15*$L985+0.15*$M985+0.1*$N985+0.05*$O985-IF(OR($P985="Out",$P985="Suspended"),$Q985,IF($P985="Doubtful",$Q985*0.5,IF($P985="Limited",$Q985*0.25,0))))),2))</x:f>
      </x:c>
      <x:c r="S985" s="55" t="n">
        <x:f>IF($D985="",0,ROUND(IF(OR($P985="Out",$P985="Suspended"),$Q985*$H985,IF($P985="Doubtful",$Q985*$H985*0.5,IF($P985="Limited",$Q985*$H985*0.25,0))),2))</x:f>
        <x:v>0</x:v>
      </x:c>
      <x:c r="T985" s="55" t="str"/>
      <x:c r="U985" s="51" t="str"/>
    </x:row>
    <x:row r="986">
      <x:c r="A986" s="51" t="str">
        <x:v>Argentina</x:v>
      </x:c>
      <x:c r="B986" s="51" t="str">
        <x:v>J</x:v>
      </x:c>
      <x:c r="C986" s="51" t="n">
        <x:v>20</x:v>
      </x:c>
      <x:c r="D986" s="71" t="str"/>
      <x:c r="E986" s="51" t="str">
        <x:v>Winger</x:v>
      </x:c>
      <x:c r="F986" s="51" t="str">
        <x:v>Attack</x:v>
      </x:c>
      <x:c r="G986" s="51" t="str">
        <x:v>Rotation</x:v>
      </x:c>
      <x:c r="H986" s="55" t="n">
        <x:v>0.35</x:v>
      </x:c>
      <x:c r="I986" s="51" t="str"/>
      <x:c r="J986" s="72" t="str"/>
      <x:c r="K986" s="72" t="str"/>
      <x:c r="L986" s="72" t="str"/>
      <x:c r="M986" s="72" t="str"/>
      <x:c r="N986" s="72" t="str"/>
      <x:c r="O986" s="72" t="str"/>
      <x:c r="P986" s="72" t="str">
        <x:v>Available</x:v>
      </x:c>
      <x:c r="Q986" s="72" t="n">
        <x:v>0</x:v>
      </x:c>
      <x:c r="R986" s="55" t="str">
        <x:f>IF($D986="","",ROUND(MAX(0,MIN(100,0.35*$J986+0.2*$K986+0.15*$L986+0.15*$M986+0.1*$N986+0.05*$O986-IF(OR($P986="Out",$P986="Suspended"),$Q986,IF($P986="Doubtful",$Q986*0.5,IF($P986="Limited",$Q986*0.25,0))))),2))</x:f>
      </x:c>
      <x:c r="S986" s="55" t="n">
        <x:f>IF($D986="",0,ROUND(IF(OR($P986="Out",$P986="Suspended"),$Q986*$H986,IF($P986="Doubtful",$Q986*$H986*0.5,IF($P986="Limited",$Q986*$H986*0.25,0))),2))</x:f>
        <x:v>0</x:v>
      </x:c>
      <x:c r="T986" s="55" t="str"/>
      <x:c r="U986" s="51" t="str"/>
    </x:row>
    <x:row r="987">
      <x:c r="A987" s="51" t="str">
        <x:v>Argentina</x:v>
      </x:c>
      <x:c r="B987" s="51" t="str">
        <x:v>J</x:v>
      </x:c>
      <x:c r="C987" s="51" t="n">
        <x:v>21</x:v>
      </x:c>
      <x:c r="D987" s="71" t="str"/>
      <x:c r="E987" s="51" t="str">
        <x:v>Winger</x:v>
      </x:c>
      <x:c r="F987" s="51" t="str">
        <x:v>Attack</x:v>
      </x:c>
      <x:c r="G987" s="51" t="str">
        <x:v>Depth</x:v>
      </x:c>
      <x:c r="H987" s="55" t="n">
        <x:v>0.1</x:v>
      </x:c>
      <x:c r="I987" s="51" t="str"/>
      <x:c r="J987" s="72" t="str"/>
      <x:c r="K987" s="72" t="str"/>
      <x:c r="L987" s="72" t="str"/>
      <x:c r="M987" s="72" t="str"/>
      <x:c r="N987" s="72" t="str"/>
      <x:c r="O987" s="72" t="str"/>
      <x:c r="P987" s="72" t="str">
        <x:v>Available</x:v>
      </x:c>
      <x:c r="Q987" s="72" t="n">
        <x:v>0</x:v>
      </x:c>
      <x:c r="R987" s="55" t="str">
        <x:f>IF($D987="","",ROUND(MAX(0,MIN(100,0.35*$J987+0.2*$K987+0.15*$L987+0.15*$M987+0.1*$N987+0.05*$O987-IF(OR($P987="Out",$P987="Suspended"),$Q987,IF($P987="Doubtful",$Q987*0.5,IF($P987="Limited",$Q987*0.25,0))))),2))</x:f>
      </x:c>
      <x:c r="S987" s="55" t="n">
        <x:f>IF($D987="",0,ROUND(IF(OR($P987="Out",$P987="Suspended"),$Q987*$H987,IF($P987="Doubtful",$Q987*$H987*0.5,IF($P987="Limited",$Q987*$H987*0.25,0))),2))</x:f>
        <x:v>0</x:v>
      </x:c>
      <x:c r="T987" s="55" t="str"/>
      <x:c r="U987" s="51" t="str"/>
    </x:row>
    <x:row r="988">
      <x:c r="A988" s="51" t="str">
        <x:v>Argentina</x:v>
      </x:c>
      <x:c r="B988" s="51" t="str">
        <x:v>J</x:v>
      </x:c>
      <x:c r="C988" s="51" t="n">
        <x:v>22</x:v>
      </x:c>
      <x:c r="D988" s="71" t="str"/>
      <x:c r="E988" s="51" t="str">
        <x:v>Winger</x:v>
      </x:c>
      <x:c r="F988" s="51" t="str">
        <x:v>Attack</x:v>
      </x:c>
      <x:c r="G988" s="51" t="str">
        <x:v>Depth</x:v>
      </x:c>
      <x:c r="H988" s="55" t="n">
        <x:v>0.1</x:v>
      </x:c>
      <x:c r="I988" s="51" t="str"/>
      <x:c r="J988" s="72" t="str"/>
      <x:c r="K988" s="72" t="str"/>
      <x:c r="L988" s="72" t="str"/>
      <x:c r="M988" s="72" t="str"/>
      <x:c r="N988" s="72" t="str"/>
      <x:c r="O988" s="72" t="str"/>
      <x:c r="P988" s="72" t="str">
        <x:v>Available</x:v>
      </x:c>
      <x:c r="Q988" s="72" t="n">
        <x:v>0</x:v>
      </x:c>
      <x:c r="R988" s="55" t="str">
        <x:f>IF($D988="","",ROUND(MAX(0,MIN(100,0.35*$J988+0.2*$K988+0.15*$L988+0.15*$M988+0.1*$N988+0.05*$O988-IF(OR($P988="Out",$P988="Suspended"),$Q988,IF($P988="Doubtful",$Q988*0.5,IF($P988="Limited",$Q988*0.25,0))))),2))</x:f>
      </x:c>
      <x:c r="S988" s="55" t="n">
        <x:f>IF($D988="",0,ROUND(IF(OR($P988="Out",$P988="Suspended"),$Q988*$H988,IF($P988="Doubtful",$Q988*$H988*0.5,IF($P988="Limited",$Q988*$H988*0.25,0))),2))</x:f>
        <x:v>0</x:v>
      </x:c>
      <x:c r="T988" s="55" t="str"/>
      <x:c r="U988" s="51" t="str"/>
    </x:row>
    <x:row r="989">
      <x:c r="A989" s="51" t="str">
        <x:v>Argentina</x:v>
      </x:c>
      <x:c r="B989" s="51" t="str">
        <x:v>J</x:v>
      </x:c>
      <x:c r="C989" s="51" t="n">
        <x:v>23</x:v>
      </x:c>
      <x:c r="D989" s="71" t="str"/>
      <x:c r="E989" s="51" t="str">
        <x:v>Winger</x:v>
      </x:c>
      <x:c r="F989" s="51" t="str">
        <x:v>Attack</x:v>
      </x:c>
      <x:c r="G989" s="51" t="str">
        <x:v>Depth</x:v>
      </x:c>
      <x:c r="H989" s="55" t="n">
        <x:v>0.1</x:v>
      </x:c>
      <x:c r="I989" s="51" t="str"/>
      <x:c r="J989" s="72" t="str"/>
      <x:c r="K989" s="72" t="str"/>
      <x:c r="L989" s="72" t="str"/>
      <x:c r="M989" s="72" t="str"/>
      <x:c r="N989" s="72" t="str"/>
      <x:c r="O989" s="72" t="str"/>
      <x:c r="P989" s="72" t="str">
        <x:v>Available</x:v>
      </x:c>
      <x:c r="Q989" s="72" t="n">
        <x:v>0</x:v>
      </x:c>
      <x:c r="R989" s="55" t="str">
        <x:f>IF($D989="","",ROUND(MAX(0,MIN(100,0.35*$J989+0.2*$K989+0.15*$L989+0.15*$M989+0.1*$N989+0.05*$O989-IF(OR($P989="Out",$P989="Suspended"),$Q989,IF($P989="Doubtful",$Q989*0.5,IF($P989="Limited",$Q989*0.25,0))))),2))</x:f>
      </x:c>
      <x:c r="S989" s="55" t="n">
        <x:f>IF($D989="",0,ROUND(IF(OR($P989="Out",$P989="Suspended"),$Q989*$H989,IF($P989="Doubtful",$Q989*$H989*0.5,IF($P989="Limited",$Q989*$H989*0.25,0))),2))</x:f>
        <x:v>0</x:v>
      </x:c>
      <x:c r="T989" s="55" t="str"/>
      <x:c r="U989" s="51" t="str"/>
    </x:row>
    <x:row r="990">
      <x:c r="A990" s="51" t="str">
        <x:v>Argentina</x:v>
      </x:c>
      <x:c r="B990" s="51" t="str">
        <x:v>J</x:v>
      </x:c>
      <x:c r="C990" s="51" t="n">
        <x:v>24</x:v>
      </x:c>
      <x:c r="D990" s="71" t="str"/>
      <x:c r="E990" s="51" t="str">
        <x:v>ST</x:v>
      </x:c>
      <x:c r="F990" s="51" t="str">
        <x:v>Attack</x:v>
      </x:c>
      <x:c r="G990" s="51" t="str">
        <x:v>Depth</x:v>
      </x:c>
      <x:c r="H990" s="55" t="n">
        <x:v>0.1</x:v>
      </x:c>
      <x:c r="I990" s="51" t="str"/>
      <x:c r="J990" s="72" t="str"/>
      <x:c r="K990" s="72" t="str"/>
      <x:c r="L990" s="72" t="str"/>
      <x:c r="M990" s="72" t="str"/>
      <x:c r="N990" s="72" t="str"/>
      <x:c r="O990" s="72" t="str"/>
      <x:c r="P990" s="72" t="str">
        <x:v>Available</x:v>
      </x:c>
      <x:c r="Q990" s="72" t="n">
        <x:v>0</x:v>
      </x:c>
      <x:c r="R990" s="55" t="str">
        <x:f>IF($D990="","",ROUND(MAX(0,MIN(100,0.35*$J990+0.2*$K990+0.15*$L990+0.15*$M990+0.1*$N990+0.05*$O990-IF(OR($P990="Out",$P990="Suspended"),$Q990,IF($P990="Doubtful",$Q990*0.5,IF($P990="Limited",$Q990*0.25,0))))),2))</x:f>
      </x:c>
      <x:c r="S990" s="55" t="n">
        <x:f>IF($D990="",0,ROUND(IF(OR($P990="Out",$P990="Suspended"),$Q990*$H990,IF($P990="Doubtful",$Q990*$H990*0.5,IF($P990="Limited",$Q990*$H990*0.25,0))),2))</x:f>
        <x:v>0</x:v>
      </x:c>
      <x:c r="T990" s="55" t="str"/>
      <x:c r="U990" s="51" t="str"/>
    </x:row>
    <x:row r="991">
      <x:c r="A991" s="51" t="str">
        <x:v>Argentina</x:v>
      </x:c>
      <x:c r="B991" s="51" t="str">
        <x:v>J</x:v>
      </x:c>
      <x:c r="C991" s="51" t="n">
        <x:v>25</x:v>
      </x:c>
      <x:c r="D991" s="71" t="str"/>
      <x:c r="E991" s="51" t="str">
        <x:v>ST</x:v>
      </x:c>
      <x:c r="F991" s="51" t="str">
        <x:v>Attack</x:v>
      </x:c>
      <x:c r="G991" s="51" t="str">
        <x:v>Depth</x:v>
      </x:c>
      <x:c r="H991" s="55" t="n">
        <x:v>0.1</x:v>
      </x:c>
      <x:c r="I991" s="51" t="str"/>
      <x:c r="J991" s="72" t="str"/>
      <x:c r="K991" s="72" t="str"/>
      <x:c r="L991" s="72" t="str"/>
      <x:c r="M991" s="72" t="str"/>
      <x:c r="N991" s="72" t="str"/>
      <x:c r="O991" s="72" t="str"/>
      <x:c r="P991" s="72" t="str">
        <x:v>Available</x:v>
      </x:c>
      <x:c r="Q991" s="72" t="n">
        <x:v>0</x:v>
      </x:c>
      <x:c r="R991" s="55" t="str">
        <x:f>IF($D991="","",ROUND(MAX(0,MIN(100,0.35*$J991+0.2*$K991+0.15*$L991+0.15*$M991+0.1*$N991+0.05*$O991-IF(OR($P991="Out",$P991="Suspended"),$Q991,IF($P991="Doubtful",$Q991*0.5,IF($P991="Limited",$Q991*0.25,0))))),2))</x:f>
      </x:c>
      <x:c r="S991" s="55" t="n">
        <x:f>IF($D991="",0,ROUND(IF(OR($P991="Out",$P991="Suspended"),$Q991*$H991,IF($P991="Doubtful",$Q991*$H991*0.5,IF($P991="Limited",$Q991*$H991*0.25,0))),2))</x:f>
        <x:v>0</x:v>
      </x:c>
      <x:c r="T991" s="55" t="str"/>
      <x:c r="U991" s="51" t="str"/>
    </x:row>
    <x:row r="992">
      <x:c r="A992" s="51" t="str">
        <x:v>Argentina</x:v>
      </x:c>
      <x:c r="B992" s="51" t="str">
        <x:v>J</x:v>
      </x:c>
      <x:c r="C992" s="51" t="n">
        <x:v>26</x:v>
      </x:c>
      <x:c r="D992" s="71" t="str"/>
      <x:c r="E992" s="51" t="str">
        <x:v>ST</x:v>
      </x:c>
      <x:c r="F992" s="51" t="str">
        <x:v>Attack</x:v>
      </x:c>
      <x:c r="G992" s="51" t="str">
        <x:v>Depth</x:v>
      </x:c>
      <x:c r="H992" s="55" t="n">
        <x:v>0.1</x:v>
      </x:c>
      <x:c r="I992" s="51" t="str"/>
      <x:c r="J992" s="72" t="str"/>
      <x:c r="K992" s="72" t="str"/>
      <x:c r="L992" s="72" t="str"/>
      <x:c r="M992" s="72" t="str"/>
      <x:c r="N992" s="72" t="str"/>
      <x:c r="O992" s="72" t="str"/>
      <x:c r="P992" s="72" t="str">
        <x:v>Available</x:v>
      </x:c>
      <x:c r="Q992" s="72" t="n">
        <x:v>0</x:v>
      </x:c>
      <x:c r="R992" s="55" t="str">
        <x:f>IF($D992="","",ROUND(MAX(0,MIN(100,0.35*$J992+0.2*$K992+0.15*$L992+0.15*$M992+0.1*$N992+0.05*$O992-IF(OR($P992="Out",$P992="Suspended"),$Q992,IF($P992="Doubtful",$Q992*0.5,IF($P992="Limited",$Q992*0.25,0))))),2))</x:f>
      </x:c>
      <x:c r="S992" s="55" t="n">
        <x:f>IF($D992="",0,ROUND(IF(OR($P992="Out",$P992="Suspended"),$Q992*$H992,IF($P992="Doubtful",$Q992*$H992*0.5,IF($P992="Limited",$Q992*$H992*0.25,0))),2))</x:f>
        <x:v>0</x:v>
      </x:c>
      <x:c r="T992" s="55" t="str"/>
      <x:c r="U992" s="51" t="str"/>
    </x:row>
    <x:row r="993">
      <x:c r="A993" s="51" t="str">
        <x:v>Austria</x:v>
      </x:c>
      <x:c r="B993" s="51" t="str">
        <x:v>J</x:v>
      </x:c>
      <x:c r="C993" s="51" t="n">
        <x:v>1</x:v>
      </x:c>
      <x:c r="D993" s="71" t="str"/>
      <x:c r="E993" s="51" t="str">
        <x:v>GK</x:v>
      </x:c>
      <x:c r="F993" s="51" t="str">
        <x:v>GK</x:v>
      </x:c>
      <x:c r="G993" s="51" t="str">
        <x:v>Starter</x:v>
      </x:c>
      <x:c r="H993" s="55" t="n">
        <x:v>1</x:v>
      </x:c>
      <x:c r="I993" s="51" t="str"/>
      <x:c r="J993" s="72" t="str"/>
      <x:c r="K993" s="72" t="str"/>
      <x:c r="L993" s="72" t="str"/>
      <x:c r="M993" s="72" t="str"/>
      <x:c r="N993" s="72" t="str"/>
      <x:c r="O993" s="72" t="str"/>
      <x:c r="P993" s="72" t="str">
        <x:v>Available</x:v>
      </x:c>
      <x:c r="Q993" s="72" t="n">
        <x:v>0</x:v>
      </x:c>
      <x:c r="R993" s="55" t="str">
        <x:f>IF($D993="","",ROUND(MAX(0,MIN(100,0.35*$J993+0.2*$K993+0.15*$L993+0.15*$M993+0.1*$N993+0.05*$O993-IF(OR($P993="Out",$P993="Suspended"),$Q993,IF($P993="Doubtful",$Q993*0.5,IF($P993="Limited",$Q993*0.25,0))))),2))</x:f>
      </x:c>
      <x:c r="S993" s="55" t="n">
        <x:f>IF($D993="",0,ROUND(IF(OR($P993="Out",$P993="Suspended"),$Q993*$H993,IF($P993="Doubtful",$Q993*$H993*0.5,IF($P993="Limited",$Q993*$H993*0.25,0))),2))</x:f>
        <x:v>0</x:v>
      </x:c>
      <x:c r="T993" s="55" t="str"/>
      <x:c r="U993" s="51" t="str"/>
    </x:row>
    <x:row r="994">
      <x:c r="A994" s="51" t="str">
        <x:v>Austria</x:v>
      </x:c>
      <x:c r="B994" s="51" t="str">
        <x:v>J</x:v>
      </x:c>
      <x:c r="C994" s="51" t="n">
        <x:v>2</x:v>
      </x:c>
      <x:c r="D994" s="71" t="str"/>
      <x:c r="E994" s="51" t="str">
        <x:v>GK</x:v>
      </x:c>
      <x:c r="F994" s="51" t="str">
        <x:v>GK</x:v>
      </x:c>
      <x:c r="G994" s="51" t="str">
        <x:v>Starter</x:v>
      </x:c>
      <x:c r="H994" s="55" t="n">
        <x:v>1</x:v>
      </x:c>
      <x:c r="I994" s="51" t="str"/>
      <x:c r="J994" s="72" t="str"/>
      <x:c r="K994" s="72" t="str"/>
      <x:c r="L994" s="72" t="str"/>
      <x:c r="M994" s="72" t="str"/>
      <x:c r="N994" s="72" t="str"/>
      <x:c r="O994" s="72" t="str"/>
      <x:c r="P994" s="72" t="str">
        <x:v>Available</x:v>
      </x:c>
      <x:c r="Q994" s="72" t="n">
        <x:v>0</x:v>
      </x:c>
      <x:c r="R994" s="55" t="str">
        <x:f>IF($D994="","",ROUND(MAX(0,MIN(100,0.35*$J994+0.2*$K994+0.15*$L994+0.15*$M994+0.1*$N994+0.05*$O994-IF(OR($P994="Out",$P994="Suspended"),$Q994,IF($P994="Doubtful",$Q994*0.5,IF($P994="Limited",$Q994*0.25,0))))),2))</x:f>
      </x:c>
      <x:c r="S994" s="55" t="n">
        <x:f>IF($D994="",0,ROUND(IF(OR($P994="Out",$P994="Suspended"),$Q994*$H994,IF($P994="Doubtful",$Q994*$H994*0.5,IF($P994="Limited",$Q994*$H994*0.25,0))),2))</x:f>
        <x:v>0</x:v>
      </x:c>
      <x:c r="T994" s="55" t="str"/>
      <x:c r="U994" s="51" t="str"/>
    </x:row>
    <x:row r="995">
      <x:c r="A995" s="51" t="str">
        <x:v>Austria</x:v>
      </x:c>
      <x:c r="B995" s="51" t="str">
        <x:v>J</x:v>
      </x:c>
      <x:c r="C995" s="51" t="n">
        <x:v>3</x:v>
      </x:c>
      <x:c r="D995" s="71" t="str"/>
      <x:c r="E995" s="51" t="str">
        <x:v>GK</x:v>
      </x:c>
      <x:c r="F995" s="51" t="str">
        <x:v>GK</x:v>
      </x:c>
      <x:c r="G995" s="51" t="str">
        <x:v>Starter</x:v>
      </x:c>
      <x:c r="H995" s="55" t="n">
        <x:v>1</x:v>
      </x:c>
      <x:c r="I995" s="51" t="str"/>
      <x:c r="J995" s="72" t="str"/>
      <x:c r="K995" s="72" t="str"/>
      <x:c r="L995" s="72" t="str"/>
      <x:c r="M995" s="72" t="str"/>
      <x:c r="N995" s="72" t="str"/>
      <x:c r="O995" s="72" t="str"/>
      <x:c r="P995" s="72" t="str">
        <x:v>Available</x:v>
      </x:c>
      <x:c r="Q995" s="72" t="n">
        <x:v>0</x:v>
      </x:c>
      <x:c r="R995" s="55" t="str">
        <x:f>IF($D995="","",ROUND(MAX(0,MIN(100,0.35*$J995+0.2*$K995+0.15*$L995+0.15*$M995+0.1*$N995+0.05*$O995-IF(OR($P995="Out",$P995="Suspended"),$Q995,IF($P995="Doubtful",$Q995*0.5,IF($P995="Limited",$Q995*0.25,0))))),2))</x:f>
      </x:c>
      <x:c r="S995" s="55" t="n">
        <x:f>IF($D995="",0,ROUND(IF(OR($P995="Out",$P995="Suspended"),$Q995*$H995,IF($P995="Doubtful",$Q995*$H995*0.5,IF($P995="Limited",$Q995*$H995*0.25,0))),2))</x:f>
        <x:v>0</x:v>
      </x:c>
      <x:c r="T995" s="55" t="str"/>
      <x:c r="U995" s="51" t="str"/>
    </x:row>
    <x:row r="996">
      <x:c r="A996" s="51" t="str">
        <x:v>Austria</x:v>
      </x:c>
      <x:c r="B996" s="51" t="str">
        <x:v>J</x:v>
      </x:c>
      <x:c r="C996" s="51" t="n">
        <x:v>4</x:v>
      </x:c>
      <x:c r="D996" s="71" t="str"/>
      <x:c r="E996" s="51" t="str">
        <x:v>CB</x:v>
      </x:c>
      <x:c r="F996" s="51" t="str">
        <x:v>Defence</x:v>
      </x:c>
      <x:c r="G996" s="51" t="str">
        <x:v>Starter</x:v>
      </x:c>
      <x:c r="H996" s="55" t="n">
        <x:v>1</x:v>
      </x:c>
      <x:c r="I996" s="51" t="str"/>
      <x:c r="J996" s="72" t="str"/>
      <x:c r="K996" s="72" t="str"/>
      <x:c r="L996" s="72" t="str"/>
      <x:c r="M996" s="72" t="str"/>
      <x:c r="N996" s="72" t="str"/>
      <x:c r="O996" s="72" t="str"/>
      <x:c r="P996" s="72" t="str">
        <x:v>Available</x:v>
      </x:c>
      <x:c r="Q996" s="72" t="n">
        <x:v>0</x:v>
      </x:c>
      <x:c r="R996" s="55" t="str">
        <x:f>IF($D996="","",ROUND(MAX(0,MIN(100,0.35*$J996+0.2*$K996+0.15*$L996+0.15*$M996+0.1*$N996+0.05*$O996-IF(OR($P996="Out",$P996="Suspended"),$Q996,IF($P996="Doubtful",$Q996*0.5,IF($P996="Limited",$Q996*0.25,0))))),2))</x:f>
      </x:c>
      <x:c r="S996" s="55" t="n">
        <x:f>IF($D996="",0,ROUND(IF(OR($P996="Out",$P996="Suspended"),$Q996*$H996,IF($P996="Doubtful",$Q996*$H996*0.5,IF($P996="Limited",$Q996*$H996*0.25,0))),2))</x:f>
        <x:v>0</x:v>
      </x:c>
      <x:c r="T996" s="55" t="str"/>
      <x:c r="U996" s="51" t="str"/>
    </x:row>
    <x:row r="997">
      <x:c r="A997" s="51" t="str">
        <x:v>Austria</x:v>
      </x:c>
      <x:c r="B997" s="51" t="str">
        <x:v>J</x:v>
      </x:c>
      <x:c r="C997" s="51" t="n">
        <x:v>5</x:v>
      </x:c>
      <x:c r="D997" s="71" t="str"/>
      <x:c r="E997" s="51" t="str">
        <x:v>CB</x:v>
      </x:c>
      <x:c r="F997" s="51" t="str">
        <x:v>Defence</x:v>
      </x:c>
      <x:c r="G997" s="51" t="str">
        <x:v>Starter</x:v>
      </x:c>
      <x:c r="H997" s="55" t="n">
        <x:v>1</x:v>
      </x:c>
      <x:c r="I997" s="51" t="str"/>
      <x:c r="J997" s="72" t="str"/>
      <x:c r="K997" s="72" t="str"/>
      <x:c r="L997" s="72" t="str"/>
      <x:c r="M997" s="72" t="str"/>
      <x:c r="N997" s="72" t="str"/>
      <x:c r="O997" s="72" t="str"/>
      <x:c r="P997" s="72" t="str">
        <x:v>Available</x:v>
      </x:c>
      <x:c r="Q997" s="72" t="n">
        <x:v>0</x:v>
      </x:c>
      <x:c r="R997" s="55" t="str">
        <x:f>IF($D997="","",ROUND(MAX(0,MIN(100,0.35*$J997+0.2*$K997+0.15*$L997+0.15*$M997+0.1*$N997+0.05*$O997-IF(OR($P997="Out",$P997="Suspended"),$Q997,IF($P997="Doubtful",$Q997*0.5,IF($P997="Limited",$Q997*0.25,0))))),2))</x:f>
      </x:c>
      <x:c r="S997" s="55" t="n">
        <x:f>IF($D997="",0,ROUND(IF(OR($P997="Out",$P997="Suspended"),$Q997*$H997,IF($P997="Doubtful",$Q997*$H997*0.5,IF($P997="Limited",$Q997*$H997*0.25,0))),2))</x:f>
        <x:v>0</x:v>
      </x:c>
      <x:c r="T997" s="55" t="str"/>
      <x:c r="U997" s="51" t="str"/>
    </x:row>
    <x:row r="998">
      <x:c r="A998" s="51" t="str">
        <x:v>Austria</x:v>
      </x:c>
      <x:c r="B998" s="51" t="str">
        <x:v>J</x:v>
      </x:c>
      <x:c r="C998" s="51" t="n">
        <x:v>6</x:v>
      </x:c>
      <x:c r="D998" s="71" t="str"/>
      <x:c r="E998" s="51" t="str">
        <x:v>CB</x:v>
      </x:c>
      <x:c r="F998" s="51" t="str">
        <x:v>Defence</x:v>
      </x:c>
      <x:c r="G998" s="51" t="str">
        <x:v>Starter</x:v>
      </x:c>
      <x:c r="H998" s="55" t="n">
        <x:v>1</x:v>
      </x:c>
      <x:c r="I998" s="51" t="str"/>
      <x:c r="J998" s="72" t="str"/>
      <x:c r="K998" s="72" t="str"/>
      <x:c r="L998" s="72" t="str"/>
      <x:c r="M998" s="72" t="str"/>
      <x:c r="N998" s="72" t="str"/>
      <x:c r="O998" s="72" t="str"/>
      <x:c r="P998" s="72" t="str">
        <x:v>Available</x:v>
      </x:c>
      <x:c r="Q998" s="72" t="n">
        <x:v>0</x:v>
      </x:c>
      <x:c r="R998" s="55" t="str">
        <x:f>IF($D998="","",ROUND(MAX(0,MIN(100,0.35*$J998+0.2*$K998+0.15*$L998+0.15*$M998+0.1*$N998+0.05*$O998-IF(OR($P998="Out",$P998="Suspended"),$Q998,IF($P998="Doubtful",$Q998*0.5,IF($P998="Limited",$Q998*0.25,0))))),2))</x:f>
      </x:c>
      <x:c r="S998" s="55" t="n">
        <x:f>IF($D998="",0,ROUND(IF(OR($P998="Out",$P998="Suspended"),$Q998*$H998,IF($P998="Doubtful",$Q998*$H998*0.5,IF($P998="Limited",$Q998*$H998*0.25,0))),2))</x:f>
        <x:v>0</x:v>
      </x:c>
      <x:c r="T998" s="55" t="str"/>
      <x:c r="U998" s="51" t="str"/>
    </x:row>
    <x:row r="999">
      <x:c r="A999" s="51" t="str">
        <x:v>Austria</x:v>
      </x:c>
      <x:c r="B999" s="51" t="str">
        <x:v>J</x:v>
      </x:c>
      <x:c r="C999" s="51" t="n">
        <x:v>7</x:v>
      </x:c>
      <x:c r="D999" s="71" t="str"/>
      <x:c r="E999" s="51" t="str">
        <x:v>FB</x:v>
      </x:c>
      <x:c r="F999" s="51" t="str">
        <x:v>Defence</x:v>
      </x:c>
      <x:c r="G999" s="51" t="str">
        <x:v>Starter</x:v>
      </x:c>
      <x:c r="H999" s="55" t="n">
        <x:v>1</x:v>
      </x:c>
      <x:c r="I999" s="51" t="str"/>
      <x:c r="J999" s="72" t="str"/>
      <x:c r="K999" s="72" t="str"/>
      <x:c r="L999" s="72" t="str"/>
      <x:c r="M999" s="72" t="str"/>
      <x:c r="N999" s="72" t="str"/>
      <x:c r="O999" s="72" t="str"/>
      <x:c r="P999" s="72" t="str">
        <x:v>Available</x:v>
      </x:c>
      <x:c r="Q999" s="72" t="n">
        <x:v>0</x:v>
      </x:c>
      <x:c r="R999" s="55" t="str">
        <x:f>IF($D999="","",ROUND(MAX(0,MIN(100,0.35*$J999+0.2*$K999+0.15*$L999+0.15*$M999+0.1*$N999+0.05*$O999-IF(OR($P999="Out",$P999="Suspended"),$Q999,IF($P999="Doubtful",$Q999*0.5,IF($P999="Limited",$Q999*0.25,0))))),2))</x:f>
      </x:c>
      <x:c r="S999" s="55" t="n">
        <x:f>IF($D999="",0,ROUND(IF(OR($P999="Out",$P999="Suspended"),$Q999*$H999,IF($P999="Doubtful",$Q999*$H999*0.5,IF($P999="Limited",$Q999*$H999*0.25,0))),2))</x:f>
        <x:v>0</x:v>
      </x:c>
      <x:c r="T999" s="55" t="str"/>
      <x:c r="U999" s="51" t="str"/>
    </x:row>
    <x:row r="1000">
      <x:c r="A1000" s="51" t="str">
        <x:v>Austria</x:v>
      </x:c>
      <x:c r="B1000" s="51" t="str">
        <x:v>J</x:v>
      </x:c>
      <x:c r="C1000" s="51" t="n">
        <x:v>8</x:v>
      </x:c>
      <x:c r="D1000" s="71" t="str"/>
      <x:c r="E1000" s="51" t="str">
        <x:v>FB</x:v>
      </x:c>
      <x:c r="F1000" s="51" t="str">
        <x:v>Defence</x:v>
      </x:c>
      <x:c r="G1000" s="51" t="str">
        <x:v>Starter</x:v>
      </x:c>
      <x:c r="H1000" s="55" t="n">
        <x:v>1</x:v>
      </x:c>
      <x:c r="I1000" s="51" t="str"/>
      <x:c r="J1000" s="72" t="str"/>
      <x:c r="K1000" s="72" t="str"/>
      <x:c r="L1000" s="72" t="str"/>
      <x:c r="M1000" s="72" t="str"/>
      <x:c r="N1000" s="72" t="str"/>
      <x:c r="O1000" s="72" t="str"/>
      <x:c r="P1000" s="72" t="str">
        <x:v>Available</x:v>
      </x:c>
      <x:c r="Q1000" s="72" t="n">
        <x:v>0</x:v>
      </x:c>
      <x:c r="R1000" s="55" t="str">
        <x:f>IF($D1000="","",ROUND(MAX(0,MIN(100,0.35*$J1000+0.2*$K1000+0.15*$L1000+0.15*$M1000+0.1*$N1000+0.05*$O1000-IF(OR($P1000="Out",$P1000="Suspended"),$Q1000,IF($P1000="Doubtful",$Q1000*0.5,IF($P1000="Limited",$Q1000*0.25,0))))),2))</x:f>
      </x:c>
      <x:c r="S1000" s="55" t="n">
        <x:f>IF($D1000="",0,ROUND(IF(OR($P1000="Out",$P1000="Suspended"),$Q1000*$H1000,IF($P1000="Doubtful",$Q1000*$H1000*0.5,IF($P1000="Limited",$Q1000*$H1000*0.25,0))),2))</x:f>
        <x:v>0</x:v>
      </x:c>
      <x:c r="T1000" s="55" t="str"/>
      <x:c r="U1000" s="51" t="str"/>
    </x:row>
    <x:row r="1001">
      <x:c r="A1001" s="51" t="str">
        <x:v>Austria</x:v>
      </x:c>
      <x:c r="B1001" s="51" t="str">
        <x:v>J</x:v>
      </x:c>
      <x:c r="C1001" s="51" t="n">
        <x:v>9</x:v>
      </x:c>
      <x:c r="D1001" s="71" t="str"/>
      <x:c r="E1001" s="51" t="str">
        <x:v>DM</x:v>
      </x:c>
      <x:c r="F1001" s="51" t="str">
        <x:v>Midfield</x:v>
      </x:c>
      <x:c r="G1001" s="51" t="str">
        <x:v>Starter</x:v>
      </x:c>
      <x:c r="H1001" s="55" t="n">
        <x:v>1</x:v>
      </x:c>
      <x:c r="I1001" s="51" t="str"/>
      <x:c r="J1001" s="72" t="str"/>
      <x:c r="K1001" s="72" t="str"/>
      <x:c r="L1001" s="72" t="str"/>
      <x:c r="M1001" s="72" t="str"/>
      <x:c r="N1001" s="72" t="str"/>
      <x:c r="O1001" s="72" t="str"/>
      <x:c r="P1001" s="72" t="str">
        <x:v>Available</x:v>
      </x:c>
      <x:c r="Q1001" s="72" t="n">
        <x:v>0</x:v>
      </x:c>
      <x:c r="R1001" s="55" t="str">
        <x:f>IF($D1001="","",ROUND(MAX(0,MIN(100,0.35*$J1001+0.2*$K1001+0.15*$L1001+0.15*$M1001+0.1*$N1001+0.05*$O1001-IF(OR($P1001="Out",$P1001="Suspended"),$Q1001,IF($P1001="Doubtful",$Q1001*0.5,IF($P1001="Limited",$Q1001*0.25,0))))),2))</x:f>
      </x:c>
      <x:c r="S1001" s="55" t="n">
        <x:f>IF($D1001="",0,ROUND(IF(OR($P1001="Out",$P1001="Suspended"),$Q1001*$H1001,IF($P1001="Doubtful",$Q1001*$H1001*0.5,IF($P1001="Limited",$Q1001*$H1001*0.25,0))),2))</x:f>
        <x:v>0</x:v>
      </x:c>
      <x:c r="T1001" s="55" t="str"/>
      <x:c r="U1001" s="51" t="str"/>
    </x:row>
    <x:row r="1002">
      <x:c r="A1002" s="51" t="str">
        <x:v>Austria</x:v>
      </x:c>
      <x:c r="B1002" s="51" t="str">
        <x:v>J</x:v>
      </x:c>
      <x:c r="C1002" s="51" t="n">
        <x:v>10</x:v>
      </x:c>
      <x:c r="D1002" s="71" t="str"/>
      <x:c r="E1002" s="51" t="str">
        <x:v>DM</x:v>
      </x:c>
      <x:c r="F1002" s="51" t="str">
        <x:v>Midfield</x:v>
      </x:c>
      <x:c r="G1002" s="51" t="str">
        <x:v>Starter</x:v>
      </x:c>
      <x:c r="H1002" s="55" t="n">
        <x:v>1</x:v>
      </x:c>
      <x:c r="I1002" s="51" t="str"/>
      <x:c r="J1002" s="72" t="str"/>
      <x:c r="K1002" s="72" t="str"/>
      <x:c r="L1002" s="72" t="str"/>
      <x:c r="M1002" s="72" t="str"/>
      <x:c r="N1002" s="72" t="str"/>
      <x:c r="O1002" s="72" t="str"/>
      <x:c r="P1002" s="72" t="str">
        <x:v>Available</x:v>
      </x:c>
      <x:c r="Q1002" s="72" t="n">
        <x:v>0</x:v>
      </x:c>
      <x:c r="R1002" s="55" t="str">
        <x:f>IF($D1002="","",ROUND(MAX(0,MIN(100,0.35*$J1002+0.2*$K1002+0.15*$L1002+0.15*$M1002+0.1*$N1002+0.05*$O1002-IF(OR($P1002="Out",$P1002="Suspended"),$Q1002,IF($P1002="Doubtful",$Q1002*0.5,IF($P1002="Limited",$Q1002*0.25,0))))),2))</x:f>
      </x:c>
      <x:c r="S1002" s="55" t="n">
        <x:f>IF($D1002="",0,ROUND(IF(OR($P1002="Out",$P1002="Suspended"),$Q1002*$H1002,IF($P1002="Doubtful",$Q1002*$H1002*0.5,IF($P1002="Limited",$Q1002*$H1002*0.25,0))),2))</x:f>
        <x:v>0</x:v>
      </x:c>
      <x:c r="T1002" s="55" t="str"/>
      <x:c r="U1002" s="51" t="str"/>
    </x:row>
    <x:row r="1003">
      <x:c r="A1003" s="51" t="str">
        <x:v>Austria</x:v>
      </x:c>
      <x:c r="B1003" s="51" t="str">
        <x:v>J</x:v>
      </x:c>
      <x:c r="C1003" s="51" t="n">
        <x:v>11</x:v>
      </x:c>
      <x:c r="D1003" s="71" t="str"/>
      <x:c r="E1003" s="51" t="str">
        <x:v>DM</x:v>
      </x:c>
      <x:c r="F1003" s="51" t="str">
        <x:v>Midfield</x:v>
      </x:c>
      <x:c r="G1003" s="51" t="str">
        <x:v>Starter</x:v>
      </x:c>
      <x:c r="H1003" s="55" t="n">
        <x:v>1</x:v>
      </x:c>
      <x:c r="I1003" s="51" t="str"/>
      <x:c r="J1003" s="72" t="str"/>
      <x:c r="K1003" s="72" t="str"/>
      <x:c r="L1003" s="72" t="str"/>
      <x:c r="M1003" s="72" t="str"/>
      <x:c r="N1003" s="72" t="str"/>
      <x:c r="O1003" s="72" t="str"/>
      <x:c r="P1003" s="72" t="str">
        <x:v>Available</x:v>
      </x:c>
      <x:c r="Q1003" s="72" t="n">
        <x:v>0</x:v>
      </x:c>
      <x:c r="R1003" s="55" t="str">
        <x:f>IF($D1003="","",ROUND(MAX(0,MIN(100,0.35*$J1003+0.2*$K1003+0.15*$L1003+0.15*$M1003+0.1*$N1003+0.05*$O1003-IF(OR($P1003="Out",$P1003="Suspended"),$Q1003,IF($P1003="Doubtful",$Q1003*0.5,IF($P1003="Limited",$Q1003*0.25,0))))),2))</x:f>
      </x:c>
      <x:c r="S1003" s="55" t="n">
        <x:f>IF($D1003="",0,ROUND(IF(OR($P1003="Out",$P1003="Suspended"),$Q1003*$H1003,IF($P1003="Doubtful",$Q1003*$H1003*0.5,IF($P1003="Limited",$Q1003*$H1003*0.25,0))),2))</x:f>
        <x:v>0</x:v>
      </x:c>
      <x:c r="T1003" s="55" t="str"/>
      <x:c r="U1003" s="51" t="str"/>
    </x:row>
    <x:row r="1004">
      <x:c r="A1004" s="51" t="str">
        <x:v>Austria</x:v>
      </x:c>
      <x:c r="B1004" s="51" t="str">
        <x:v>J</x:v>
      </x:c>
      <x:c r="C1004" s="51" t="n">
        <x:v>12</x:v>
      </x:c>
      <x:c r="D1004" s="71" t="str"/>
      <x:c r="E1004" s="51" t="str">
        <x:v>CM</x:v>
      </x:c>
      <x:c r="F1004" s="51" t="str">
        <x:v>Midfield</x:v>
      </x:c>
      <x:c r="G1004" s="51" t="str">
        <x:v>Rotation</x:v>
      </x:c>
      <x:c r="H1004" s="55" t="n">
        <x:v>0.35</x:v>
      </x:c>
      <x:c r="I1004" s="51" t="str"/>
      <x:c r="J1004" s="72" t="str"/>
      <x:c r="K1004" s="72" t="str"/>
      <x:c r="L1004" s="72" t="str"/>
      <x:c r="M1004" s="72" t="str"/>
      <x:c r="N1004" s="72" t="str"/>
      <x:c r="O1004" s="72" t="str"/>
      <x:c r="P1004" s="72" t="str">
        <x:v>Available</x:v>
      </x:c>
      <x:c r="Q1004" s="72" t="n">
        <x:v>0</x:v>
      </x:c>
      <x:c r="R1004" s="55" t="str">
        <x:f>IF($D1004="","",ROUND(MAX(0,MIN(100,0.35*$J1004+0.2*$K1004+0.15*$L1004+0.15*$M1004+0.1*$N1004+0.05*$O1004-IF(OR($P1004="Out",$P1004="Suspended"),$Q1004,IF($P1004="Doubtful",$Q1004*0.5,IF($P1004="Limited",$Q1004*0.25,0))))),2))</x:f>
      </x:c>
      <x:c r="S1004" s="55" t="n">
        <x:f>IF($D1004="",0,ROUND(IF(OR($P1004="Out",$P1004="Suspended"),$Q1004*$H1004,IF($P1004="Doubtful",$Q1004*$H1004*0.5,IF($P1004="Limited",$Q1004*$H1004*0.25,0))),2))</x:f>
        <x:v>0</x:v>
      </x:c>
      <x:c r="T1004" s="55" t="str"/>
      <x:c r="U1004" s="51" t="str"/>
    </x:row>
    <x:row r="1005">
      <x:c r="A1005" s="51" t="str">
        <x:v>Austria</x:v>
      </x:c>
      <x:c r="B1005" s="51" t="str">
        <x:v>J</x:v>
      </x:c>
      <x:c r="C1005" s="51" t="n">
        <x:v>13</x:v>
      </x:c>
      <x:c r="D1005" s="71" t="str"/>
      <x:c r="E1005" s="51" t="str">
        <x:v>CM</x:v>
      </x:c>
      <x:c r="F1005" s="51" t="str">
        <x:v>Midfield</x:v>
      </x:c>
      <x:c r="G1005" s="51" t="str">
        <x:v>Rotation</x:v>
      </x:c>
      <x:c r="H1005" s="55" t="n">
        <x:v>0.35</x:v>
      </x:c>
      <x:c r="I1005" s="51" t="str"/>
      <x:c r="J1005" s="72" t="str"/>
      <x:c r="K1005" s="72" t="str"/>
      <x:c r="L1005" s="72" t="str"/>
      <x:c r="M1005" s="72" t="str"/>
      <x:c r="N1005" s="72" t="str"/>
      <x:c r="O1005" s="72" t="str"/>
      <x:c r="P1005" s="72" t="str">
        <x:v>Available</x:v>
      </x:c>
      <x:c r="Q1005" s="72" t="n">
        <x:v>0</x:v>
      </x:c>
      <x:c r="R1005" s="55" t="str">
        <x:f>IF($D1005="","",ROUND(MAX(0,MIN(100,0.35*$J1005+0.2*$K1005+0.15*$L1005+0.15*$M1005+0.1*$N1005+0.05*$O1005-IF(OR($P1005="Out",$P1005="Suspended"),$Q1005,IF($P1005="Doubtful",$Q1005*0.5,IF($P1005="Limited",$Q1005*0.25,0))))),2))</x:f>
      </x:c>
      <x:c r="S1005" s="55" t="n">
        <x:f>IF($D1005="",0,ROUND(IF(OR($P1005="Out",$P1005="Suspended"),$Q1005*$H1005,IF($P1005="Doubtful",$Q1005*$H1005*0.5,IF($P1005="Limited",$Q1005*$H1005*0.25,0))),2))</x:f>
        <x:v>0</x:v>
      </x:c>
      <x:c r="T1005" s="55" t="str"/>
      <x:c r="U1005" s="51" t="str"/>
    </x:row>
    <x:row r="1006">
      <x:c r="A1006" s="51" t="str">
        <x:v>Austria</x:v>
      </x:c>
      <x:c r="B1006" s="51" t="str">
        <x:v>J</x:v>
      </x:c>
      <x:c r="C1006" s="51" t="n">
        <x:v>14</x:v>
      </x:c>
      <x:c r="D1006" s="71" t="str"/>
      <x:c r="E1006" s="51" t="str">
        <x:v>CM</x:v>
      </x:c>
      <x:c r="F1006" s="51" t="str">
        <x:v>Midfield</x:v>
      </x:c>
      <x:c r="G1006" s="51" t="str">
        <x:v>Rotation</x:v>
      </x:c>
      <x:c r="H1006" s="55" t="n">
        <x:v>0.35</x:v>
      </x:c>
      <x:c r="I1006" s="51" t="str"/>
      <x:c r="J1006" s="72" t="str"/>
      <x:c r="K1006" s="72" t="str"/>
      <x:c r="L1006" s="72" t="str"/>
      <x:c r="M1006" s="72" t="str"/>
      <x:c r="N1006" s="72" t="str"/>
      <x:c r="O1006" s="72" t="str"/>
      <x:c r="P1006" s="72" t="str">
        <x:v>Available</x:v>
      </x:c>
      <x:c r="Q1006" s="72" t="n">
        <x:v>0</x:v>
      </x:c>
      <x:c r="R1006" s="55" t="str">
        <x:f>IF($D1006="","",ROUND(MAX(0,MIN(100,0.35*$J1006+0.2*$K1006+0.15*$L1006+0.15*$M1006+0.1*$N1006+0.05*$O1006-IF(OR($P1006="Out",$P1006="Suspended"),$Q1006,IF($P1006="Doubtful",$Q1006*0.5,IF($P1006="Limited",$Q1006*0.25,0))))),2))</x:f>
      </x:c>
      <x:c r="S1006" s="55" t="n">
        <x:f>IF($D1006="",0,ROUND(IF(OR($P1006="Out",$P1006="Suspended"),$Q1006*$H1006,IF($P1006="Doubtful",$Q1006*$H1006*0.5,IF($P1006="Limited",$Q1006*$H1006*0.25,0))),2))</x:f>
        <x:v>0</x:v>
      </x:c>
      <x:c r="T1006" s="55" t="str"/>
      <x:c r="U1006" s="51" t="str"/>
    </x:row>
    <x:row r="1007">
      <x:c r="A1007" s="51" t="str">
        <x:v>Austria</x:v>
      </x:c>
      <x:c r="B1007" s="51" t="str">
        <x:v>J</x:v>
      </x:c>
      <x:c r="C1007" s="51" t="n">
        <x:v>15</x:v>
      </x:c>
      <x:c r="D1007" s="71" t="str"/>
      <x:c r="E1007" s="51" t="str">
        <x:v>CM</x:v>
      </x:c>
      <x:c r="F1007" s="51" t="str">
        <x:v>Midfield</x:v>
      </x:c>
      <x:c r="G1007" s="51" t="str">
        <x:v>Rotation</x:v>
      </x:c>
      <x:c r="H1007" s="55" t="n">
        <x:v>0.35</x:v>
      </x:c>
      <x:c r="I1007" s="51" t="str"/>
      <x:c r="J1007" s="72" t="str"/>
      <x:c r="K1007" s="72" t="str"/>
      <x:c r="L1007" s="72" t="str"/>
      <x:c r="M1007" s="72" t="str"/>
      <x:c r="N1007" s="72" t="str"/>
      <x:c r="O1007" s="72" t="str"/>
      <x:c r="P1007" s="72" t="str">
        <x:v>Available</x:v>
      </x:c>
      <x:c r="Q1007" s="72" t="n">
        <x:v>0</x:v>
      </x:c>
      <x:c r="R1007" s="55" t="str">
        <x:f>IF($D1007="","",ROUND(MAX(0,MIN(100,0.35*$J1007+0.2*$K1007+0.15*$L1007+0.15*$M1007+0.1*$N1007+0.05*$O1007-IF(OR($P1007="Out",$P1007="Suspended"),$Q1007,IF($P1007="Doubtful",$Q1007*0.5,IF($P1007="Limited",$Q1007*0.25,0))))),2))</x:f>
      </x:c>
      <x:c r="S1007" s="55" t="n">
        <x:f>IF($D1007="",0,ROUND(IF(OR($P1007="Out",$P1007="Suspended"),$Q1007*$H1007,IF($P1007="Doubtful",$Q1007*$H1007*0.5,IF($P1007="Limited",$Q1007*$H1007*0.25,0))),2))</x:f>
        <x:v>0</x:v>
      </x:c>
      <x:c r="T1007" s="55" t="str"/>
      <x:c r="U1007" s="51" t="str"/>
    </x:row>
    <x:row r="1008">
      <x:c r="A1008" s="51" t="str">
        <x:v>Austria</x:v>
      </x:c>
      <x:c r="B1008" s="51" t="str">
        <x:v>J</x:v>
      </x:c>
      <x:c r="C1008" s="51" t="n">
        <x:v>16</x:v>
      </x:c>
      <x:c r="D1008" s="71" t="str"/>
      <x:c r="E1008" s="51" t="str">
        <x:v>AM</x:v>
      </x:c>
      <x:c r="F1008" s="51" t="str">
        <x:v>Attack</x:v>
      </x:c>
      <x:c r="G1008" s="51" t="str">
        <x:v>Rotation</x:v>
      </x:c>
      <x:c r="H1008" s="55" t="n">
        <x:v>0.35</x:v>
      </x:c>
      <x:c r="I1008" s="51" t="str"/>
      <x:c r="J1008" s="72" t="str"/>
      <x:c r="K1008" s="72" t="str"/>
      <x:c r="L1008" s="72" t="str"/>
      <x:c r="M1008" s="72" t="str"/>
      <x:c r="N1008" s="72" t="str"/>
      <x:c r="O1008" s="72" t="str"/>
      <x:c r="P1008" s="72" t="str">
        <x:v>Available</x:v>
      </x:c>
      <x:c r="Q1008" s="72" t="n">
        <x:v>0</x:v>
      </x:c>
      <x:c r="R1008" s="55" t="str">
        <x:f>IF($D1008="","",ROUND(MAX(0,MIN(100,0.35*$J1008+0.2*$K1008+0.15*$L1008+0.15*$M1008+0.1*$N1008+0.05*$O1008-IF(OR($P1008="Out",$P1008="Suspended"),$Q1008,IF($P1008="Doubtful",$Q1008*0.5,IF($P1008="Limited",$Q1008*0.25,0))))),2))</x:f>
      </x:c>
      <x:c r="S1008" s="55" t="n">
        <x:f>IF($D1008="",0,ROUND(IF(OR($P1008="Out",$P1008="Suspended"),$Q1008*$H1008,IF($P1008="Doubtful",$Q1008*$H1008*0.5,IF($P1008="Limited",$Q1008*$H1008*0.25,0))),2))</x:f>
        <x:v>0</x:v>
      </x:c>
      <x:c r="T1008" s="55" t="str"/>
      <x:c r="U1008" s="51" t="str"/>
    </x:row>
    <x:row r="1009">
      <x:c r="A1009" s="51" t="str">
        <x:v>Austria</x:v>
      </x:c>
      <x:c r="B1009" s="51" t="str">
        <x:v>J</x:v>
      </x:c>
      <x:c r="C1009" s="51" t="n">
        <x:v>17</x:v>
      </x:c>
      <x:c r="D1009" s="71" t="str"/>
      <x:c r="E1009" s="51" t="str">
        <x:v>AM</x:v>
      </x:c>
      <x:c r="F1009" s="51" t="str">
        <x:v>Attack</x:v>
      </x:c>
      <x:c r="G1009" s="51" t="str">
        <x:v>Rotation</x:v>
      </x:c>
      <x:c r="H1009" s="55" t="n">
        <x:v>0.35</x:v>
      </x:c>
      <x:c r="I1009" s="51" t="str"/>
      <x:c r="J1009" s="72" t="str"/>
      <x:c r="K1009" s="72" t="str"/>
      <x:c r="L1009" s="72" t="str"/>
      <x:c r="M1009" s="72" t="str"/>
      <x:c r="N1009" s="72" t="str"/>
      <x:c r="O1009" s="72" t="str"/>
      <x:c r="P1009" s="72" t="str">
        <x:v>Available</x:v>
      </x:c>
      <x:c r="Q1009" s="72" t="n">
        <x:v>0</x:v>
      </x:c>
      <x:c r="R1009" s="55" t="str">
        <x:f>IF($D1009="","",ROUND(MAX(0,MIN(100,0.35*$J1009+0.2*$K1009+0.15*$L1009+0.15*$M1009+0.1*$N1009+0.05*$O1009-IF(OR($P1009="Out",$P1009="Suspended"),$Q1009,IF($P1009="Doubtful",$Q1009*0.5,IF($P1009="Limited",$Q1009*0.25,0))))),2))</x:f>
      </x:c>
      <x:c r="S1009" s="55" t="n">
        <x:f>IF($D1009="",0,ROUND(IF(OR($P1009="Out",$P1009="Suspended"),$Q1009*$H1009,IF($P1009="Doubtful",$Q1009*$H1009*0.5,IF($P1009="Limited",$Q1009*$H1009*0.25,0))),2))</x:f>
        <x:v>0</x:v>
      </x:c>
      <x:c r="T1009" s="55" t="str"/>
      <x:c r="U1009" s="51" t="str"/>
    </x:row>
    <x:row r="1010">
      <x:c r="A1010" s="51" t="str">
        <x:v>Austria</x:v>
      </x:c>
      <x:c r="B1010" s="51" t="str">
        <x:v>J</x:v>
      </x:c>
      <x:c r="C1010" s="51" t="n">
        <x:v>18</x:v>
      </x:c>
      <x:c r="D1010" s="71" t="str"/>
      <x:c r="E1010" s="51" t="str">
        <x:v>AM</x:v>
      </x:c>
      <x:c r="F1010" s="51" t="str">
        <x:v>Attack</x:v>
      </x:c>
      <x:c r="G1010" s="51" t="str">
        <x:v>Rotation</x:v>
      </x:c>
      <x:c r="H1010" s="55" t="n">
        <x:v>0.35</x:v>
      </x:c>
      <x:c r="I1010" s="51" t="str"/>
      <x:c r="J1010" s="72" t="str"/>
      <x:c r="K1010" s="72" t="str"/>
      <x:c r="L1010" s="72" t="str"/>
      <x:c r="M1010" s="72" t="str"/>
      <x:c r="N1010" s="72" t="str"/>
      <x:c r="O1010" s="72" t="str"/>
      <x:c r="P1010" s="72" t="str">
        <x:v>Available</x:v>
      </x:c>
      <x:c r="Q1010" s="72" t="n">
        <x:v>0</x:v>
      </x:c>
      <x:c r="R1010" s="55" t="str">
        <x:f>IF($D1010="","",ROUND(MAX(0,MIN(100,0.35*$J1010+0.2*$K1010+0.15*$L1010+0.15*$M1010+0.1*$N1010+0.05*$O1010-IF(OR($P1010="Out",$P1010="Suspended"),$Q1010,IF($P1010="Doubtful",$Q1010*0.5,IF($P1010="Limited",$Q1010*0.25,0))))),2))</x:f>
      </x:c>
      <x:c r="S1010" s="55" t="n">
        <x:f>IF($D1010="",0,ROUND(IF(OR($P1010="Out",$P1010="Suspended"),$Q1010*$H1010,IF($P1010="Doubtful",$Q1010*$H1010*0.5,IF($P1010="Limited",$Q1010*$H1010*0.25,0))),2))</x:f>
        <x:v>0</x:v>
      </x:c>
      <x:c r="T1010" s="55" t="str"/>
      <x:c r="U1010" s="51" t="str"/>
    </x:row>
    <x:row r="1011">
      <x:c r="A1011" s="51" t="str">
        <x:v>Austria</x:v>
      </x:c>
      <x:c r="B1011" s="51" t="str">
        <x:v>J</x:v>
      </x:c>
      <x:c r="C1011" s="51" t="n">
        <x:v>19</x:v>
      </x:c>
      <x:c r="D1011" s="71" t="str"/>
      <x:c r="E1011" s="51" t="str">
        <x:v>AM</x:v>
      </x:c>
      <x:c r="F1011" s="51" t="str">
        <x:v>Attack</x:v>
      </x:c>
      <x:c r="G1011" s="51" t="str">
        <x:v>Rotation</x:v>
      </x:c>
      <x:c r="H1011" s="55" t="n">
        <x:v>0.35</x:v>
      </x:c>
      <x:c r="I1011" s="51" t="str"/>
      <x:c r="J1011" s="72" t="str"/>
      <x:c r="K1011" s="72" t="str"/>
      <x:c r="L1011" s="72" t="str"/>
      <x:c r="M1011" s="72" t="str"/>
      <x:c r="N1011" s="72" t="str"/>
      <x:c r="O1011" s="72" t="str"/>
      <x:c r="P1011" s="72" t="str">
        <x:v>Available</x:v>
      </x:c>
      <x:c r="Q1011" s="72" t="n">
        <x:v>0</x:v>
      </x:c>
      <x:c r="R1011" s="55" t="str">
        <x:f>IF($D1011="","",ROUND(MAX(0,MIN(100,0.35*$J1011+0.2*$K1011+0.15*$L1011+0.15*$M1011+0.1*$N1011+0.05*$O1011-IF(OR($P1011="Out",$P1011="Suspended"),$Q1011,IF($P1011="Doubtful",$Q1011*0.5,IF($P1011="Limited",$Q1011*0.25,0))))),2))</x:f>
      </x:c>
      <x:c r="S1011" s="55" t="n">
        <x:f>IF($D1011="",0,ROUND(IF(OR($P1011="Out",$P1011="Suspended"),$Q1011*$H1011,IF($P1011="Doubtful",$Q1011*$H1011*0.5,IF($P1011="Limited",$Q1011*$H1011*0.25,0))),2))</x:f>
        <x:v>0</x:v>
      </x:c>
      <x:c r="T1011" s="55" t="str"/>
      <x:c r="U1011" s="51" t="str"/>
    </x:row>
    <x:row r="1012">
      <x:c r="A1012" s="51" t="str">
        <x:v>Austria</x:v>
      </x:c>
      <x:c r="B1012" s="51" t="str">
        <x:v>J</x:v>
      </x:c>
      <x:c r="C1012" s="51" t="n">
        <x:v>20</x:v>
      </x:c>
      <x:c r="D1012" s="71" t="str"/>
      <x:c r="E1012" s="51" t="str">
        <x:v>Winger</x:v>
      </x:c>
      <x:c r="F1012" s="51" t="str">
        <x:v>Attack</x:v>
      </x:c>
      <x:c r="G1012" s="51" t="str">
        <x:v>Rotation</x:v>
      </x:c>
      <x:c r="H1012" s="55" t="n">
        <x:v>0.35</x:v>
      </x:c>
      <x:c r="I1012" s="51" t="str"/>
      <x:c r="J1012" s="72" t="str"/>
      <x:c r="K1012" s="72" t="str"/>
      <x:c r="L1012" s="72" t="str"/>
      <x:c r="M1012" s="72" t="str"/>
      <x:c r="N1012" s="72" t="str"/>
      <x:c r="O1012" s="72" t="str"/>
      <x:c r="P1012" s="72" t="str">
        <x:v>Available</x:v>
      </x:c>
      <x:c r="Q1012" s="72" t="n">
        <x:v>0</x:v>
      </x:c>
      <x:c r="R1012" s="55" t="str">
        <x:f>IF($D1012="","",ROUND(MAX(0,MIN(100,0.35*$J1012+0.2*$K1012+0.15*$L1012+0.15*$M1012+0.1*$N1012+0.05*$O1012-IF(OR($P1012="Out",$P1012="Suspended"),$Q1012,IF($P1012="Doubtful",$Q1012*0.5,IF($P1012="Limited",$Q1012*0.25,0))))),2))</x:f>
      </x:c>
      <x:c r="S1012" s="55" t="n">
        <x:f>IF($D1012="",0,ROUND(IF(OR($P1012="Out",$P1012="Suspended"),$Q1012*$H1012,IF($P1012="Doubtful",$Q1012*$H1012*0.5,IF($P1012="Limited",$Q1012*$H1012*0.25,0))),2))</x:f>
        <x:v>0</x:v>
      </x:c>
      <x:c r="T1012" s="55" t="str"/>
      <x:c r="U1012" s="51" t="str"/>
    </x:row>
    <x:row r="1013">
      <x:c r="A1013" s="51" t="str">
        <x:v>Austria</x:v>
      </x:c>
      <x:c r="B1013" s="51" t="str">
        <x:v>J</x:v>
      </x:c>
      <x:c r="C1013" s="51" t="n">
        <x:v>21</x:v>
      </x:c>
      <x:c r="D1013" s="71" t="str"/>
      <x:c r="E1013" s="51" t="str">
        <x:v>Winger</x:v>
      </x:c>
      <x:c r="F1013" s="51" t="str">
        <x:v>Attack</x:v>
      </x:c>
      <x:c r="G1013" s="51" t="str">
        <x:v>Depth</x:v>
      </x:c>
      <x:c r="H1013" s="55" t="n">
        <x:v>0.1</x:v>
      </x:c>
      <x:c r="I1013" s="51" t="str"/>
      <x:c r="J1013" s="72" t="str"/>
      <x:c r="K1013" s="72" t="str"/>
      <x:c r="L1013" s="72" t="str"/>
      <x:c r="M1013" s="72" t="str"/>
      <x:c r="N1013" s="72" t="str"/>
      <x:c r="O1013" s="72" t="str"/>
      <x:c r="P1013" s="72" t="str">
        <x:v>Available</x:v>
      </x:c>
      <x:c r="Q1013" s="72" t="n">
        <x:v>0</x:v>
      </x:c>
      <x:c r="R1013" s="55" t="str">
        <x:f>IF($D1013="","",ROUND(MAX(0,MIN(100,0.35*$J1013+0.2*$K1013+0.15*$L1013+0.15*$M1013+0.1*$N1013+0.05*$O1013-IF(OR($P1013="Out",$P1013="Suspended"),$Q1013,IF($P1013="Doubtful",$Q1013*0.5,IF($P1013="Limited",$Q1013*0.25,0))))),2))</x:f>
      </x:c>
      <x:c r="S1013" s="55" t="n">
        <x:f>IF($D1013="",0,ROUND(IF(OR($P1013="Out",$P1013="Suspended"),$Q1013*$H1013,IF($P1013="Doubtful",$Q1013*$H1013*0.5,IF($P1013="Limited",$Q1013*$H1013*0.25,0))),2))</x:f>
        <x:v>0</x:v>
      </x:c>
      <x:c r="T1013" s="55" t="str"/>
      <x:c r="U1013" s="51" t="str"/>
    </x:row>
    <x:row r="1014">
      <x:c r="A1014" s="51" t="str">
        <x:v>Austria</x:v>
      </x:c>
      <x:c r="B1014" s="51" t="str">
        <x:v>J</x:v>
      </x:c>
      <x:c r="C1014" s="51" t="n">
        <x:v>22</x:v>
      </x:c>
      <x:c r="D1014" s="71" t="str"/>
      <x:c r="E1014" s="51" t="str">
        <x:v>Winger</x:v>
      </x:c>
      <x:c r="F1014" s="51" t="str">
        <x:v>Attack</x:v>
      </x:c>
      <x:c r="G1014" s="51" t="str">
        <x:v>Depth</x:v>
      </x:c>
      <x:c r="H1014" s="55" t="n">
        <x:v>0.1</x:v>
      </x:c>
      <x:c r="I1014" s="51" t="str"/>
      <x:c r="J1014" s="72" t="str"/>
      <x:c r="K1014" s="72" t="str"/>
      <x:c r="L1014" s="72" t="str"/>
      <x:c r="M1014" s="72" t="str"/>
      <x:c r="N1014" s="72" t="str"/>
      <x:c r="O1014" s="72" t="str"/>
      <x:c r="P1014" s="72" t="str">
        <x:v>Available</x:v>
      </x:c>
      <x:c r="Q1014" s="72" t="n">
        <x:v>0</x:v>
      </x:c>
      <x:c r="R1014" s="55" t="str">
        <x:f>IF($D1014="","",ROUND(MAX(0,MIN(100,0.35*$J1014+0.2*$K1014+0.15*$L1014+0.15*$M1014+0.1*$N1014+0.05*$O1014-IF(OR($P1014="Out",$P1014="Suspended"),$Q1014,IF($P1014="Doubtful",$Q1014*0.5,IF($P1014="Limited",$Q1014*0.25,0))))),2))</x:f>
      </x:c>
      <x:c r="S1014" s="55" t="n">
        <x:f>IF($D1014="",0,ROUND(IF(OR($P1014="Out",$P1014="Suspended"),$Q1014*$H1014,IF($P1014="Doubtful",$Q1014*$H1014*0.5,IF($P1014="Limited",$Q1014*$H1014*0.25,0))),2))</x:f>
        <x:v>0</x:v>
      </x:c>
      <x:c r="T1014" s="55" t="str"/>
      <x:c r="U1014" s="51" t="str"/>
    </x:row>
    <x:row r="1015">
      <x:c r="A1015" s="51" t="str">
        <x:v>Austria</x:v>
      </x:c>
      <x:c r="B1015" s="51" t="str">
        <x:v>J</x:v>
      </x:c>
      <x:c r="C1015" s="51" t="n">
        <x:v>23</x:v>
      </x:c>
      <x:c r="D1015" s="71" t="str"/>
      <x:c r="E1015" s="51" t="str">
        <x:v>Winger</x:v>
      </x:c>
      <x:c r="F1015" s="51" t="str">
        <x:v>Attack</x:v>
      </x:c>
      <x:c r="G1015" s="51" t="str">
        <x:v>Depth</x:v>
      </x:c>
      <x:c r="H1015" s="55" t="n">
        <x:v>0.1</x:v>
      </x:c>
      <x:c r="I1015" s="51" t="str"/>
      <x:c r="J1015" s="72" t="str"/>
      <x:c r="K1015" s="72" t="str"/>
      <x:c r="L1015" s="72" t="str"/>
      <x:c r="M1015" s="72" t="str"/>
      <x:c r="N1015" s="72" t="str"/>
      <x:c r="O1015" s="72" t="str"/>
      <x:c r="P1015" s="72" t="str">
        <x:v>Available</x:v>
      </x:c>
      <x:c r="Q1015" s="72" t="n">
        <x:v>0</x:v>
      </x:c>
      <x:c r="R1015" s="55" t="str">
        <x:f>IF($D1015="","",ROUND(MAX(0,MIN(100,0.35*$J1015+0.2*$K1015+0.15*$L1015+0.15*$M1015+0.1*$N1015+0.05*$O1015-IF(OR($P1015="Out",$P1015="Suspended"),$Q1015,IF($P1015="Doubtful",$Q1015*0.5,IF($P1015="Limited",$Q1015*0.25,0))))),2))</x:f>
      </x:c>
      <x:c r="S1015" s="55" t="n">
        <x:f>IF($D1015="",0,ROUND(IF(OR($P1015="Out",$P1015="Suspended"),$Q1015*$H1015,IF($P1015="Doubtful",$Q1015*$H1015*0.5,IF($P1015="Limited",$Q1015*$H1015*0.25,0))),2))</x:f>
        <x:v>0</x:v>
      </x:c>
      <x:c r="T1015" s="55" t="str"/>
      <x:c r="U1015" s="51" t="str"/>
    </x:row>
    <x:row r="1016">
      <x:c r="A1016" s="51" t="str">
        <x:v>Austria</x:v>
      </x:c>
      <x:c r="B1016" s="51" t="str">
        <x:v>J</x:v>
      </x:c>
      <x:c r="C1016" s="51" t="n">
        <x:v>24</x:v>
      </x:c>
      <x:c r="D1016" s="71" t="str"/>
      <x:c r="E1016" s="51" t="str">
        <x:v>ST</x:v>
      </x:c>
      <x:c r="F1016" s="51" t="str">
        <x:v>Attack</x:v>
      </x:c>
      <x:c r="G1016" s="51" t="str">
        <x:v>Depth</x:v>
      </x:c>
      <x:c r="H1016" s="55" t="n">
        <x:v>0.1</x:v>
      </x:c>
      <x:c r="I1016" s="51" t="str"/>
      <x:c r="J1016" s="72" t="str"/>
      <x:c r="K1016" s="72" t="str"/>
      <x:c r="L1016" s="72" t="str"/>
      <x:c r="M1016" s="72" t="str"/>
      <x:c r="N1016" s="72" t="str"/>
      <x:c r="O1016" s="72" t="str"/>
      <x:c r="P1016" s="72" t="str">
        <x:v>Available</x:v>
      </x:c>
      <x:c r="Q1016" s="72" t="n">
        <x:v>0</x:v>
      </x:c>
      <x:c r="R1016" s="55" t="str">
        <x:f>IF($D1016="","",ROUND(MAX(0,MIN(100,0.35*$J1016+0.2*$K1016+0.15*$L1016+0.15*$M1016+0.1*$N1016+0.05*$O1016-IF(OR($P1016="Out",$P1016="Suspended"),$Q1016,IF($P1016="Doubtful",$Q1016*0.5,IF($P1016="Limited",$Q1016*0.25,0))))),2))</x:f>
      </x:c>
      <x:c r="S1016" s="55" t="n">
        <x:f>IF($D1016="",0,ROUND(IF(OR($P1016="Out",$P1016="Suspended"),$Q1016*$H1016,IF($P1016="Doubtful",$Q1016*$H1016*0.5,IF($P1016="Limited",$Q1016*$H1016*0.25,0))),2))</x:f>
        <x:v>0</x:v>
      </x:c>
      <x:c r="T1016" s="55" t="str"/>
      <x:c r="U1016" s="51" t="str"/>
    </x:row>
    <x:row r="1017">
      <x:c r="A1017" s="51" t="str">
        <x:v>Austria</x:v>
      </x:c>
      <x:c r="B1017" s="51" t="str">
        <x:v>J</x:v>
      </x:c>
      <x:c r="C1017" s="51" t="n">
        <x:v>25</x:v>
      </x:c>
      <x:c r="D1017" s="71" t="str"/>
      <x:c r="E1017" s="51" t="str">
        <x:v>ST</x:v>
      </x:c>
      <x:c r="F1017" s="51" t="str">
        <x:v>Attack</x:v>
      </x:c>
      <x:c r="G1017" s="51" t="str">
        <x:v>Depth</x:v>
      </x:c>
      <x:c r="H1017" s="55" t="n">
        <x:v>0.1</x:v>
      </x:c>
      <x:c r="I1017" s="51" t="str"/>
      <x:c r="J1017" s="72" t="str"/>
      <x:c r="K1017" s="72" t="str"/>
      <x:c r="L1017" s="72" t="str"/>
      <x:c r="M1017" s="72" t="str"/>
      <x:c r="N1017" s="72" t="str"/>
      <x:c r="O1017" s="72" t="str"/>
      <x:c r="P1017" s="72" t="str">
        <x:v>Available</x:v>
      </x:c>
      <x:c r="Q1017" s="72" t="n">
        <x:v>0</x:v>
      </x:c>
      <x:c r="R1017" s="55" t="str">
        <x:f>IF($D1017="","",ROUND(MAX(0,MIN(100,0.35*$J1017+0.2*$K1017+0.15*$L1017+0.15*$M1017+0.1*$N1017+0.05*$O1017-IF(OR($P1017="Out",$P1017="Suspended"),$Q1017,IF($P1017="Doubtful",$Q1017*0.5,IF($P1017="Limited",$Q1017*0.25,0))))),2))</x:f>
      </x:c>
      <x:c r="S1017" s="55" t="n">
        <x:f>IF($D1017="",0,ROUND(IF(OR($P1017="Out",$P1017="Suspended"),$Q1017*$H1017,IF($P1017="Doubtful",$Q1017*$H1017*0.5,IF($P1017="Limited",$Q1017*$H1017*0.25,0))),2))</x:f>
        <x:v>0</x:v>
      </x:c>
      <x:c r="T1017" s="55" t="str"/>
      <x:c r="U1017" s="51" t="str"/>
    </x:row>
    <x:row r="1018">
      <x:c r="A1018" s="51" t="str">
        <x:v>Austria</x:v>
      </x:c>
      <x:c r="B1018" s="51" t="str">
        <x:v>J</x:v>
      </x:c>
      <x:c r="C1018" s="51" t="n">
        <x:v>26</x:v>
      </x:c>
      <x:c r="D1018" s="71" t="str"/>
      <x:c r="E1018" s="51" t="str">
        <x:v>ST</x:v>
      </x:c>
      <x:c r="F1018" s="51" t="str">
        <x:v>Attack</x:v>
      </x:c>
      <x:c r="G1018" s="51" t="str">
        <x:v>Depth</x:v>
      </x:c>
      <x:c r="H1018" s="55" t="n">
        <x:v>0.1</x:v>
      </x:c>
      <x:c r="I1018" s="51" t="str"/>
      <x:c r="J1018" s="72" t="str"/>
      <x:c r="K1018" s="72" t="str"/>
      <x:c r="L1018" s="72" t="str"/>
      <x:c r="M1018" s="72" t="str"/>
      <x:c r="N1018" s="72" t="str"/>
      <x:c r="O1018" s="72" t="str"/>
      <x:c r="P1018" s="72" t="str">
        <x:v>Available</x:v>
      </x:c>
      <x:c r="Q1018" s="72" t="n">
        <x:v>0</x:v>
      </x:c>
      <x:c r="R1018" s="55" t="str">
        <x:f>IF($D1018="","",ROUND(MAX(0,MIN(100,0.35*$J1018+0.2*$K1018+0.15*$L1018+0.15*$M1018+0.1*$N1018+0.05*$O1018-IF(OR($P1018="Out",$P1018="Suspended"),$Q1018,IF($P1018="Doubtful",$Q1018*0.5,IF($P1018="Limited",$Q1018*0.25,0))))),2))</x:f>
      </x:c>
      <x:c r="S1018" s="55" t="n">
        <x:f>IF($D1018="",0,ROUND(IF(OR($P1018="Out",$P1018="Suspended"),$Q1018*$H1018,IF($P1018="Doubtful",$Q1018*$H1018*0.5,IF($P1018="Limited",$Q1018*$H1018*0.25,0))),2))</x:f>
        <x:v>0</x:v>
      </x:c>
      <x:c r="T1018" s="55" t="str"/>
      <x:c r="U1018" s="51" t="str"/>
    </x:row>
    <x:row r="1019">
      <x:c r="A1019" s="51" t="str">
        <x:v>Jordan</x:v>
      </x:c>
      <x:c r="B1019" s="51" t="str">
        <x:v>J</x:v>
      </x:c>
      <x:c r="C1019" s="51" t="n">
        <x:v>1</x:v>
      </x:c>
      <x:c r="D1019" s="71" t="str"/>
      <x:c r="E1019" s="51" t="str">
        <x:v>GK</x:v>
      </x:c>
      <x:c r="F1019" s="51" t="str">
        <x:v>GK</x:v>
      </x:c>
      <x:c r="G1019" s="51" t="str">
        <x:v>Starter</x:v>
      </x:c>
      <x:c r="H1019" s="55" t="n">
        <x:v>1</x:v>
      </x:c>
      <x:c r="I1019" s="51" t="str"/>
      <x:c r="J1019" s="72" t="str"/>
      <x:c r="K1019" s="72" t="str"/>
      <x:c r="L1019" s="72" t="str"/>
      <x:c r="M1019" s="72" t="str"/>
      <x:c r="N1019" s="72" t="str"/>
      <x:c r="O1019" s="72" t="str"/>
      <x:c r="P1019" s="72" t="str">
        <x:v>Available</x:v>
      </x:c>
      <x:c r="Q1019" s="72" t="n">
        <x:v>0</x:v>
      </x:c>
      <x:c r="R1019" s="55" t="str">
        <x:f>IF($D1019="","",ROUND(MAX(0,MIN(100,0.35*$J1019+0.2*$K1019+0.15*$L1019+0.15*$M1019+0.1*$N1019+0.05*$O1019-IF(OR($P1019="Out",$P1019="Suspended"),$Q1019,IF($P1019="Doubtful",$Q1019*0.5,IF($P1019="Limited",$Q1019*0.25,0))))),2))</x:f>
      </x:c>
      <x:c r="S1019" s="55" t="n">
        <x:f>IF($D1019="",0,ROUND(IF(OR($P1019="Out",$P1019="Suspended"),$Q1019*$H1019,IF($P1019="Doubtful",$Q1019*$H1019*0.5,IF($P1019="Limited",$Q1019*$H1019*0.25,0))),2))</x:f>
        <x:v>0</x:v>
      </x:c>
      <x:c r="T1019" s="55" t="str"/>
      <x:c r="U1019" s="51" t="str"/>
    </x:row>
    <x:row r="1020">
      <x:c r="A1020" s="51" t="str">
        <x:v>Jordan</x:v>
      </x:c>
      <x:c r="B1020" s="51" t="str">
        <x:v>J</x:v>
      </x:c>
      <x:c r="C1020" s="51" t="n">
        <x:v>2</x:v>
      </x:c>
      <x:c r="D1020" s="71" t="str"/>
      <x:c r="E1020" s="51" t="str">
        <x:v>GK</x:v>
      </x:c>
      <x:c r="F1020" s="51" t="str">
        <x:v>GK</x:v>
      </x:c>
      <x:c r="G1020" s="51" t="str">
        <x:v>Starter</x:v>
      </x:c>
      <x:c r="H1020" s="55" t="n">
        <x:v>1</x:v>
      </x:c>
      <x:c r="I1020" s="51" t="str"/>
      <x:c r="J1020" s="72" t="str"/>
      <x:c r="K1020" s="72" t="str"/>
      <x:c r="L1020" s="72" t="str"/>
      <x:c r="M1020" s="72" t="str"/>
      <x:c r="N1020" s="72" t="str"/>
      <x:c r="O1020" s="72" t="str"/>
      <x:c r="P1020" s="72" t="str">
        <x:v>Available</x:v>
      </x:c>
      <x:c r="Q1020" s="72" t="n">
        <x:v>0</x:v>
      </x:c>
      <x:c r="R1020" s="55" t="str">
        <x:f>IF($D1020="","",ROUND(MAX(0,MIN(100,0.35*$J1020+0.2*$K1020+0.15*$L1020+0.15*$M1020+0.1*$N1020+0.05*$O1020-IF(OR($P1020="Out",$P1020="Suspended"),$Q1020,IF($P1020="Doubtful",$Q1020*0.5,IF($P1020="Limited",$Q1020*0.25,0))))),2))</x:f>
      </x:c>
      <x:c r="S1020" s="55" t="n">
        <x:f>IF($D1020="",0,ROUND(IF(OR($P1020="Out",$P1020="Suspended"),$Q1020*$H1020,IF($P1020="Doubtful",$Q1020*$H1020*0.5,IF($P1020="Limited",$Q1020*$H1020*0.25,0))),2))</x:f>
        <x:v>0</x:v>
      </x:c>
      <x:c r="T1020" s="55" t="str"/>
      <x:c r="U1020" s="51" t="str"/>
    </x:row>
    <x:row r="1021">
      <x:c r="A1021" s="51" t="str">
        <x:v>Jordan</x:v>
      </x:c>
      <x:c r="B1021" s="51" t="str">
        <x:v>J</x:v>
      </x:c>
      <x:c r="C1021" s="51" t="n">
        <x:v>3</x:v>
      </x:c>
      <x:c r="D1021" s="71" t="str"/>
      <x:c r="E1021" s="51" t="str">
        <x:v>GK</x:v>
      </x:c>
      <x:c r="F1021" s="51" t="str">
        <x:v>GK</x:v>
      </x:c>
      <x:c r="G1021" s="51" t="str">
        <x:v>Starter</x:v>
      </x:c>
      <x:c r="H1021" s="55" t="n">
        <x:v>1</x:v>
      </x:c>
      <x:c r="I1021" s="51" t="str"/>
      <x:c r="J1021" s="72" t="str"/>
      <x:c r="K1021" s="72" t="str"/>
      <x:c r="L1021" s="72" t="str"/>
      <x:c r="M1021" s="72" t="str"/>
      <x:c r="N1021" s="72" t="str"/>
      <x:c r="O1021" s="72" t="str"/>
      <x:c r="P1021" s="72" t="str">
        <x:v>Available</x:v>
      </x:c>
      <x:c r="Q1021" s="72" t="n">
        <x:v>0</x:v>
      </x:c>
      <x:c r="R1021" s="55" t="str">
        <x:f>IF($D1021="","",ROUND(MAX(0,MIN(100,0.35*$J1021+0.2*$K1021+0.15*$L1021+0.15*$M1021+0.1*$N1021+0.05*$O1021-IF(OR($P1021="Out",$P1021="Suspended"),$Q1021,IF($P1021="Doubtful",$Q1021*0.5,IF($P1021="Limited",$Q1021*0.25,0))))),2))</x:f>
      </x:c>
      <x:c r="S1021" s="55" t="n">
        <x:f>IF($D1021="",0,ROUND(IF(OR($P1021="Out",$P1021="Suspended"),$Q1021*$H1021,IF($P1021="Doubtful",$Q1021*$H1021*0.5,IF($P1021="Limited",$Q1021*$H1021*0.25,0))),2))</x:f>
        <x:v>0</x:v>
      </x:c>
      <x:c r="T1021" s="55" t="str"/>
      <x:c r="U1021" s="51" t="str"/>
    </x:row>
    <x:row r="1022">
      <x:c r="A1022" s="51" t="str">
        <x:v>Jordan</x:v>
      </x:c>
      <x:c r="B1022" s="51" t="str">
        <x:v>J</x:v>
      </x:c>
      <x:c r="C1022" s="51" t="n">
        <x:v>4</x:v>
      </x:c>
      <x:c r="D1022" s="71" t="str"/>
      <x:c r="E1022" s="51" t="str">
        <x:v>CB</x:v>
      </x:c>
      <x:c r="F1022" s="51" t="str">
        <x:v>Defence</x:v>
      </x:c>
      <x:c r="G1022" s="51" t="str">
        <x:v>Starter</x:v>
      </x:c>
      <x:c r="H1022" s="55" t="n">
        <x:v>1</x:v>
      </x:c>
      <x:c r="I1022" s="51" t="str"/>
      <x:c r="J1022" s="72" t="str"/>
      <x:c r="K1022" s="72" t="str"/>
      <x:c r="L1022" s="72" t="str"/>
      <x:c r="M1022" s="72" t="str"/>
      <x:c r="N1022" s="72" t="str"/>
      <x:c r="O1022" s="72" t="str"/>
      <x:c r="P1022" s="72" t="str">
        <x:v>Available</x:v>
      </x:c>
      <x:c r="Q1022" s="72" t="n">
        <x:v>0</x:v>
      </x:c>
      <x:c r="R1022" s="55" t="str">
        <x:f>IF($D1022="","",ROUND(MAX(0,MIN(100,0.35*$J1022+0.2*$K1022+0.15*$L1022+0.15*$M1022+0.1*$N1022+0.05*$O1022-IF(OR($P1022="Out",$P1022="Suspended"),$Q1022,IF($P1022="Doubtful",$Q1022*0.5,IF($P1022="Limited",$Q1022*0.25,0))))),2))</x:f>
      </x:c>
      <x:c r="S1022" s="55" t="n">
        <x:f>IF($D1022="",0,ROUND(IF(OR($P1022="Out",$P1022="Suspended"),$Q1022*$H1022,IF($P1022="Doubtful",$Q1022*$H1022*0.5,IF($P1022="Limited",$Q1022*$H1022*0.25,0))),2))</x:f>
        <x:v>0</x:v>
      </x:c>
      <x:c r="T1022" s="55" t="str"/>
      <x:c r="U1022" s="51" t="str"/>
    </x:row>
    <x:row r="1023">
      <x:c r="A1023" s="51" t="str">
        <x:v>Jordan</x:v>
      </x:c>
      <x:c r="B1023" s="51" t="str">
        <x:v>J</x:v>
      </x:c>
      <x:c r="C1023" s="51" t="n">
        <x:v>5</x:v>
      </x:c>
      <x:c r="D1023" s="71" t="str"/>
      <x:c r="E1023" s="51" t="str">
        <x:v>CB</x:v>
      </x:c>
      <x:c r="F1023" s="51" t="str">
        <x:v>Defence</x:v>
      </x:c>
      <x:c r="G1023" s="51" t="str">
        <x:v>Starter</x:v>
      </x:c>
      <x:c r="H1023" s="55" t="n">
        <x:v>1</x:v>
      </x:c>
      <x:c r="I1023" s="51" t="str"/>
      <x:c r="J1023" s="72" t="str"/>
      <x:c r="K1023" s="72" t="str"/>
      <x:c r="L1023" s="72" t="str"/>
      <x:c r="M1023" s="72" t="str"/>
      <x:c r="N1023" s="72" t="str"/>
      <x:c r="O1023" s="72" t="str"/>
      <x:c r="P1023" s="72" t="str">
        <x:v>Available</x:v>
      </x:c>
      <x:c r="Q1023" s="72" t="n">
        <x:v>0</x:v>
      </x:c>
      <x:c r="R1023" s="55" t="str">
        <x:f>IF($D1023="","",ROUND(MAX(0,MIN(100,0.35*$J1023+0.2*$K1023+0.15*$L1023+0.15*$M1023+0.1*$N1023+0.05*$O1023-IF(OR($P1023="Out",$P1023="Suspended"),$Q1023,IF($P1023="Doubtful",$Q1023*0.5,IF($P1023="Limited",$Q1023*0.25,0))))),2))</x:f>
      </x:c>
      <x:c r="S1023" s="55" t="n">
        <x:f>IF($D1023="",0,ROUND(IF(OR($P1023="Out",$P1023="Suspended"),$Q1023*$H1023,IF($P1023="Doubtful",$Q1023*$H1023*0.5,IF($P1023="Limited",$Q1023*$H1023*0.25,0))),2))</x:f>
        <x:v>0</x:v>
      </x:c>
      <x:c r="T1023" s="55" t="str"/>
      <x:c r="U1023" s="51" t="str"/>
    </x:row>
    <x:row r="1024">
      <x:c r="A1024" s="51" t="str">
        <x:v>Jordan</x:v>
      </x:c>
      <x:c r="B1024" s="51" t="str">
        <x:v>J</x:v>
      </x:c>
      <x:c r="C1024" s="51" t="n">
        <x:v>6</x:v>
      </x:c>
      <x:c r="D1024" s="71" t="str"/>
      <x:c r="E1024" s="51" t="str">
        <x:v>CB</x:v>
      </x:c>
      <x:c r="F1024" s="51" t="str">
        <x:v>Defence</x:v>
      </x:c>
      <x:c r="G1024" s="51" t="str">
        <x:v>Starter</x:v>
      </x:c>
      <x:c r="H1024" s="55" t="n">
        <x:v>1</x:v>
      </x:c>
      <x:c r="I1024" s="51" t="str"/>
      <x:c r="J1024" s="72" t="str"/>
      <x:c r="K1024" s="72" t="str"/>
      <x:c r="L1024" s="72" t="str"/>
      <x:c r="M1024" s="72" t="str"/>
      <x:c r="N1024" s="72" t="str"/>
      <x:c r="O1024" s="72" t="str"/>
      <x:c r="P1024" s="72" t="str">
        <x:v>Available</x:v>
      </x:c>
      <x:c r="Q1024" s="72" t="n">
        <x:v>0</x:v>
      </x:c>
      <x:c r="R1024" s="55" t="str">
        <x:f>IF($D1024="","",ROUND(MAX(0,MIN(100,0.35*$J1024+0.2*$K1024+0.15*$L1024+0.15*$M1024+0.1*$N1024+0.05*$O1024-IF(OR($P1024="Out",$P1024="Suspended"),$Q1024,IF($P1024="Doubtful",$Q1024*0.5,IF($P1024="Limited",$Q1024*0.25,0))))),2))</x:f>
      </x:c>
      <x:c r="S1024" s="55" t="n">
        <x:f>IF($D1024="",0,ROUND(IF(OR($P1024="Out",$P1024="Suspended"),$Q1024*$H1024,IF($P1024="Doubtful",$Q1024*$H1024*0.5,IF($P1024="Limited",$Q1024*$H1024*0.25,0))),2))</x:f>
        <x:v>0</x:v>
      </x:c>
      <x:c r="T1024" s="55" t="str"/>
      <x:c r="U1024" s="51" t="str"/>
    </x:row>
    <x:row r="1025">
      <x:c r="A1025" s="51" t="str">
        <x:v>Jordan</x:v>
      </x:c>
      <x:c r="B1025" s="51" t="str">
        <x:v>J</x:v>
      </x:c>
      <x:c r="C1025" s="51" t="n">
        <x:v>7</x:v>
      </x:c>
      <x:c r="D1025" s="71" t="str"/>
      <x:c r="E1025" s="51" t="str">
        <x:v>FB</x:v>
      </x:c>
      <x:c r="F1025" s="51" t="str">
        <x:v>Defence</x:v>
      </x:c>
      <x:c r="G1025" s="51" t="str">
        <x:v>Starter</x:v>
      </x:c>
      <x:c r="H1025" s="55" t="n">
        <x:v>1</x:v>
      </x:c>
      <x:c r="I1025" s="51" t="str"/>
      <x:c r="J1025" s="72" t="str"/>
      <x:c r="K1025" s="72" t="str"/>
      <x:c r="L1025" s="72" t="str"/>
      <x:c r="M1025" s="72" t="str"/>
      <x:c r="N1025" s="72" t="str"/>
      <x:c r="O1025" s="72" t="str"/>
      <x:c r="P1025" s="72" t="str">
        <x:v>Available</x:v>
      </x:c>
      <x:c r="Q1025" s="72" t="n">
        <x:v>0</x:v>
      </x:c>
      <x:c r="R1025" s="55" t="str">
        <x:f>IF($D1025="","",ROUND(MAX(0,MIN(100,0.35*$J1025+0.2*$K1025+0.15*$L1025+0.15*$M1025+0.1*$N1025+0.05*$O1025-IF(OR($P1025="Out",$P1025="Suspended"),$Q1025,IF($P1025="Doubtful",$Q1025*0.5,IF($P1025="Limited",$Q1025*0.25,0))))),2))</x:f>
      </x:c>
      <x:c r="S1025" s="55" t="n">
        <x:f>IF($D1025="",0,ROUND(IF(OR($P1025="Out",$P1025="Suspended"),$Q1025*$H1025,IF($P1025="Doubtful",$Q1025*$H1025*0.5,IF($P1025="Limited",$Q1025*$H1025*0.25,0))),2))</x:f>
        <x:v>0</x:v>
      </x:c>
      <x:c r="T1025" s="55" t="str"/>
      <x:c r="U1025" s="51" t="str"/>
    </x:row>
    <x:row r="1026">
      <x:c r="A1026" s="51" t="str">
        <x:v>Jordan</x:v>
      </x:c>
      <x:c r="B1026" s="51" t="str">
        <x:v>J</x:v>
      </x:c>
      <x:c r="C1026" s="51" t="n">
        <x:v>8</x:v>
      </x:c>
      <x:c r="D1026" s="71" t="str"/>
      <x:c r="E1026" s="51" t="str">
        <x:v>FB</x:v>
      </x:c>
      <x:c r="F1026" s="51" t="str">
        <x:v>Defence</x:v>
      </x:c>
      <x:c r="G1026" s="51" t="str">
        <x:v>Starter</x:v>
      </x:c>
      <x:c r="H1026" s="55" t="n">
        <x:v>1</x:v>
      </x:c>
      <x:c r="I1026" s="51" t="str"/>
      <x:c r="J1026" s="72" t="str"/>
      <x:c r="K1026" s="72" t="str"/>
      <x:c r="L1026" s="72" t="str"/>
      <x:c r="M1026" s="72" t="str"/>
      <x:c r="N1026" s="72" t="str"/>
      <x:c r="O1026" s="72" t="str"/>
      <x:c r="P1026" s="72" t="str">
        <x:v>Available</x:v>
      </x:c>
      <x:c r="Q1026" s="72" t="n">
        <x:v>0</x:v>
      </x:c>
      <x:c r="R1026" s="55" t="str">
        <x:f>IF($D1026="","",ROUND(MAX(0,MIN(100,0.35*$J1026+0.2*$K1026+0.15*$L1026+0.15*$M1026+0.1*$N1026+0.05*$O1026-IF(OR($P1026="Out",$P1026="Suspended"),$Q1026,IF($P1026="Doubtful",$Q1026*0.5,IF($P1026="Limited",$Q1026*0.25,0))))),2))</x:f>
      </x:c>
      <x:c r="S1026" s="55" t="n">
        <x:f>IF($D1026="",0,ROUND(IF(OR($P1026="Out",$P1026="Suspended"),$Q1026*$H1026,IF($P1026="Doubtful",$Q1026*$H1026*0.5,IF($P1026="Limited",$Q1026*$H1026*0.25,0))),2))</x:f>
        <x:v>0</x:v>
      </x:c>
      <x:c r="T1026" s="55" t="str"/>
      <x:c r="U1026" s="51" t="str"/>
    </x:row>
    <x:row r="1027">
      <x:c r="A1027" s="51" t="str">
        <x:v>Jordan</x:v>
      </x:c>
      <x:c r="B1027" s="51" t="str">
        <x:v>J</x:v>
      </x:c>
      <x:c r="C1027" s="51" t="n">
        <x:v>9</x:v>
      </x:c>
      <x:c r="D1027" s="71" t="str"/>
      <x:c r="E1027" s="51" t="str">
        <x:v>DM</x:v>
      </x:c>
      <x:c r="F1027" s="51" t="str">
        <x:v>Midfield</x:v>
      </x:c>
      <x:c r="G1027" s="51" t="str">
        <x:v>Starter</x:v>
      </x:c>
      <x:c r="H1027" s="55" t="n">
        <x:v>1</x:v>
      </x:c>
      <x:c r="I1027" s="51" t="str"/>
      <x:c r="J1027" s="72" t="str"/>
      <x:c r="K1027" s="72" t="str"/>
      <x:c r="L1027" s="72" t="str"/>
      <x:c r="M1027" s="72" t="str"/>
      <x:c r="N1027" s="72" t="str"/>
      <x:c r="O1027" s="72" t="str"/>
      <x:c r="P1027" s="72" t="str">
        <x:v>Available</x:v>
      </x:c>
      <x:c r="Q1027" s="72" t="n">
        <x:v>0</x:v>
      </x:c>
      <x:c r="R1027" s="55" t="str">
        <x:f>IF($D1027="","",ROUND(MAX(0,MIN(100,0.35*$J1027+0.2*$K1027+0.15*$L1027+0.15*$M1027+0.1*$N1027+0.05*$O1027-IF(OR($P1027="Out",$P1027="Suspended"),$Q1027,IF($P1027="Doubtful",$Q1027*0.5,IF($P1027="Limited",$Q1027*0.25,0))))),2))</x:f>
      </x:c>
      <x:c r="S1027" s="55" t="n">
        <x:f>IF($D1027="",0,ROUND(IF(OR($P1027="Out",$P1027="Suspended"),$Q1027*$H1027,IF($P1027="Doubtful",$Q1027*$H1027*0.5,IF($P1027="Limited",$Q1027*$H1027*0.25,0))),2))</x:f>
        <x:v>0</x:v>
      </x:c>
      <x:c r="T1027" s="55" t="str"/>
      <x:c r="U1027" s="51" t="str"/>
    </x:row>
    <x:row r="1028">
      <x:c r="A1028" s="51" t="str">
        <x:v>Jordan</x:v>
      </x:c>
      <x:c r="B1028" s="51" t="str">
        <x:v>J</x:v>
      </x:c>
      <x:c r="C1028" s="51" t="n">
        <x:v>10</x:v>
      </x:c>
      <x:c r="D1028" s="71" t="str"/>
      <x:c r="E1028" s="51" t="str">
        <x:v>DM</x:v>
      </x:c>
      <x:c r="F1028" s="51" t="str">
        <x:v>Midfield</x:v>
      </x:c>
      <x:c r="G1028" s="51" t="str">
        <x:v>Starter</x:v>
      </x:c>
      <x:c r="H1028" s="55" t="n">
        <x:v>1</x:v>
      </x:c>
      <x:c r="I1028" s="51" t="str"/>
      <x:c r="J1028" s="72" t="str"/>
      <x:c r="K1028" s="72" t="str"/>
      <x:c r="L1028" s="72" t="str"/>
      <x:c r="M1028" s="72" t="str"/>
      <x:c r="N1028" s="72" t="str"/>
      <x:c r="O1028" s="72" t="str"/>
      <x:c r="P1028" s="72" t="str">
        <x:v>Available</x:v>
      </x:c>
      <x:c r="Q1028" s="72" t="n">
        <x:v>0</x:v>
      </x:c>
      <x:c r="R1028" s="55" t="str">
        <x:f>IF($D1028="","",ROUND(MAX(0,MIN(100,0.35*$J1028+0.2*$K1028+0.15*$L1028+0.15*$M1028+0.1*$N1028+0.05*$O1028-IF(OR($P1028="Out",$P1028="Suspended"),$Q1028,IF($P1028="Doubtful",$Q1028*0.5,IF($P1028="Limited",$Q1028*0.25,0))))),2))</x:f>
      </x:c>
      <x:c r="S1028" s="55" t="n">
        <x:f>IF($D1028="",0,ROUND(IF(OR($P1028="Out",$P1028="Suspended"),$Q1028*$H1028,IF($P1028="Doubtful",$Q1028*$H1028*0.5,IF($P1028="Limited",$Q1028*$H1028*0.25,0))),2))</x:f>
        <x:v>0</x:v>
      </x:c>
      <x:c r="T1028" s="55" t="str"/>
      <x:c r="U1028" s="51" t="str"/>
    </x:row>
    <x:row r="1029">
      <x:c r="A1029" s="51" t="str">
        <x:v>Jordan</x:v>
      </x:c>
      <x:c r="B1029" s="51" t="str">
        <x:v>J</x:v>
      </x:c>
      <x:c r="C1029" s="51" t="n">
        <x:v>11</x:v>
      </x:c>
      <x:c r="D1029" s="71" t="str"/>
      <x:c r="E1029" s="51" t="str">
        <x:v>DM</x:v>
      </x:c>
      <x:c r="F1029" s="51" t="str">
        <x:v>Midfield</x:v>
      </x:c>
      <x:c r="G1029" s="51" t="str">
        <x:v>Starter</x:v>
      </x:c>
      <x:c r="H1029" s="55" t="n">
        <x:v>1</x:v>
      </x:c>
      <x:c r="I1029" s="51" t="str"/>
      <x:c r="J1029" s="72" t="str"/>
      <x:c r="K1029" s="72" t="str"/>
      <x:c r="L1029" s="72" t="str"/>
      <x:c r="M1029" s="72" t="str"/>
      <x:c r="N1029" s="72" t="str"/>
      <x:c r="O1029" s="72" t="str"/>
      <x:c r="P1029" s="72" t="str">
        <x:v>Available</x:v>
      </x:c>
      <x:c r="Q1029" s="72" t="n">
        <x:v>0</x:v>
      </x:c>
      <x:c r="R1029" s="55" t="str">
        <x:f>IF($D1029="","",ROUND(MAX(0,MIN(100,0.35*$J1029+0.2*$K1029+0.15*$L1029+0.15*$M1029+0.1*$N1029+0.05*$O1029-IF(OR($P1029="Out",$P1029="Suspended"),$Q1029,IF($P1029="Doubtful",$Q1029*0.5,IF($P1029="Limited",$Q1029*0.25,0))))),2))</x:f>
      </x:c>
      <x:c r="S1029" s="55" t="n">
        <x:f>IF($D1029="",0,ROUND(IF(OR($P1029="Out",$P1029="Suspended"),$Q1029*$H1029,IF($P1029="Doubtful",$Q1029*$H1029*0.5,IF($P1029="Limited",$Q1029*$H1029*0.25,0))),2))</x:f>
        <x:v>0</x:v>
      </x:c>
      <x:c r="T1029" s="55" t="str"/>
      <x:c r="U1029" s="51" t="str"/>
    </x:row>
    <x:row r="1030">
      <x:c r="A1030" s="51" t="str">
        <x:v>Jordan</x:v>
      </x:c>
      <x:c r="B1030" s="51" t="str">
        <x:v>J</x:v>
      </x:c>
      <x:c r="C1030" s="51" t="n">
        <x:v>12</x:v>
      </x:c>
      <x:c r="D1030" s="71" t="str"/>
      <x:c r="E1030" s="51" t="str">
        <x:v>CM</x:v>
      </x:c>
      <x:c r="F1030" s="51" t="str">
        <x:v>Midfield</x:v>
      </x:c>
      <x:c r="G1030" s="51" t="str">
        <x:v>Rotation</x:v>
      </x:c>
      <x:c r="H1030" s="55" t="n">
        <x:v>0.35</x:v>
      </x:c>
      <x:c r="I1030" s="51" t="str"/>
      <x:c r="J1030" s="72" t="str"/>
      <x:c r="K1030" s="72" t="str"/>
      <x:c r="L1030" s="72" t="str"/>
      <x:c r="M1030" s="72" t="str"/>
      <x:c r="N1030" s="72" t="str"/>
      <x:c r="O1030" s="72" t="str"/>
      <x:c r="P1030" s="72" t="str">
        <x:v>Available</x:v>
      </x:c>
      <x:c r="Q1030" s="72" t="n">
        <x:v>0</x:v>
      </x:c>
      <x:c r="R1030" s="55" t="str">
        <x:f>IF($D1030="","",ROUND(MAX(0,MIN(100,0.35*$J1030+0.2*$K1030+0.15*$L1030+0.15*$M1030+0.1*$N1030+0.05*$O1030-IF(OR($P1030="Out",$P1030="Suspended"),$Q1030,IF($P1030="Doubtful",$Q1030*0.5,IF($P1030="Limited",$Q1030*0.25,0))))),2))</x:f>
      </x:c>
      <x:c r="S1030" s="55" t="n">
        <x:f>IF($D1030="",0,ROUND(IF(OR($P1030="Out",$P1030="Suspended"),$Q1030*$H1030,IF($P1030="Doubtful",$Q1030*$H1030*0.5,IF($P1030="Limited",$Q1030*$H1030*0.25,0))),2))</x:f>
        <x:v>0</x:v>
      </x:c>
      <x:c r="T1030" s="55" t="str"/>
      <x:c r="U1030" s="51" t="str"/>
    </x:row>
    <x:row r="1031">
      <x:c r="A1031" s="51" t="str">
        <x:v>Jordan</x:v>
      </x:c>
      <x:c r="B1031" s="51" t="str">
        <x:v>J</x:v>
      </x:c>
      <x:c r="C1031" s="51" t="n">
        <x:v>13</x:v>
      </x:c>
      <x:c r="D1031" s="71" t="str"/>
      <x:c r="E1031" s="51" t="str">
        <x:v>CM</x:v>
      </x:c>
      <x:c r="F1031" s="51" t="str">
        <x:v>Midfield</x:v>
      </x:c>
      <x:c r="G1031" s="51" t="str">
        <x:v>Rotation</x:v>
      </x:c>
      <x:c r="H1031" s="55" t="n">
        <x:v>0.35</x:v>
      </x:c>
      <x:c r="I1031" s="51" t="str"/>
      <x:c r="J1031" s="72" t="str"/>
      <x:c r="K1031" s="72" t="str"/>
      <x:c r="L1031" s="72" t="str"/>
      <x:c r="M1031" s="72" t="str"/>
      <x:c r="N1031" s="72" t="str"/>
      <x:c r="O1031" s="72" t="str"/>
      <x:c r="P1031" s="72" t="str">
        <x:v>Available</x:v>
      </x:c>
      <x:c r="Q1031" s="72" t="n">
        <x:v>0</x:v>
      </x:c>
      <x:c r="R1031" s="55" t="str">
        <x:f>IF($D1031="","",ROUND(MAX(0,MIN(100,0.35*$J1031+0.2*$K1031+0.15*$L1031+0.15*$M1031+0.1*$N1031+0.05*$O1031-IF(OR($P1031="Out",$P1031="Suspended"),$Q1031,IF($P1031="Doubtful",$Q1031*0.5,IF($P1031="Limited",$Q1031*0.25,0))))),2))</x:f>
      </x:c>
      <x:c r="S1031" s="55" t="n">
        <x:f>IF($D1031="",0,ROUND(IF(OR($P1031="Out",$P1031="Suspended"),$Q1031*$H1031,IF($P1031="Doubtful",$Q1031*$H1031*0.5,IF($P1031="Limited",$Q1031*$H1031*0.25,0))),2))</x:f>
        <x:v>0</x:v>
      </x:c>
      <x:c r="T1031" s="55" t="str"/>
      <x:c r="U1031" s="51" t="str"/>
    </x:row>
    <x:row r="1032">
      <x:c r="A1032" s="51" t="str">
        <x:v>Jordan</x:v>
      </x:c>
      <x:c r="B1032" s="51" t="str">
        <x:v>J</x:v>
      </x:c>
      <x:c r="C1032" s="51" t="n">
        <x:v>14</x:v>
      </x:c>
      <x:c r="D1032" s="71" t="str"/>
      <x:c r="E1032" s="51" t="str">
        <x:v>CM</x:v>
      </x:c>
      <x:c r="F1032" s="51" t="str">
        <x:v>Midfield</x:v>
      </x:c>
      <x:c r="G1032" s="51" t="str">
        <x:v>Rotation</x:v>
      </x:c>
      <x:c r="H1032" s="55" t="n">
        <x:v>0.35</x:v>
      </x:c>
      <x:c r="I1032" s="51" t="str"/>
      <x:c r="J1032" s="72" t="str"/>
      <x:c r="K1032" s="72" t="str"/>
      <x:c r="L1032" s="72" t="str"/>
      <x:c r="M1032" s="72" t="str"/>
      <x:c r="N1032" s="72" t="str"/>
      <x:c r="O1032" s="72" t="str"/>
      <x:c r="P1032" s="72" t="str">
        <x:v>Available</x:v>
      </x:c>
      <x:c r="Q1032" s="72" t="n">
        <x:v>0</x:v>
      </x:c>
      <x:c r="R1032" s="55" t="str">
        <x:f>IF($D1032="","",ROUND(MAX(0,MIN(100,0.35*$J1032+0.2*$K1032+0.15*$L1032+0.15*$M1032+0.1*$N1032+0.05*$O1032-IF(OR($P1032="Out",$P1032="Suspended"),$Q1032,IF($P1032="Doubtful",$Q1032*0.5,IF($P1032="Limited",$Q1032*0.25,0))))),2))</x:f>
      </x:c>
      <x:c r="S1032" s="55" t="n">
        <x:f>IF($D1032="",0,ROUND(IF(OR($P1032="Out",$P1032="Suspended"),$Q1032*$H1032,IF($P1032="Doubtful",$Q1032*$H1032*0.5,IF($P1032="Limited",$Q1032*$H1032*0.25,0))),2))</x:f>
        <x:v>0</x:v>
      </x:c>
      <x:c r="T1032" s="55" t="str"/>
      <x:c r="U1032" s="51" t="str"/>
    </x:row>
    <x:row r="1033">
      <x:c r="A1033" s="51" t="str">
        <x:v>Jordan</x:v>
      </x:c>
      <x:c r="B1033" s="51" t="str">
        <x:v>J</x:v>
      </x:c>
      <x:c r="C1033" s="51" t="n">
        <x:v>15</x:v>
      </x:c>
      <x:c r="D1033" s="71" t="str"/>
      <x:c r="E1033" s="51" t="str">
        <x:v>CM</x:v>
      </x:c>
      <x:c r="F1033" s="51" t="str">
        <x:v>Midfield</x:v>
      </x:c>
      <x:c r="G1033" s="51" t="str">
        <x:v>Rotation</x:v>
      </x:c>
      <x:c r="H1033" s="55" t="n">
        <x:v>0.35</x:v>
      </x:c>
      <x:c r="I1033" s="51" t="str"/>
      <x:c r="J1033" s="72" t="str"/>
      <x:c r="K1033" s="72" t="str"/>
      <x:c r="L1033" s="72" t="str"/>
      <x:c r="M1033" s="72" t="str"/>
      <x:c r="N1033" s="72" t="str"/>
      <x:c r="O1033" s="72" t="str"/>
      <x:c r="P1033" s="72" t="str">
        <x:v>Available</x:v>
      </x:c>
      <x:c r="Q1033" s="72" t="n">
        <x:v>0</x:v>
      </x:c>
      <x:c r="R1033" s="55" t="str">
        <x:f>IF($D1033="","",ROUND(MAX(0,MIN(100,0.35*$J1033+0.2*$K1033+0.15*$L1033+0.15*$M1033+0.1*$N1033+0.05*$O1033-IF(OR($P1033="Out",$P1033="Suspended"),$Q1033,IF($P1033="Doubtful",$Q1033*0.5,IF($P1033="Limited",$Q1033*0.25,0))))),2))</x:f>
      </x:c>
      <x:c r="S1033" s="55" t="n">
        <x:f>IF($D1033="",0,ROUND(IF(OR($P1033="Out",$P1033="Suspended"),$Q1033*$H1033,IF($P1033="Doubtful",$Q1033*$H1033*0.5,IF($P1033="Limited",$Q1033*$H1033*0.25,0))),2))</x:f>
        <x:v>0</x:v>
      </x:c>
      <x:c r="T1033" s="55" t="str"/>
      <x:c r="U1033" s="51" t="str"/>
    </x:row>
    <x:row r="1034">
      <x:c r="A1034" s="51" t="str">
        <x:v>Jordan</x:v>
      </x:c>
      <x:c r="B1034" s="51" t="str">
        <x:v>J</x:v>
      </x:c>
      <x:c r="C1034" s="51" t="n">
        <x:v>16</x:v>
      </x:c>
      <x:c r="D1034" s="71" t="str"/>
      <x:c r="E1034" s="51" t="str">
        <x:v>AM</x:v>
      </x:c>
      <x:c r="F1034" s="51" t="str">
        <x:v>Attack</x:v>
      </x:c>
      <x:c r="G1034" s="51" t="str">
        <x:v>Rotation</x:v>
      </x:c>
      <x:c r="H1034" s="55" t="n">
        <x:v>0.35</x:v>
      </x:c>
      <x:c r="I1034" s="51" t="str"/>
      <x:c r="J1034" s="72" t="str"/>
      <x:c r="K1034" s="72" t="str"/>
      <x:c r="L1034" s="72" t="str"/>
      <x:c r="M1034" s="72" t="str"/>
      <x:c r="N1034" s="72" t="str"/>
      <x:c r="O1034" s="72" t="str"/>
      <x:c r="P1034" s="72" t="str">
        <x:v>Available</x:v>
      </x:c>
      <x:c r="Q1034" s="72" t="n">
        <x:v>0</x:v>
      </x:c>
      <x:c r="R1034" s="55" t="str">
        <x:f>IF($D1034="","",ROUND(MAX(0,MIN(100,0.35*$J1034+0.2*$K1034+0.15*$L1034+0.15*$M1034+0.1*$N1034+0.05*$O1034-IF(OR($P1034="Out",$P1034="Suspended"),$Q1034,IF($P1034="Doubtful",$Q1034*0.5,IF($P1034="Limited",$Q1034*0.25,0))))),2))</x:f>
      </x:c>
      <x:c r="S1034" s="55" t="n">
        <x:f>IF($D1034="",0,ROUND(IF(OR($P1034="Out",$P1034="Suspended"),$Q1034*$H1034,IF($P1034="Doubtful",$Q1034*$H1034*0.5,IF($P1034="Limited",$Q1034*$H1034*0.25,0))),2))</x:f>
        <x:v>0</x:v>
      </x:c>
      <x:c r="T1034" s="55" t="str"/>
      <x:c r="U1034" s="51" t="str"/>
    </x:row>
    <x:row r="1035">
      <x:c r="A1035" s="51" t="str">
        <x:v>Jordan</x:v>
      </x:c>
      <x:c r="B1035" s="51" t="str">
        <x:v>J</x:v>
      </x:c>
      <x:c r="C1035" s="51" t="n">
        <x:v>17</x:v>
      </x:c>
      <x:c r="D1035" s="71" t="str"/>
      <x:c r="E1035" s="51" t="str">
        <x:v>AM</x:v>
      </x:c>
      <x:c r="F1035" s="51" t="str">
        <x:v>Attack</x:v>
      </x:c>
      <x:c r="G1035" s="51" t="str">
        <x:v>Rotation</x:v>
      </x:c>
      <x:c r="H1035" s="55" t="n">
        <x:v>0.35</x:v>
      </x:c>
      <x:c r="I1035" s="51" t="str"/>
      <x:c r="J1035" s="72" t="str"/>
      <x:c r="K1035" s="72" t="str"/>
      <x:c r="L1035" s="72" t="str"/>
      <x:c r="M1035" s="72" t="str"/>
      <x:c r="N1035" s="72" t="str"/>
      <x:c r="O1035" s="72" t="str"/>
      <x:c r="P1035" s="72" t="str">
        <x:v>Available</x:v>
      </x:c>
      <x:c r="Q1035" s="72" t="n">
        <x:v>0</x:v>
      </x:c>
      <x:c r="R1035" s="55" t="str">
        <x:f>IF($D1035="","",ROUND(MAX(0,MIN(100,0.35*$J1035+0.2*$K1035+0.15*$L1035+0.15*$M1035+0.1*$N1035+0.05*$O1035-IF(OR($P1035="Out",$P1035="Suspended"),$Q1035,IF($P1035="Doubtful",$Q1035*0.5,IF($P1035="Limited",$Q1035*0.25,0))))),2))</x:f>
      </x:c>
      <x:c r="S1035" s="55" t="n">
        <x:f>IF($D1035="",0,ROUND(IF(OR($P1035="Out",$P1035="Suspended"),$Q1035*$H1035,IF($P1035="Doubtful",$Q1035*$H1035*0.5,IF($P1035="Limited",$Q1035*$H1035*0.25,0))),2))</x:f>
        <x:v>0</x:v>
      </x:c>
      <x:c r="T1035" s="55" t="str"/>
      <x:c r="U1035" s="51" t="str"/>
    </x:row>
    <x:row r="1036">
      <x:c r="A1036" s="51" t="str">
        <x:v>Jordan</x:v>
      </x:c>
      <x:c r="B1036" s="51" t="str">
        <x:v>J</x:v>
      </x:c>
      <x:c r="C1036" s="51" t="n">
        <x:v>18</x:v>
      </x:c>
      <x:c r="D1036" s="71" t="str"/>
      <x:c r="E1036" s="51" t="str">
        <x:v>AM</x:v>
      </x:c>
      <x:c r="F1036" s="51" t="str">
        <x:v>Attack</x:v>
      </x:c>
      <x:c r="G1036" s="51" t="str">
        <x:v>Rotation</x:v>
      </x:c>
      <x:c r="H1036" s="55" t="n">
        <x:v>0.35</x:v>
      </x:c>
      <x:c r="I1036" s="51" t="str"/>
      <x:c r="J1036" s="72" t="str"/>
      <x:c r="K1036" s="72" t="str"/>
      <x:c r="L1036" s="72" t="str"/>
      <x:c r="M1036" s="72" t="str"/>
      <x:c r="N1036" s="72" t="str"/>
      <x:c r="O1036" s="72" t="str"/>
      <x:c r="P1036" s="72" t="str">
        <x:v>Available</x:v>
      </x:c>
      <x:c r="Q1036" s="72" t="n">
        <x:v>0</x:v>
      </x:c>
      <x:c r="R1036" s="55" t="str">
        <x:f>IF($D1036="","",ROUND(MAX(0,MIN(100,0.35*$J1036+0.2*$K1036+0.15*$L1036+0.15*$M1036+0.1*$N1036+0.05*$O1036-IF(OR($P1036="Out",$P1036="Suspended"),$Q1036,IF($P1036="Doubtful",$Q1036*0.5,IF($P1036="Limited",$Q1036*0.25,0))))),2))</x:f>
      </x:c>
      <x:c r="S1036" s="55" t="n">
        <x:f>IF($D1036="",0,ROUND(IF(OR($P1036="Out",$P1036="Suspended"),$Q1036*$H1036,IF($P1036="Doubtful",$Q1036*$H1036*0.5,IF($P1036="Limited",$Q1036*$H1036*0.25,0))),2))</x:f>
        <x:v>0</x:v>
      </x:c>
      <x:c r="T1036" s="55" t="str"/>
      <x:c r="U1036" s="51" t="str"/>
    </x:row>
    <x:row r="1037">
      <x:c r="A1037" s="51" t="str">
        <x:v>Jordan</x:v>
      </x:c>
      <x:c r="B1037" s="51" t="str">
        <x:v>J</x:v>
      </x:c>
      <x:c r="C1037" s="51" t="n">
        <x:v>19</x:v>
      </x:c>
      <x:c r="D1037" s="71" t="str"/>
      <x:c r="E1037" s="51" t="str">
        <x:v>AM</x:v>
      </x:c>
      <x:c r="F1037" s="51" t="str">
        <x:v>Attack</x:v>
      </x:c>
      <x:c r="G1037" s="51" t="str">
        <x:v>Rotation</x:v>
      </x:c>
      <x:c r="H1037" s="55" t="n">
        <x:v>0.35</x:v>
      </x:c>
      <x:c r="I1037" s="51" t="str"/>
      <x:c r="J1037" s="72" t="str"/>
      <x:c r="K1037" s="72" t="str"/>
      <x:c r="L1037" s="72" t="str"/>
      <x:c r="M1037" s="72" t="str"/>
      <x:c r="N1037" s="72" t="str"/>
      <x:c r="O1037" s="72" t="str"/>
      <x:c r="P1037" s="72" t="str">
        <x:v>Available</x:v>
      </x:c>
      <x:c r="Q1037" s="72" t="n">
        <x:v>0</x:v>
      </x:c>
      <x:c r="R1037" s="55" t="str">
        <x:f>IF($D1037="","",ROUND(MAX(0,MIN(100,0.35*$J1037+0.2*$K1037+0.15*$L1037+0.15*$M1037+0.1*$N1037+0.05*$O1037-IF(OR($P1037="Out",$P1037="Suspended"),$Q1037,IF($P1037="Doubtful",$Q1037*0.5,IF($P1037="Limited",$Q1037*0.25,0))))),2))</x:f>
      </x:c>
      <x:c r="S1037" s="55" t="n">
        <x:f>IF($D1037="",0,ROUND(IF(OR($P1037="Out",$P1037="Suspended"),$Q1037*$H1037,IF($P1037="Doubtful",$Q1037*$H1037*0.5,IF($P1037="Limited",$Q1037*$H1037*0.25,0))),2))</x:f>
        <x:v>0</x:v>
      </x:c>
      <x:c r="T1037" s="55" t="str"/>
      <x:c r="U1037" s="51" t="str"/>
    </x:row>
    <x:row r="1038">
      <x:c r="A1038" s="51" t="str">
        <x:v>Jordan</x:v>
      </x:c>
      <x:c r="B1038" s="51" t="str">
        <x:v>J</x:v>
      </x:c>
      <x:c r="C1038" s="51" t="n">
        <x:v>20</x:v>
      </x:c>
      <x:c r="D1038" s="71" t="str"/>
      <x:c r="E1038" s="51" t="str">
        <x:v>Winger</x:v>
      </x:c>
      <x:c r="F1038" s="51" t="str">
        <x:v>Attack</x:v>
      </x:c>
      <x:c r="G1038" s="51" t="str">
        <x:v>Rotation</x:v>
      </x:c>
      <x:c r="H1038" s="55" t="n">
        <x:v>0.35</x:v>
      </x:c>
      <x:c r="I1038" s="51" t="str"/>
      <x:c r="J1038" s="72" t="str"/>
      <x:c r="K1038" s="72" t="str"/>
      <x:c r="L1038" s="72" t="str"/>
      <x:c r="M1038" s="72" t="str"/>
      <x:c r="N1038" s="72" t="str"/>
      <x:c r="O1038" s="72" t="str"/>
      <x:c r="P1038" s="72" t="str">
        <x:v>Available</x:v>
      </x:c>
      <x:c r="Q1038" s="72" t="n">
        <x:v>0</x:v>
      </x:c>
      <x:c r="R1038" s="55" t="str">
        <x:f>IF($D1038="","",ROUND(MAX(0,MIN(100,0.35*$J1038+0.2*$K1038+0.15*$L1038+0.15*$M1038+0.1*$N1038+0.05*$O1038-IF(OR($P1038="Out",$P1038="Suspended"),$Q1038,IF($P1038="Doubtful",$Q1038*0.5,IF($P1038="Limited",$Q1038*0.25,0))))),2))</x:f>
      </x:c>
      <x:c r="S1038" s="55" t="n">
        <x:f>IF($D1038="",0,ROUND(IF(OR($P1038="Out",$P1038="Suspended"),$Q1038*$H1038,IF($P1038="Doubtful",$Q1038*$H1038*0.5,IF($P1038="Limited",$Q1038*$H1038*0.25,0))),2))</x:f>
        <x:v>0</x:v>
      </x:c>
      <x:c r="T1038" s="55" t="str"/>
      <x:c r="U1038" s="51" t="str"/>
    </x:row>
    <x:row r="1039">
      <x:c r="A1039" s="51" t="str">
        <x:v>Jordan</x:v>
      </x:c>
      <x:c r="B1039" s="51" t="str">
        <x:v>J</x:v>
      </x:c>
      <x:c r="C1039" s="51" t="n">
        <x:v>21</x:v>
      </x:c>
      <x:c r="D1039" s="71" t="str"/>
      <x:c r="E1039" s="51" t="str">
        <x:v>Winger</x:v>
      </x:c>
      <x:c r="F1039" s="51" t="str">
        <x:v>Attack</x:v>
      </x:c>
      <x:c r="G1039" s="51" t="str">
        <x:v>Depth</x:v>
      </x:c>
      <x:c r="H1039" s="55" t="n">
        <x:v>0.1</x:v>
      </x:c>
      <x:c r="I1039" s="51" t="str"/>
      <x:c r="J1039" s="72" t="str"/>
      <x:c r="K1039" s="72" t="str"/>
      <x:c r="L1039" s="72" t="str"/>
      <x:c r="M1039" s="72" t="str"/>
      <x:c r="N1039" s="72" t="str"/>
      <x:c r="O1039" s="72" t="str"/>
      <x:c r="P1039" s="72" t="str">
        <x:v>Available</x:v>
      </x:c>
      <x:c r="Q1039" s="72" t="n">
        <x:v>0</x:v>
      </x:c>
      <x:c r="R1039" s="55" t="str">
        <x:f>IF($D1039="","",ROUND(MAX(0,MIN(100,0.35*$J1039+0.2*$K1039+0.15*$L1039+0.15*$M1039+0.1*$N1039+0.05*$O1039-IF(OR($P1039="Out",$P1039="Suspended"),$Q1039,IF($P1039="Doubtful",$Q1039*0.5,IF($P1039="Limited",$Q1039*0.25,0))))),2))</x:f>
      </x:c>
      <x:c r="S1039" s="55" t="n">
        <x:f>IF($D1039="",0,ROUND(IF(OR($P1039="Out",$P1039="Suspended"),$Q1039*$H1039,IF($P1039="Doubtful",$Q1039*$H1039*0.5,IF($P1039="Limited",$Q1039*$H1039*0.25,0))),2))</x:f>
        <x:v>0</x:v>
      </x:c>
      <x:c r="T1039" s="55" t="str"/>
      <x:c r="U1039" s="51" t="str"/>
    </x:row>
    <x:row r="1040">
      <x:c r="A1040" s="51" t="str">
        <x:v>Jordan</x:v>
      </x:c>
      <x:c r="B1040" s="51" t="str">
        <x:v>J</x:v>
      </x:c>
      <x:c r="C1040" s="51" t="n">
        <x:v>22</x:v>
      </x:c>
      <x:c r="D1040" s="71" t="str"/>
      <x:c r="E1040" s="51" t="str">
        <x:v>Winger</x:v>
      </x:c>
      <x:c r="F1040" s="51" t="str">
        <x:v>Attack</x:v>
      </x:c>
      <x:c r="G1040" s="51" t="str">
        <x:v>Depth</x:v>
      </x:c>
      <x:c r="H1040" s="55" t="n">
        <x:v>0.1</x:v>
      </x:c>
      <x:c r="I1040" s="51" t="str"/>
      <x:c r="J1040" s="72" t="str"/>
      <x:c r="K1040" s="72" t="str"/>
      <x:c r="L1040" s="72" t="str"/>
      <x:c r="M1040" s="72" t="str"/>
      <x:c r="N1040" s="72" t="str"/>
      <x:c r="O1040" s="72" t="str"/>
      <x:c r="P1040" s="72" t="str">
        <x:v>Available</x:v>
      </x:c>
      <x:c r="Q1040" s="72" t="n">
        <x:v>0</x:v>
      </x:c>
      <x:c r="R1040" s="55" t="str">
        <x:f>IF($D1040="","",ROUND(MAX(0,MIN(100,0.35*$J1040+0.2*$K1040+0.15*$L1040+0.15*$M1040+0.1*$N1040+0.05*$O1040-IF(OR($P1040="Out",$P1040="Suspended"),$Q1040,IF($P1040="Doubtful",$Q1040*0.5,IF($P1040="Limited",$Q1040*0.25,0))))),2))</x:f>
      </x:c>
      <x:c r="S1040" s="55" t="n">
        <x:f>IF($D1040="",0,ROUND(IF(OR($P1040="Out",$P1040="Suspended"),$Q1040*$H1040,IF($P1040="Doubtful",$Q1040*$H1040*0.5,IF($P1040="Limited",$Q1040*$H1040*0.25,0))),2))</x:f>
        <x:v>0</x:v>
      </x:c>
      <x:c r="T1040" s="55" t="str"/>
      <x:c r="U1040" s="51" t="str"/>
    </x:row>
    <x:row r="1041">
      <x:c r="A1041" s="51" t="str">
        <x:v>Jordan</x:v>
      </x:c>
      <x:c r="B1041" s="51" t="str">
        <x:v>J</x:v>
      </x:c>
      <x:c r="C1041" s="51" t="n">
        <x:v>23</x:v>
      </x:c>
      <x:c r="D1041" s="71" t="str"/>
      <x:c r="E1041" s="51" t="str">
        <x:v>Winger</x:v>
      </x:c>
      <x:c r="F1041" s="51" t="str">
        <x:v>Attack</x:v>
      </x:c>
      <x:c r="G1041" s="51" t="str">
        <x:v>Depth</x:v>
      </x:c>
      <x:c r="H1041" s="55" t="n">
        <x:v>0.1</x:v>
      </x:c>
      <x:c r="I1041" s="51" t="str"/>
      <x:c r="J1041" s="72" t="str"/>
      <x:c r="K1041" s="72" t="str"/>
      <x:c r="L1041" s="72" t="str"/>
      <x:c r="M1041" s="72" t="str"/>
      <x:c r="N1041" s="72" t="str"/>
      <x:c r="O1041" s="72" t="str"/>
      <x:c r="P1041" s="72" t="str">
        <x:v>Available</x:v>
      </x:c>
      <x:c r="Q1041" s="72" t="n">
        <x:v>0</x:v>
      </x:c>
      <x:c r="R1041" s="55" t="str">
        <x:f>IF($D1041="","",ROUND(MAX(0,MIN(100,0.35*$J1041+0.2*$K1041+0.15*$L1041+0.15*$M1041+0.1*$N1041+0.05*$O1041-IF(OR($P1041="Out",$P1041="Suspended"),$Q1041,IF($P1041="Doubtful",$Q1041*0.5,IF($P1041="Limited",$Q1041*0.25,0))))),2))</x:f>
      </x:c>
      <x:c r="S1041" s="55" t="n">
        <x:f>IF($D1041="",0,ROUND(IF(OR($P1041="Out",$P1041="Suspended"),$Q1041*$H1041,IF($P1041="Doubtful",$Q1041*$H1041*0.5,IF($P1041="Limited",$Q1041*$H1041*0.25,0))),2))</x:f>
        <x:v>0</x:v>
      </x:c>
      <x:c r="T1041" s="55" t="str"/>
      <x:c r="U1041" s="51" t="str"/>
    </x:row>
    <x:row r="1042">
      <x:c r="A1042" s="51" t="str">
        <x:v>Jordan</x:v>
      </x:c>
      <x:c r="B1042" s="51" t="str">
        <x:v>J</x:v>
      </x:c>
      <x:c r="C1042" s="51" t="n">
        <x:v>24</x:v>
      </x:c>
      <x:c r="D1042" s="71" t="str"/>
      <x:c r="E1042" s="51" t="str">
        <x:v>ST</x:v>
      </x:c>
      <x:c r="F1042" s="51" t="str">
        <x:v>Attack</x:v>
      </x:c>
      <x:c r="G1042" s="51" t="str">
        <x:v>Depth</x:v>
      </x:c>
      <x:c r="H1042" s="55" t="n">
        <x:v>0.1</x:v>
      </x:c>
      <x:c r="I1042" s="51" t="str"/>
      <x:c r="J1042" s="72" t="str"/>
      <x:c r="K1042" s="72" t="str"/>
      <x:c r="L1042" s="72" t="str"/>
      <x:c r="M1042" s="72" t="str"/>
      <x:c r="N1042" s="72" t="str"/>
      <x:c r="O1042" s="72" t="str"/>
      <x:c r="P1042" s="72" t="str">
        <x:v>Available</x:v>
      </x:c>
      <x:c r="Q1042" s="72" t="n">
        <x:v>0</x:v>
      </x:c>
      <x:c r="R1042" s="55" t="str">
        <x:f>IF($D1042="","",ROUND(MAX(0,MIN(100,0.35*$J1042+0.2*$K1042+0.15*$L1042+0.15*$M1042+0.1*$N1042+0.05*$O1042-IF(OR($P1042="Out",$P1042="Suspended"),$Q1042,IF($P1042="Doubtful",$Q1042*0.5,IF($P1042="Limited",$Q1042*0.25,0))))),2))</x:f>
      </x:c>
      <x:c r="S1042" s="55" t="n">
        <x:f>IF($D1042="",0,ROUND(IF(OR($P1042="Out",$P1042="Suspended"),$Q1042*$H1042,IF($P1042="Doubtful",$Q1042*$H1042*0.5,IF($P1042="Limited",$Q1042*$H1042*0.25,0))),2))</x:f>
        <x:v>0</x:v>
      </x:c>
      <x:c r="T1042" s="55" t="str"/>
      <x:c r="U1042" s="51" t="str"/>
    </x:row>
    <x:row r="1043">
      <x:c r="A1043" s="51" t="str">
        <x:v>Jordan</x:v>
      </x:c>
      <x:c r="B1043" s="51" t="str">
        <x:v>J</x:v>
      </x:c>
      <x:c r="C1043" s="51" t="n">
        <x:v>25</x:v>
      </x:c>
      <x:c r="D1043" s="71" t="str"/>
      <x:c r="E1043" s="51" t="str">
        <x:v>ST</x:v>
      </x:c>
      <x:c r="F1043" s="51" t="str">
        <x:v>Attack</x:v>
      </x:c>
      <x:c r="G1043" s="51" t="str">
        <x:v>Depth</x:v>
      </x:c>
      <x:c r="H1043" s="55" t="n">
        <x:v>0.1</x:v>
      </x:c>
      <x:c r="I1043" s="51" t="str"/>
      <x:c r="J1043" s="72" t="str"/>
      <x:c r="K1043" s="72" t="str"/>
      <x:c r="L1043" s="72" t="str"/>
      <x:c r="M1043" s="72" t="str"/>
      <x:c r="N1043" s="72" t="str"/>
      <x:c r="O1043" s="72" t="str"/>
      <x:c r="P1043" s="72" t="str">
        <x:v>Available</x:v>
      </x:c>
      <x:c r="Q1043" s="72" t="n">
        <x:v>0</x:v>
      </x:c>
      <x:c r="R1043" s="55" t="str">
        <x:f>IF($D1043="","",ROUND(MAX(0,MIN(100,0.35*$J1043+0.2*$K1043+0.15*$L1043+0.15*$M1043+0.1*$N1043+0.05*$O1043-IF(OR($P1043="Out",$P1043="Suspended"),$Q1043,IF($P1043="Doubtful",$Q1043*0.5,IF($P1043="Limited",$Q1043*0.25,0))))),2))</x:f>
      </x:c>
      <x:c r="S1043" s="55" t="n">
        <x:f>IF($D1043="",0,ROUND(IF(OR($P1043="Out",$P1043="Suspended"),$Q1043*$H1043,IF($P1043="Doubtful",$Q1043*$H1043*0.5,IF($P1043="Limited",$Q1043*$H1043*0.25,0))),2))</x:f>
        <x:v>0</x:v>
      </x:c>
      <x:c r="T1043" s="55" t="str"/>
      <x:c r="U1043" s="51" t="str"/>
    </x:row>
    <x:row r="1044">
      <x:c r="A1044" s="51" t="str">
        <x:v>Jordan</x:v>
      </x:c>
      <x:c r="B1044" s="51" t="str">
        <x:v>J</x:v>
      </x:c>
      <x:c r="C1044" s="51" t="n">
        <x:v>26</x:v>
      </x:c>
      <x:c r="D1044" s="71" t="str"/>
      <x:c r="E1044" s="51" t="str">
        <x:v>ST</x:v>
      </x:c>
      <x:c r="F1044" s="51" t="str">
        <x:v>Attack</x:v>
      </x:c>
      <x:c r="G1044" s="51" t="str">
        <x:v>Depth</x:v>
      </x:c>
      <x:c r="H1044" s="55" t="n">
        <x:v>0.1</x:v>
      </x:c>
      <x:c r="I1044" s="51" t="str"/>
      <x:c r="J1044" s="72" t="str"/>
      <x:c r="K1044" s="72" t="str"/>
      <x:c r="L1044" s="72" t="str"/>
      <x:c r="M1044" s="72" t="str"/>
      <x:c r="N1044" s="72" t="str"/>
      <x:c r="O1044" s="72" t="str"/>
      <x:c r="P1044" s="72" t="str">
        <x:v>Available</x:v>
      </x:c>
      <x:c r="Q1044" s="72" t="n">
        <x:v>0</x:v>
      </x:c>
      <x:c r="R1044" s="55" t="str">
        <x:f>IF($D1044="","",ROUND(MAX(0,MIN(100,0.35*$J1044+0.2*$K1044+0.15*$L1044+0.15*$M1044+0.1*$N1044+0.05*$O1044-IF(OR($P1044="Out",$P1044="Suspended"),$Q1044,IF($P1044="Doubtful",$Q1044*0.5,IF($P1044="Limited",$Q1044*0.25,0))))),2))</x:f>
      </x:c>
      <x:c r="S1044" s="55" t="n">
        <x:f>IF($D1044="",0,ROUND(IF(OR($P1044="Out",$P1044="Suspended"),$Q1044*$H1044,IF($P1044="Doubtful",$Q1044*$H1044*0.5,IF($P1044="Limited",$Q1044*$H1044*0.25,0))),2))</x:f>
        <x:v>0</x:v>
      </x:c>
      <x:c r="T1044" s="55" t="str"/>
      <x:c r="U1044" s="51" t="str"/>
    </x:row>
    <x:row r="1045">
      <x:c r="A1045" s="51" t="str">
        <x:v>Colombia</x:v>
      </x:c>
      <x:c r="B1045" s="51" t="str">
        <x:v>K</x:v>
      </x:c>
      <x:c r="C1045" s="51" t="n">
        <x:v>1</x:v>
      </x:c>
      <x:c r="D1045" s="71" t="str"/>
      <x:c r="E1045" s="51" t="str">
        <x:v>GK</x:v>
      </x:c>
      <x:c r="F1045" s="51" t="str">
        <x:v>GK</x:v>
      </x:c>
      <x:c r="G1045" s="51" t="str">
        <x:v>Starter</x:v>
      </x:c>
      <x:c r="H1045" s="55" t="n">
        <x:v>1</x:v>
      </x:c>
      <x:c r="I1045" s="51" t="str"/>
      <x:c r="J1045" s="72" t="str"/>
      <x:c r="K1045" s="72" t="str"/>
      <x:c r="L1045" s="72" t="str"/>
      <x:c r="M1045" s="72" t="str"/>
      <x:c r="N1045" s="72" t="str"/>
      <x:c r="O1045" s="72" t="str"/>
      <x:c r="P1045" s="72" t="str">
        <x:v>Available</x:v>
      </x:c>
      <x:c r="Q1045" s="72" t="n">
        <x:v>0</x:v>
      </x:c>
      <x:c r="R1045" s="55" t="str">
        <x:f>IF($D1045="","",ROUND(MAX(0,MIN(100,0.35*$J1045+0.2*$K1045+0.15*$L1045+0.15*$M1045+0.1*$N1045+0.05*$O1045-IF(OR($P1045="Out",$P1045="Suspended"),$Q1045,IF($P1045="Doubtful",$Q1045*0.5,IF($P1045="Limited",$Q1045*0.25,0))))),2))</x:f>
      </x:c>
      <x:c r="S1045" s="55" t="n">
        <x:f>IF($D1045="",0,ROUND(IF(OR($P1045="Out",$P1045="Suspended"),$Q1045*$H1045,IF($P1045="Doubtful",$Q1045*$H1045*0.5,IF($P1045="Limited",$Q1045*$H1045*0.25,0))),2))</x:f>
        <x:v>0</x:v>
      </x:c>
      <x:c r="T1045" s="55" t="str"/>
      <x:c r="U1045" s="51" t="str"/>
    </x:row>
    <x:row r="1046">
      <x:c r="A1046" s="51" t="str">
        <x:v>Colombia</x:v>
      </x:c>
      <x:c r="B1046" s="51" t="str">
        <x:v>K</x:v>
      </x:c>
      <x:c r="C1046" s="51" t="n">
        <x:v>2</x:v>
      </x:c>
      <x:c r="D1046" s="71" t="str"/>
      <x:c r="E1046" s="51" t="str">
        <x:v>GK</x:v>
      </x:c>
      <x:c r="F1046" s="51" t="str">
        <x:v>GK</x:v>
      </x:c>
      <x:c r="G1046" s="51" t="str">
        <x:v>Starter</x:v>
      </x:c>
      <x:c r="H1046" s="55" t="n">
        <x:v>1</x:v>
      </x:c>
      <x:c r="I1046" s="51" t="str"/>
      <x:c r="J1046" s="72" t="str"/>
      <x:c r="K1046" s="72" t="str"/>
      <x:c r="L1046" s="72" t="str"/>
      <x:c r="M1046" s="72" t="str"/>
      <x:c r="N1046" s="72" t="str"/>
      <x:c r="O1046" s="72" t="str"/>
      <x:c r="P1046" s="72" t="str">
        <x:v>Available</x:v>
      </x:c>
      <x:c r="Q1046" s="72" t="n">
        <x:v>0</x:v>
      </x:c>
      <x:c r="R1046" s="55" t="str">
        <x:f>IF($D1046="","",ROUND(MAX(0,MIN(100,0.35*$J1046+0.2*$K1046+0.15*$L1046+0.15*$M1046+0.1*$N1046+0.05*$O1046-IF(OR($P1046="Out",$P1046="Suspended"),$Q1046,IF($P1046="Doubtful",$Q1046*0.5,IF($P1046="Limited",$Q1046*0.25,0))))),2))</x:f>
      </x:c>
      <x:c r="S1046" s="55" t="n">
        <x:f>IF($D1046="",0,ROUND(IF(OR($P1046="Out",$P1046="Suspended"),$Q1046*$H1046,IF($P1046="Doubtful",$Q1046*$H1046*0.5,IF($P1046="Limited",$Q1046*$H1046*0.25,0))),2))</x:f>
        <x:v>0</x:v>
      </x:c>
      <x:c r="T1046" s="55" t="str"/>
      <x:c r="U1046" s="51" t="str"/>
    </x:row>
    <x:row r="1047">
      <x:c r="A1047" s="51" t="str">
        <x:v>Colombia</x:v>
      </x:c>
      <x:c r="B1047" s="51" t="str">
        <x:v>K</x:v>
      </x:c>
      <x:c r="C1047" s="51" t="n">
        <x:v>3</x:v>
      </x:c>
      <x:c r="D1047" s="71" t="str"/>
      <x:c r="E1047" s="51" t="str">
        <x:v>GK</x:v>
      </x:c>
      <x:c r="F1047" s="51" t="str">
        <x:v>GK</x:v>
      </x:c>
      <x:c r="G1047" s="51" t="str">
        <x:v>Starter</x:v>
      </x:c>
      <x:c r="H1047" s="55" t="n">
        <x:v>1</x:v>
      </x:c>
      <x:c r="I1047" s="51" t="str"/>
      <x:c r="J1047" s="72" t="str"/>
      <x:c r="K1047" s="72" t="str"/>
      <x:c r="L1047" s="72" t="str"/>
      <x:c r="M1047" s="72" t="str"/>
      <x:c r="N1047" s="72" t="str"/>
      <x:c r="O1047" s="72" t="str"/>
      <x:c r="P1047" s="72" t="str">
        <x:v>Available</x:v>
      </x:c>
      <x:c r="Q1047" s="72" t="n">
        <x:v>0</x:v>
      </x:c>
      <x:c r="R1047" s="55" t="str">
        <x:f>IF($D1047="","",ROUND(MAX(0,MIN(100,0.35*$J1047+0.2*$K1047+0.15*$L1047+0.15*$M1047+0.1*$N1047+0.05*$O1047-IF(OR($P1047="Out",$P1047="Suspended"),$Q1047,IF($P1047="Doubtful",$Q1047*0.5,IF($P1047="Limited",$Q1047*0.25,0))))),2))</x:f>
      </x:c>
      <x:c r="S1047" s="55" t="n">
        <x:f>IF($D1047="",0,ROUND(IF(OR($P1047="Out",$P1047="Suspended"),$Q1047*$H1047,IF($P1047="Doubtful",$Q1047*$H1047*0.5,IF($P1047="Limited",$Q1047*$H1047*0.25,0))),2))</x:f>
        <x:v>0</x:v>
      </x:c>
      <x:c r="T1047" s="55" t="str"/>
      <x:c r="U1047" s="51" t="str"/>
    </x:row>
    <x:row r="1048">
      <x:c r="A1048" s="51" t="str">
        <x:v>Colombia</x:v>
      </x:c>
      <x:c r="B1048" s="51" t="str">
        <x:v>K</x:v>
      </x:c>
      <x:c r="C1048" s="51" t="n">
        <x:v>4</x:v>
      </x:c>
      <x:c r="D1048" s="71" t="str"/>
      <x:c r="E1048" s="51" t="str">
        <x:v>CB</x:v>
      </x:c>
      <x:c r="F1048" s="51" t="str">
        <x:v>Defence</x:v>
      </x:c>
      <x:c r="G1048" s="51" t="str">
        <x:v>Starter</x:v>
      </x:c>
      <x:c r="H1048" s="55" t="n">
        <x:v>1</x:v>
      </x:c>
      <x:c r="I1048" s="51" t="str"/>
      <x:c r="J1048" s="72" t="str"/>
      <x:c r="K1048" s="72" t="str"/>
      <x:c r="L1048" s="72" t="str"/>
      <x:c r="M1048" s="72" t="str"/>
      <x:c r="N1048" s="72" t="str"/>
      <x:c r="O1048" s="72" t="str"/>
      <x:c r="P1048" s="72" t="str">
        <x:v>Available</x:v>
      </x:c>
      <x:c r="Q1048" s="72" t="n">
        <x:v>0</x:v>
      </x:c>
      <x:c r="R1048" s="55" t="str">
        <x:f>IF($D1048="","",ROUND(MAX(0,MIN(100,0.35*$J1048+0.2*$K1048+0.15*$L1048+0.15*$M1048+0.1*$N1048+0.05*$O1048-IF(OR($P1048="Out",$P1048="Suspended"),$Q1048,IF($P1048="Doubtful",$Q1048*0.5,IF($P1048="Limited",$Q1048*0.25,0))))),2))</x:f>
      </x:c>
      <x:c r="S1048" s="55" t="n">
        <x:f>IF($D1048="",0,ROUND(IF(OR($P1048="Out",$P1048="Suspended"),$Q1048*$H1048,IF($P1048="Doubtful",$Q1048*$H1048*0.5,IF($P1048="Limited",$Q1048*$H1048*0.25,0))),2))</x:f>
        <x:v>0</x:v>
      </x:c>
      <x:c r="T1048" s="55" t="str"/>
      <x:c r="U1048" s="51" t="str"/>
    </x:row>
    <x:row r="1049">
      <x:c r="A1049" s="51" t="str">
        <x:v>Colombia</x:v>
      </x:c>
      <x:c r="B1049" s="51" t="str">
        <x:v>K</x:v>
      </x:c>
      <x:c r="C1049" s="51" t="n">
        <x:v>5</x:v>
      </x:c>
      <x:c r="D1049" s="71" t="str"/>
      <x:c r="E1049" s="51" t="str">
        <x:v>CB</x:v>
      </x:c>
      <x:c r="F1049" s="51" t="str">
        <x:v>Defence</x:v>
      </x:c>
      <x:c r="G1049" s="51" t="str">
        <x:v>Starter</x:v>
      </x:c>
      <x:c r="H1049" s="55" t="n">
        <x:v>1</x:v>
      </x:c>
      <x:c r="I1049" s="51" t="str"/>
      <x:c r="J1049" s="72" t="str"/>
      <x:c r="K1049" s="72" t="str"/>
      <x:c r="L1049" s="72" t="str"/>
      <x:c r="M1049" s="72" t="str"/>
      <x:c r="N1049" s="72" t="str"/>
      <x:c r="O1049" s="72" t="str"/>
      <x:c r="P1049" s="72" t="str">
        <x:v>Available</x:v>
      </x:c>
      <x:c r="Q1049" s="72" t="n">
        <x:v>0</x:v>
      </x:c>
      <x:c r="R1049" s="55" t="str">
        <x:f>IF($D1049="","",ROUND(MAX(0,MIN(100,0.35*$J1049+0.2*$K1049+0.15*$L1049+0.15*$M1049+0.1*$N1049+0.05*$O1049-IF(OR($P1049="Out",$P1049="Suspended"),$Q1049,IF($P1049="Doubtful",$Q1049*0.5,IF($P1049="Limited",$Q1049*0.25,0))))),2))</x:f>
      </x:c>
      <x:c r="S1049" s="55" t="n">
        <x:f>IF($D1049="",0,ROUND(IF(OR($P1049="Out",$P1049="Suspended"),$Q1049*$H1049,IF($P1049="Doubtful",$Q1049*$H1049*0.5,IF($P1049="Limited",$Q1049*$H1049*0.25,0))),2))</x:f>
        <x:v>0</x:v>
      </x:c>
      <x:c r="T1049" s="55" t="str"/>
      <x:c r="U1049" s="51" t="str"/>
    </x:row>
    <x:row r="1050">
      <x:c r="A1050" s="51" t="str">
        <x:v>Colombia</x:v>
      </x:c>
      <x:c r="B1050" s="51" t="str">
        <x:v>K</x:v>
      </x:c>
      <x:c r="C1050" s="51" t="n">
        <x:v>6</x:v>
      </x:c>
      <x:c r="D1050" s="71" t="str"/>
      <x:c r="E1050" s="51" t="str">
        <x:v>CB</x:v>
      </x:c>
      <x:c r="F1050" s="51" t="str">
        <x:v>Defence</x:v>
      </x:c>
      <x:c r="G1050" s="51" t="str">
        <x:v>Starter</x:v>
      </x:c>
      <x:c r="H1050" s="55" t="n">
        <x:v>1</x:v>
      </x:c>
      <x:c r="I1050" s="51" t="str"/>
      <x:c r="J1050" s="72" t="str"/>
      <x:c r="K1050" s="72" t="str"/>
      <x:c r="L1050" s="72" t="str"/>
      <x:c r="M1050" s="72" t="str"/>
      <x:c r="N1050" s="72" t="str"/>
      <x:c r="O1050" s="72" t="str"/>
      <x:c r="P1050" s="72" t="str">
        <x:v>Available</x:v>
      </x:c>
      <x:c r="Q1050" s="72" t="n">
        <x:v>0</x:v>
      </x:c>
      <x:c r="R1050" s="55" t="str">
        <x:f>IF($D1050="","",ROUND(MAX(0,MIN(100,0.35*$J1050+0.2*$K1050+0.15*$L1050+0.15*$M1050+0.1*$N1050+0.05*$O1050-IF(OR($P1050="Out",$P1050="Suspended"),$Q1050,IF($P1050="Doubtful",$Q1050*0.5,IF($P1050="Limited",$Q1050*0.25,0))))),2))</x:f>
      </x:c>
      <x:c r="S1050" s="55" t="n">
        <x:f>IF($D1050="",0,ROUND(IF(OR($P1050="Out",$P1050="Suspended"),$Q1050*$H1050,IF($P1050="Doubtful",$Q1050*$H1050*0.5,IF($P1050="Limited",$Q1050*$H1050*0.25,0))),2))</x:f>
        <x:v>0</x:v>
      </x:c>
      <x:c r="T1050" s="55" t="str"/>
      <x:c r="U1050" s="51" t="str"/>
    </x:row>
    <x:row r="1051">
      <x:c r="A1051" s="51" t="str">
        <x:v>Colombia</x:v>
      </x:c>
      <x:c r="B1051" s="51" t="str">
        <x:v>K</x:v>
      </x:c>
      <x:c r="C1051" s="51" t="n">
        <x:v>7</x:v>
      </x:c>
      <x:c r="D1051" s="71" t="str"/>
      <x:c r="E1051" s="51" t="str">
        <x:v>FB</x:v>
      </x:c>
      <x:c r="F1051" s="51" t="str">
        <x:v>Defence</x:v>
      </x:c>
      <x:c r="G1051" s="51" t="str">
        <x:v>Starter</x:v>
      </x:c>
      <x:c r="H1051" s="55" t="n">
        <x:v>1</x:v>
      </x:c>
      <x:c r="I1051" s="51" t="str"/>
      <x:c r="J1051" s="72" t="str"/>
      <x:c r="K1051" s="72" t="str"/>
      <x:c r="L1051" s="72" t="str"/>
      <x:c r="M1051" s="72" t="str"/>
      <x:c r="N1051" s="72" t="str"/>
      <x:c r="O1051" s="72" t="str"/>
      <x:c r="P1051" s="72" t="str">
        <x:v>Available</x:v>
      </x:c>
      <x:c r="Q1051" s="72" t="n">
        <x:v>0</x:v>
      </x:c>
      <x:c r="R1051" s="55" t="str">
        <x:f>IF($D1051="","",ROUND(MAX(0,MIN(100,0.35*$J1051+0.2*$K1051+0.15*$L1051+0.15*$M1051+0.1*$N1051+0.05*$O1051-IF(OR($P1051="Out",$P1051="Suspended"),$Q1051,IF($P1051="Doubtful",$Q1051*0.5,IF($P1051="Limited",$Q1051*0.25,0))))),2))</x:f>
      </x:c>
      <x:c r="S1051" s="55" t="n">
        <x:f>IF($D1051="",0,ROUND(IF(OR($P1051="Out",$P1051="Suspended"),$Q1051*$H1051,IF($P1051="Doubtful",$Q1051*$H1051*0.5,IF($P1051="Limited",$Q1051*$H1051*0.25,0))),2))</x:f>
        <x:v>0</x:v>
      </x:c>
      <x:c r="T1051" s="55" t="str"/>
      <x:c r="U1051" s="51" t="str"/>
    </x:row>
    <x:row r="1052">
      <x:c r="A1052" s="51" t="str">
        <x:v>Colombia</x:v>
      </x:c>
      <x:c r="B1052" s="51" t="str">
        <x:v>K</x:v>
      </x:c>
      <x:c r="C1052" s="51" t="n">
        <x:v>8</x:v>
      </x:c>
      <x:c r="D1052" s="71" t="str"/>
      <x:c r="E1052" s="51" t="str">
        <x:v>FB</x:v>
      </x:c>
      <x:c r="F1052" s="51" t="str">
        <x:v>Defence</x:v>
      </x:c>
      <x:c r="G1052" s="51" t="str">
        <x:v>Starter</x:v>
      </x:c>
      <x:c r="H1052" s="55" t="n">
        <x:v>1</x:v>
      </x:c>
      <x:c r="I1052" s="51" t="str"/>
      <x:c r="J1052" s="72" t="str"/>
      <x:c r="K1052" s="72" t="str"/>
      <x:c r="L1052" s="72" t="str"/>
      <x:c r="M1052" s="72" t="str"/>
      <x:c r="N1052" s="72" t="str"/>
      <x:c r="O1052" s="72" t="str"/>
      <x:c r="P1052" s="72" t="str">
        <x:v>Available</x:v>
      </x:c>
      <x:c r="Q1052" s="72" t="n">
        <x:v>0</x:v>
      </x:c>
      <x:c r="R1052" s="55" t="str">
        <x:f>IF($D1052="","",ROUND(MAX(0,MIN(100,0.35*$J1052+0.2*$K1052+0.15*$L1052+0.15*$M1052+0.1*$N1052+0.05*$O1052-IF(OR($P1052="Out",$P1052="Suspended"),$Q1052,IF($P1052="Doubtful",$Q1052*0.5,IF($P1052="Limited",$Q1052*0.25,0))))),2))</x:f>
      </x:c>
      <x:c r="S1052" s="55" t="n">
        <x:f>IF($D1052="",0,ROUND(IF(OR($P1052="Out",$P1052="Suspended"),$Q1052*$H1052,IF($P1052="Doubtful",$Q1052*$H1052*0.5,IF($P1052="Limited",$Q1052*$H1052*0.25,0))),2))</x:f>
        <x:v>0</x:v>
      </x:c>
      <x:c r="T1052" s="55" t="str"/>
      <x:c r="U1052" s="51" t="str"/>
    </x:row>
    <x:row r="1053">
      <x:c r="A1053" s="51" t="str">
        <x:v>Colombia</x:v>
      </x:c>
      <x:c r="B1053" s="51" t="str">
        <x:v>K</x:v>
      </x:c>
      <x:c r="C1053" s="51" t="n">
        <x:v>9</x:v>
      </x:c>
      <x:c r="D1053" s="71" t="str"/>
      <x:c r="E1053" s="51" t="str">
        <x:v>DM</x:v>
      </x:c>
      <x:c r="F1053" s="51" t="str">
        <x:v>Midfield</x:v>
      </x:c>
      <x:c r="G1053" s="51" t="str">
        <x:v>Starter</x:v>
      </x:c>
      <x:c r="H1053" s="55" t="n">
        <x:v>1</x:v>
      </x:c>
      <x:c r="I1053" s="51" t="str"/>
      <x:c r="J1053" s="72" t="str"/>
      <x:c r="K1053" s="72" t="str"/>
      <x:c r="L1053" s="72" t="str"/>
      <x:c r="M1053" s="72" t="str"/>
      <x:c r="N1053" s="72" t="str"/>
      <x:c r="O1053" s="72" t="str"/>
      <x:c r="P1053" s="72" t="str">
        <x:v>Available</x:v>
      </x:c>
      <x:c r="Q1053" s="72" t="n">
        <x:v>0</x:v>
      </x:c>
      <x:c r="R1053" s="55" t="str">
        <x:f>IF($D1053="","",ROUND(MAX(0,MIN(100,0.35*$J1053+0.2*$K1053+0.15*$L1053+0.15*$M1053+0.1*$N1053+0.05*$O1053-IF(OR($P1053="Out",$P1053="Suspended"),$Q1053,IF($P1053="Doubtful",$Q1053*0.5,IF($P1053="Limited",$Q1053*0.25,0))))),2))</x:f>
      </x:c>
      <x:c r="S1053" s="55" t="n">
        <x:f>IF($D1053="",0,ROUND(IF(OR($P1053="Out",$P1053="Suspended"),$Q1053*$H1053,IF($P1053="Doubtful",$Q1053*$H1053*0.5,IF($P1053="Limited",$Q1053*$H1053*0.25,0))),2))</x:f>
        <x:v>0</x:v>
      </x:c>
      <x:c r="T1053" s="55" t="str"/>
      <x:c r="U1053" s="51" t="str"/>
    </x:row>
    <x:row r="1054">
      <x:c r="A1054" s="51" t="str">
        <x:v>Colombia</x:v>
      </x:c>
      <x:c r="B1054" s="51" t="str">
        <x:v>K</x:v>
      </x:c>
      <x:c r="C1054" s="51" t="n">
        <x:v>10</x:v>
      </x:c>
      <x:c r="D1054" s="71" t="str"/>
      <x:c r="E1054" s="51" t="str">
        <x:v>DM</x:v>
      </x:c>
      <x:c r="F1054" s="51" t="str">
        <x:v>Midfield</x:v>
      </x:c>
      <x:c r="G1054" s="51" t="str">
        <x:v>Starter</x:v>
      </x:c>
      <x:c r="H1054" s="55" t="n">
        <x:v>1</x:v>
      </x:c>
      <x:c r="I1054" s="51" t="str"/>
      <x:c r="J1054" s="72" t="str"/>
      <x:c r="K1054" s="72" t="str"/>
      <x:c r="L1054" s="72" t="str"/>
      <x:c r="M1054" s="72" t="str"/>
      <x:c r="N1054" s="72" t="str"/>
      <x:c r="O1054" s="72" t="str"/>
      <x:c r="P1054" s="72" t="str">
        <x:v>Available</x:v>
      </x:c>
      <x:c r="Q1054" s="72" t="n">
        <x:v>0</x:v>
      </x:c>
      <x:c r="R1054" s="55" t="str">
        <x:f>IF($D1054="","",ROUND(MAX(0,MIN(100,0.35*$J1054+0.2*$K1054+0.15*$L1054+0.15*$M1054+0.1*$N1054+0.05*$O1054-IF(OR($P1054="Out",$P1054="Suspended"),$Q1054,IF($P1054="Doubtful",$Q1054*0.5,IF($P1054="Limited",$Q1054*0.25,0))))),2))</x:f>
      </x:c>
      <x:c r="S1054" s="55" t="n">
        <x:f>IF($D1054="",0,ROUND(IF(OR($P1054="Out",$P1054="Suspended"),$Q1054*$H1054,IF($P1054="Doubtful",$Q1054*$H1054*0.5,IF($P1054="Limited",$Q1054*$H1054*0.25,0))),2))</x:f>
        <x:v>0</x:v>
      </x:c>
      <x:c r="T1054" s="55" t="str"/>
      <x:c r="U1054" s="51" t="str"/>
    </x:row>
    <x:row r="1055">
      <x:c r="A1055" s="51" t="str">
        <x:v>Colombia</x:v>
      </x:c>
      <x:c r="B1055" s="51" t="str">
        <x:v>K</x:v>
      </x:c>
      <x:c r="C1055" s="51" t="n">
        <x:v>11</x:v>
      </x:c>
      <x:c r="D1055" s="71" t="str"/>
      <x:c r="E1055" s="51" t="str">
        <x:v>DM</x:v>
      </x:c>
      <x:c r="F1055" s="51" t="str">
        <x:v>Midfield</x:v>
      </x:c>
      <x:c r="G1055" s="51" t="str">
        <x:v>Starter</x:v>
      </x:c>
      <x:c r="H1055" s="55" t="n">
        <x:v>1</x:v>
      </x:c>
      <x:c r="I1055" s="51" t="str"/>
      <x:c r="J1055" s="72" t="str"/>
      <x:c r="K1055" s="72" t="str"/>
      <x:c r="L1055" s="72" t="str"/>
      <x:c r="M1055" s="72" t="str"/>
      <x:c r="N1055" s="72" t="str"/>
      <x:c r="O1055" s="72" t="str"/>
      <x:c r="P1055" s="72" t="str">
        <x:v>Available</x:v>
      </x:c>
      <x:c r="Q1055" s="72" t="n">
        <x:v>0</x:v>
      </x:c>
      <x:c r="R1055" s="55" t="str">
        <x:f>IF($D1055="","",ROUND(MAX(0,MIN(100,0.35*$J1055+0.2*$K1055+0.15*$L1055+0.15*$M1055+0.1*$N1055+0.05*$O1055-IF(OR($P1055="Out",$P1055="Suspended"),$Q1055,IF($P1055="Doubtful",$Q1055*0.5,IF($P1055="Limited",$Q1055*0.25,0))))),2))</x:f>
      </x:c>
      <x:c r="S1055" s="55" t="n">
        <x:f>IF($D1055="",0,ROUND(IF(OR($P1055="Out",$P1055="Suspended"),$Q1055*$H1055,IF($P1055="Doubtful",$Q1055*$H1055*0.5,IF($P1055="Limited",$Q1055*$H1055*0.25,0))),2))</x:f>
        <x:v>0</x:v>
      </x:c>
      <x:c r="T1055" s="55" t="str"/>
      <x:c r="U1055" s="51" t="str"/>
    </x:row>
    <x:row r="1056">
      <x:c r="A1056" s="51" t="str">
        <x:v>Colombia</x:v>
      </x:c>
      <x:c r="B1056" s="51" t="str">
        <x:v>K</x:v>
      </x:c>
      <x:c r="C1056" s="51" t="n">
        <x:v>12</x:v>
      </x:c>
      <x:c r="D1056" s="71" t="str"/>
      <x:c r="E1056" s="51" t="str">
        <x:v>CM</x:v>
      </x:c>
      <x:c r="F1056" s="51" t="str">
        <x:v>Midfield</x:v>
      </x:c>
      <x:c r="G1056" s="51" t="str">
        <x:v>Rotation</x:v>
      </x:c>
      <x:c r="H1056" s="55" t="n">
        <x:v>0.35</x:v>
      </x:c>
      <x:c r="I1056" s="51" t="str"/>
      <x:c r="J1056" s="72" t="str"/>
      <x:c r="K1056" s="72" t="str"/>
      <x:c r="L1056" s="72" t="str"/>
      <x:c r="M1056" s="72" t="str"/>
      <x:c r="N1056" s="72" t="str"/>
      <x:c r="O1056" s="72" t="str"/>
      <x:c r="P1056" s="72" t="str">
        <x:v>Available</x:v>
      </x:c>
      <x:c r="Q1056" s="72" t="n">
        <x:v>0</x:v>
      </x:c>
      <x:c r="R1056" s="55" t="str">
        <x:f>IF($D1056="","",ROUND(MAX(0,MIN(100,0.35*$J1056+0.2*$K1056+0.15*$L1056+0.15*$M1056+0.1*$N1056+0.05*$O1056-IF(OR($P1056="Out",$P1056="Suspended"),$Q1056,IF($P1056="Doubtful",$Q1056*0.5,IF($P1056="Limited",$Q1056*0.25,0))))),2))</x:f>
      </x:c>
      <x:c r="S1056" s="55" t="n">
        <x:f>IF($D1056="",0,ROUND(IF(OR($P1056="Out",$P1056="Suspended"),$Q1056*$H1056,IF($P1056="Doubtful",$Q1056*$H1056*0.5,IF($P1056="Limited",$Q1056*$H1056*0.25,0))),2))</x:f>
        <x:v>0</x:v>
      </x:c>
      <x:c r="T1056" s="55" t="str"/>
      <x:c r="U1056" s="51" t="str"/>
    </x:row>
    <x:row r="1057">
      <x:c r="A1057" s="51" t="str">
        <x:v>Colombia</x:v>
      </x:c>
      <x:c r="B1057" s="51" t="str">
        <x:v>K</x:v>
      </x:c>
      <x:c r="C1057" s="51" t="n">
        <x:v>13</x:v>
      </x:c>
      <x:c r="D1057" s="71" t="str"/>
      <x:c r="E1057" s="51" t="str">
        <x:v>CM</x:v>
      </x:c>
      <x:c r="F1057" s="51" t="str">
        <x:v>Midfield</x:v>
      </x:c>
      <x:c r="G1057" s="51" t="str">
        <x:v>Rotation</x:v>
      </x:c>
      <x:c r="H1057" s="55" t="n">
        <x:v>0.35</x:v>
      </x:c>
      <x:c r="I1057" s="51" t="str"/>
      <x:c r="J1057" s="72" t="str"/>
      <x:c r="K1057" s="72" t="str"/>
      <x:c r="L1057" s="72" t="str"/>
      <x:c r="M1057" s="72" t="str"/>
      <x:c r="N1057" s="72" t="str"/>
      <x:c r="O1057" s="72" t="str"/>
      <x:c r="P1057" s="72" t="str">
        <x:v>Available</x:v>
      </x:c>
      <x:c r="Q1057" s="72" t="n">
        <x:v>0</x:v>
      </x:c>
      <x:c r="R1057" s="55" t="str">
        <x:f>IF($D1057="","",ROUND(MAX(0,MIN(100,0.35*$J1057+0.2*$K1057+0.15*$L1057+0.15*$M1057+0.1*$N1057+0.05*$O1057-IF(OR($P1057="Out",$P1057="Suspended"),$Q1057,IF($P1057="Doubtful",$Q1057*0.5,IF($P1057="Limited",$Q1057*0.25,0))))),2))</x:f>
      </x:c>
      <x:c r="S1057" s="55" t="n">
        <x:f>IF($D1057="",0,ROUND(IF(OR($P1057="Out",$P1057="Suspended"),$Q1057*$H1057,IF($P1057="Doubtful",$Q1057*$H1057*0.5,IF($P1057="Limited",$Q1057*$H1057*0.25,0))),2))</x:f>
        <x:v>0</x:v>
      </x:c>
      <x:c r="T1057" s="55" t="str"/>
      <x:c r="U1057" s="51" t="str"/>
    </x:row>
    <x:row r="1058">
      <x:c r="A1058" s="51" t="str">
        <x:v>Colombia</x:v>
      </x:c>
      <x:c r="B1058" s="51" t="str">
        <x:v>K</x:v>
      </x:c>
      <x:c r="C1058" s="51" t="n">
        <x:v>14</x:v>
      </x:c>
      <x:c r="D1058" s="71" t="str"/>
      <x:c r="E1058" s="51" t="str">
        <x:v>CM</x:v>
      </x:c>
      <x:c r="F1058" s="51" t="str">
        <x:v>Midfield</x:v>
      </x:c>
      <x:c r="G1058" s="51" t="str">
        <x:v>Rotation</x:v>
      </x:c>
      <x:c r="H1058" s="55" t="n">
        <x:v>0.35</x:v>
      </x:c>
      <x:c r="I1058" s="51" t="str"/>
      <x:c r="J1058" s="72" t="str"/>
      <x:c r="K1058" s="72" t="str"/>
      <x:c r="L1058" s="72" t="str"/>
      <x:c r="M1058" s="72" t="str"/>
      <x:c r="N1058" s="72" t="str"/>
      <x:c r="O1058" s="72" t="str"/>
      <x:c r="P1058" s="72" t="str">
        <x:v>Available</x:v>
      </x:c>
      <x:c r="Q1058" s="72" t="n">
        <x:v>0</x:v>
      </x:c>
      <x:c r="R1058" s="55" t="str">
        <x:f>IF($D1058="","",ROUND(MAX(0,MIN(100,0.35*$J1058+0.2*$K1058+0.15*$L1058+0.15*$M1058+0.1*$N1058+0.05*$O1058-IF(OR($P1058="Out",$P1058="Suspended"),$Q1058,IF($P1058="Doubtful",$Q1058*0.5,IF($P1058="Limited",$Q1058*0.25,0))))),2))</x:f>
      </x:c>
      <x:c r="S1058" s="55" t="n">
        <x:f>IF($D1058="",0,ROUND(IF(OR($P1058="Out",$P1058="Suspended"),$Q1058*$H1058,IF($P1058="Doubtful",$Q1058*$H1058*0.5,IF($P1058="Limited",$Q1058*$H1058*0.25,0))),2))</x:f>
        <x:v>0</x:v>
      </x:c>
      <x:c r="T1058" s="55" t="str"/>
      <x:c r="U1058" s="51" t="str"/>
    </x:row>
    <x:row r="1059">
      <x:c r="A1059" s="51" t="str">
        <x:v>Colombia</x:v>
      </x:c>
      <x:c r="B1059" s="51" t="str">
        <x:v>K</x:v>
      </x:c>
      <x:c r="C1059" s="51" t="n">
        <x:v>15</x:v>
      </x:c>
      <x:c r="D1059" s="71" t="str"/>
      <x:c r="E1059" s="51" t="str">
        <x:v>CM</x:v>
      </x:c>
      <x:c r="F1059" s="51" t="str">
        <x:v>Midfield</x:v>
      </x:c>
      <x:c r="G1059" s="51" t="str">
        <x:v>Rotation</x:v>
      </x:c>
      <x:c r="H1059" s="55" t="n">
        <x:v>0.35</x:v>
      </x:c>
      <x:c r="I1059" s="51" t="str"/>
      <x:c r="J1059" s="72" t="str"/>
      <x:c r="K1059" s="72" t="str"/>
      <x:c r="L1059" s="72" t="str"/>
      <x:c r="M1059" s="72" t="str"/>
      <x:c r="N1059" s="72" t="str"/>
      <x:c r="O1059" s="72" t="str"/>
      <x:c r="P1059" s="72" t="str">
        <x:v>Available</x:v>
      </x:c>
      <x:c r="Q1059" s="72" t="n">
        <x:v>0</x:v>
      </x:c>
      <x:c r="R1059" s="55" t="str">
        <x:f>IF($D1059="","",ROUND(MAX(0,MIN(100,0.35*$J1059+0.2*$K1059+0.15*$L1059+0.15*$M1059+0.1*$N1059+0.05*$O1059-IF(OR($P1059="Out",$P1059="Suspended"),$Q1059,IF($P1059="Doubtful",$Q1059*0.5,IF($P1059="Limited",$Q1059*0.25,0))))),2))</x:f>
      </x:c>
      <x:c r="S1059" s="55" t="n">
        <x:f>IF($D1059="",0,ROUND(IF(OR($P1059="Out",$P1059="Suspended"),$Q1059*$H1059,IF($P1059="Doubtful",$Q1059*$H1059*0.5,IF($P1059="Limited",$Q1059*$H1059*0.25,0))),2))</x:f>
        <x:v>0</x:v>
      </x:c>
      <x:c r="T1059" s="55" t="str"/>
      <x:c r="U1059" s="51" t="str"/>
    </x:row>
    <x:row r="1060">
      <x:c r="A1060" s="51" t="str">
        <x:v>Colombia</x:v>
      </x:c>
      <x:c r="B1060" s="51" t="str">
        <x:v>K</x:v>
      </x:c>
      <x:c r="C1060" s="51" t="n">
        <x:v>16</x:v>
      </x:c>
      <x:c r="D1060" s="71" t="str"/>
      <x:c r="E1060" s="51" t="str">
        <x:v>AM</x:v>
      </x:c>
      <x:c r="F1060" s="51" t="str">
        <x:v>Attack</x:v>
      </x:c>
      <x:c r="G1060" s="51" t="str">
        <x:v>Rotation</x:v>
      </x:c>
      <x:c r="H1060" s="55" t="n">
        <x:v>0.35</x:v>
      </x:c>
      <x:c r="I1060" s="51" t="str"/>
      <x:c r="J1060" s="72" t="str"/>
      <x:c r="K1060" s="72" t="str"/>
      <x:c r="L1060" s="72" t="str"/>
      <x:c r="M1060" s="72" t="str"/>
      <x:c r="N1060" s="72" t="str"/>
      <x:c r="O1060" s="72" t="str"/>
      <x:c r="P1060" s="72" t="str">
        <x:v>Available</x:v>
      </x:c>
      <x:c r="Q1060" s="72" t="n">
        <x:v>0</x:v>
      </x:c>
      <x:c r="R1060" s="55" t="str">
        <x:f>IF($D1060="","",ROUND(MAX(0,MIN(100,0.35*$J1060+0.2*$K1060+0.15*$L1060+0.15*$M1060+0.1*$N1060+0.05*$O1060-IF(OR($P1060="Out",$P1060="Suspended"),$Q1060,IF($P1060="Doubtful",$Q1060*0.5,IF($P1060="Limited",$Q1060*0.25,0))))),2))</x:f>
      </x:c>
      <x:c r="S1060" s="55" t="n">
        <x:f>IF($D1060="",0,ROUND(IF(OR($P1060="Out",$P1060="Suspended"),$Q1060*$H1060,IF($P1060="Doubtful",$Q1060*$H1060*0.5,IF($P1060="Limited",$Q1060*$H1060*0.25,0))),2))</x:f>
        <x:v>0</x:v>
      </x:c>
      <x:c r="T1060" s="55" t="str"/>
      <x:c r="U1060" s="51" t="str"/>
    </x:row>
    <x:row r="1061">
      <x:c r="A1061" s="51" t="str">
        <x:v>Colombia</x:v>
      </x:c>
      <x:c r="B1061" s="51" t="str">
        <x:v>K</x:v>
      </x:c>
      <x:c r="C1061" s="51" t="n">
        <x:v>17</x:v>
      </x:c>
      <x:c r="D1061" s="71" t="str"/>
      <x:c r="E1061" s="51" t="str">
        <x:v>AM</x:v>
      </x:c>
      <x:c r="F1061" s="51" t="str">
        <x:v>Attack</x:v>
      </x:c>
      <x:c r="G1061" s="51" t="str">
        <x:v>Rotation</x:v>
      </x:c>
      <x:c r="H1061" s="55" t="n">
        <x:v>0.35</x:v>
      </x:c>
      <x:c r="I1061" s="51" t="str"/>
      <x:c r="J1061" s="72" t="str"/>
      <x:c r="K1061" s="72" t="str"/>
      <x:c r="L1061" s="72" t="str"/>
      <x:c r="M1061" s="72" t="str"/>
      <x:c r="N1061" s="72" t="str"/>
      <x:c r="O1061" s="72" t="str"/>
      <x:c r="P1061" s="72" t="str">
        <x:v>Available</x:v>
      </x:c>
      <x:c r="Q1061" s="72" t="n">
        <x:v>0</x:v>
      </x:c>
      <x:c r="R1061" s="55" t="str">
        <x:f>IF($D1061="","",ROUND(MAX(0,MIN(100,0.35*$J1061+0.2*$K1061+0.15*$L1061+0.15*$M1061+0.1*$N1061+0.05*$O1061-IF(OR($P1061="Out",$P1061="Suspended"),$Q1061,IF($P1061="Doubtful",$Q1061*0.5,IF($P1061="Limited",$Q1061*0.25,0))))),2))</x:f>
      </x:c>
      <x:c r="S1061" s="55" t="n">
        <x:f>IF($D1061="",0,ROUND(IF(OR($P1061="Out",$P1061="Suspended"),$Q1061*$H1061,IF($P1061="Doubtful",$Q1061*$H1061*0.5,IF($P1061="Limited",$Q1061*$H1061*0.25,0))),2))</x:f>
        <x:v>0</x:v>
      </x:c>
      <x:c r="T1061" s="55" t="str"/>
      <x:c r="U1061" s="51" t="str"/>
    </x:row>
    <x:row r="1062">
      <x:c r="A1062" s="51" t="str">
        <x:v>Colombia</x:v>
      </x:c>
      <x:c r="B1062" s="51" t="str">
        <x:v>K</x:v>
      </x:c>
      <x:c r="C1062" s="51" t="n">
        <x:v>18</x:v>
      </x:c>
      <x:c r="D1062" s="71" t="str"/>
      <x:c r="E1062" s="51" t="str">
        <x:v>AM</x:v>
      </x:c>
      <x:c r="F1062" s="51" t="str">
        <x:v>Attack</x:v>
      </x:c>
      <x:c r="G1062" s="51" t="str">
        <x:v>Rotation</x:v>
      </x:c>
      <x:c r="H1062" s="55" t="n">
        <x:v>0.35</x:v>
      </x:c>
      <x:c r="I1062" s="51" t="str"/>
      <x:c r="J1062" s="72" t="str"/>
      <x:c r="K1062" s="72" t="str"/>
      <x:c r="L1062" s="72" t="str"/>
      <x:c r="M1062" s="72" t="str"/>
      <x:c r="N1062" s="72" t="str"/>
      <x:c r="O1062" s="72" t="str"/>
      <x:c r="P1062" s="72" t="str">
        <x:v>Available</x:v>
      </x:c>
      <x:c r="Q1062" s="72" t="n">
        <x:v>0</x:v>
      </x:c>
      <x:c r="R1062" s="55" t="str">
        <x:f>IF($D1062="","",ROUND(MAX(0,MIN(100,0.35*$J1062+0.2*$K1062+0.15*$L1062+0.15*$M1062+0.1*$N1062+0.05*$O1062-IF(OR($P1062="Out",$P1062="Suspended"),$Q1062,IF($P1062="Doubtful",$Q1062*0.5,IF($P1062="Limited",$Q1062*0.25,0))))),2))</x:f>
      </x:c>
      <x:c r="S1062" s="55" t="n">
        <x:f>IF($D1062="",0,ROUND(IF(OR($P1062="Out",$P1062="Suspended"),$Q1062*$H1062,IF($P1062="Doubtful",$Q1062*$H1062*0.5,IF($P1062="Limited",$Q1062*$H1062*0.25,0))),2))</x:f>
        <x:v>0</x:v>
      </x:c>
      <x:c r="T1062" s="55" t="str"/>
      <x:c r="U1062" s="51" t="str"/>
    </x:row>
    <x:row r="1063">
      <x:c r="A1063" s="51" t="str">
        <x:v>Colombia</x:v>
      </x:c>
      <x:c r="B1063" s="51" t="str">
        <x:v>K</x:v>
      </x:c>
      <x:c r="C1063" s="51" t="n">
        <x:v>19</x:v>
      </x:c>
      <x:c r="D1063" s="71" t="str"/>
      <x:c r="E1063" s="51" t="str">
        <x:v>AM</x:v>
      </x:c>
      <x:c r="F1063" s="51" t="str">
        <x:v>Attack</x:v>
      </x:c>
      <x:c r="G1063" s="51" t="str">
        <x:v>Rotation</x:v>
      </x:c>
      <x:c r="H1063" s="55" t="n">
        <x:v>0.35</x:v>
      </x:c>
      <x:c r="I1063" s="51" t="str"/>
      <x:c r="J1063" s="72" t="str"/>
      <x:c r="K1063" s="72" t="str"/>
      <x:c r="L1063" s="72" t="str"/>
      <x:c r="M1063" s="72" t="str"/>
      <x:c r="N1063" s="72" t="str"/>
      <x:c r="O1063" s="72" t="str"/>
      <x:c r="P1063" s="72" t="str">
        <x:v>Available</x:v>
      </x:c>
      <x:c r="Q1063" s="72" t="n">
        <x:v>0</x:v>
      </x:c>
      <x:c r="R1063" s="55" t="str">
        <x:f>IF($D1063="","",ROUND(MAX(0,MIN(100,0.35*$J1063+0.2*$K1063+0.15*$L1063+0.15*$M1063+0.1*$N1063+0.05*$O1063-IF(OR($P1063="Out",$P1063="Suspended"),$Q1063,IF($P1063="Doubtful",$Q1063*0.5,IF($P1063="Limited",$Q1063*0.25,0))))),2))</x:f>
      </x:c>
      <x:c r="S1063" s="55" t="n">
        <x:f>IF($D1063="",0,ROUND(IF(OR($P1063="Out",$P1063="Suspended"),$Q1063*$H1063,IF($P1063="Doubtful",$Q1063*$H1063*0.5,IF($P1063="Limited",$Q1063*$H1063*0.25,0))),2))</x:f>
        <x:v>0</x:v>
      </x:c>
      <x:c r="T1063" s="55" t="str"/>
      <x:c r="U1063" s="51" t="str"/>
    </x:row>
    <x:row r="1064">
      <x:c r="A1064" s="51" t="str">
        <x:v>Colombia</x:v>
      </x:c>
      <x:c r="B1064" s="51" t="str">
        <x:v>K</x:v>
      </x:c>
      <x:c r="C1064" s="51" t="n">
        <x:v>20</x:v>
      </x:c>
      <x:c r="D1064" s="71" t="str"/>
      <x:c r="E1064" s="51" t="str">
        <x:v>Winger</x:v>
      </x:c>
      <x:c r="F1064" s="51" t="str">
        <x:v>Attack</x:v>
      </x:c>
      <x:c r="G1064" s="51" t="str">
        <x:v>Rotation</x:v>
      </x:c>
      <x:c r="H1064" s="55" t="n">
        <x:v>0.35</x:v>
      </x:c>
      <x:c r="I1064" s="51" t="str"/>
      <x:c r="J1064" s="72" t="str"/>
      <x:c r="K1064" s="72" t="str"/>
      <x:c r="L1064" s="72" t="str"/>
      <x:c r="M1064" s="72" t="str"/>
      <x:c r="N1064" s="72" t="str"/>
      <x:c r="O1064" s="72" t="str"/>
      <x:c r="P1064" s="72" t="str">
        <x:v>Available</x:v>
      </x:c>
      <x:c r="Q1064" s="72" t="n">
        <x:v>0</x:v>
      </x:c>
      <x:c r="R1064" s="55" t="str">
        <x:f>IF($D1064="","",ROUND(MAX(0,MIN(100,0.35*$J1064+0.2*$K1064+0.15*$L1064+0.15*$M1064+0.1*$N1064+0.05*$O1064-IF(OR($P1064="Out",$P1064="Suspended"),$Q1064,IF($P1064="Doubtful",$Q1064*0.5,IF($P1064="Limited",$Q1064*0.25,0))))),2))</x:f>
      </x:c>
      <x:c r="S1064" s="55" t="n">
        <x:f>IF($D1064="",0,ROUND(IF(OR($P1064="Out",$P1064="Suspended"),$Q1064*$H1064,IF($P1064="Doubtful",$Q1064*$H1064*0.5,IF($P1064="Limited",$Q1064*$H1064*0.25,0))),2))</x:f>
        <x:v>0</x:v>
      </x:c>
      <x:c r="T1064" s="55" t="str"/>
      <x:c r="U1064" s="51" t="str"/>
    </x:row>
    <x:row r="1065">
      <x:c r="A1065" s="51" t="str">
        <x:v>Colombia</x:v>
      </x:c>
      <x:c r="B1065" s="51" t="str">
        <x:v>K</x:v>
      </x:c>
      <x:c r="C1065" s="51" t="n">
        <x:v>21</x:v>
      </x:c>
      <x:c r="D1065" s="71" t="str"/>
      <x:c r="E1065" s="51" t="str">
        <x:v>Winger</x:v>
      </x:c>
      <x:c r="F1065" s="51" t="str">
        <x:v>Attack</x:v>
      </x:c>
      <x:c r="G1065" s="51" t="str">
        <x:v>Depth</x:v>
      </x:c>
      <x:c r="H1065" s="55" t="n">
        <x:v>0.1</x:v>
      </x:c>
      <x:c r="I1065" s="51" t="str"/>
      <x:c r="J1065" s="72" t="str"/>
      <x:c r="K1065" s="72" t="str"/>
      <x:c r="L1065" s="72" t="str"/>
      <x:c r="M1065" s="72" t="str"/>
      <x:c r="N1065" s="72" t="str"/>
      <x:c r="O1065" s="72" t="str"/>
      <x:c r="P1065" s="72" t="str">
        <x:v>Available</x:v>
      </x:c>
      <x:c r="Q1065" s="72" t="n">
        <x:v>0</x:v>
      </x:c>
      <x:c r="R1065" s="55" t="str">
        <x:f>IF($D1065="","",ROUND(MAX(0,MIN(100,0.35*$J1065+0.2*$K1065+0.15*$L1065+0.15*$M1065+0.1*$N1065+0.05*$O1065-IF(OR($P1065="Out",$P1065="Suspended"),$Q1065,IF($P1065="Doubtful",$Q1065*0.5,IF($P1065="Limited",$Q1065*0.25,0))))),2))</x:f>
      </x:c>
      <x:c r="S1065" s="55" t="n">
        <x:f>IF($D1065="",0,ROUND(IF(OR($P1065="Out",$P1065="Suspended"),$Q1065*$H1065,IF($P1065="Doubtful",$Q1065*$H1065*0.5,IF($P1065="Limited",$Q1065*$H1065*0.25,0))),2))</x:f>
        <x:v>0</x:v>
      </x:c>
      <x:c r="T1065" s="55" t="str"/>
      <x:c r="U1065" s="51" t="str"/>
    </x:row>
    <x:row r="1066">
      <x:c r="A1066" s="51" t="str">
        <x:v>Colombia</x:v>
      </x:c>
      <x:c r="B1066" s="51" t="str">
        <x:v>K</x:v>
      </x:c>
      <x:c r="C1066" s="51" t="n">
        <x:v>22</x:v>
      </x:c>
      <x:c r="D1066" s="71" t="str"/>
      <x:c r="E1066" s="51" t="str">
        <x:v>Winger</x:v>
      </x:c>
      <x:c r="F1066" s="51" t="str">
        <x:v>Attack</x:v>
      </x:c>
      <x:c r="G1066" s="51" t="str">
        <x:v>Depth</x:v>
      </x:c>
      <x:c r="H1066" s="55" t="n">
        <x:v>0.1</x:v>
      </x:c>
      <x:c r="I1066" s="51" t="str"/>
      <x:c r="J1066" s="72" t="str"/>
      <x:c r="K1066" s="72" t="str"/>
      <x:c r="L1066" s="72" t="str"/>
      <x:c r="M1066" s="72" t="str"/>
      <x:c r="N1066" s="72" t="str"/>
      <x:c r="O1066" s="72" t="str"/>
      <x:c r="P1066" s="72" t="str">
        <x:v>Available</x:v>
      </x:c>
      <x:c r="Q1066" s="72" t="n">
        <x:v>0</x:v>
      </x:c>
      <x:c r="R1066" s="55" t="str">
        <x:f>IF($D1066="","",ROUND(MAX(0,MIN(100,0.35*$J1066+0.2*$K1066+0.15*$L1066+0.15*$M1066+0.1*$N1066+0.05*$O1066-IF(OR($P1066="Out",$P1066="Suspended"),$Q1066,IF($P1066="Doubtful",$Q1066*0.5,IF($P1066="Limited",$Q1066*0.25,0))))),2))</x:f>
      </x:c>
      <x:c r="S1066" s="55" t="n">
        <x:f>IF($D1066="",0,ROUND(IF(OR($P1066="Out",$P1066="Suspended"),$Q1066*$H1066,IF($P1066="Doubtful",$Q1066*$H1066*0.5,IF($P1066="Limited",$Q1066*$H1066*0.25,0))),2))</x:f>
        <x:v>0</x:v>
      </x:c>
      <x:c r="T1066" s="55" t="str"/>
      <x:c r="U1066" s="51" t="str"/>
    </x:row>
    <x:row r="1067">
      <x:c r="A1067" s="51" t="str">
        <x:v>Colombia</x:v>
      </x:c>
      <x:c r="B1067" s="51" t="str">
        <x:v>K</x:v>
      </x:c>
      <x:c r="C1067" s="51" t="n">
        <x:v>23</x:v>
      </x:c>
      <x:c r="D1067" s="71" t="str"/>
      <x:c r="E1067" s="51" t="str">
        <x:v>Winger</x:v>
      </x:c>
      <x:c r="F1067" s="51" t="str">
        <x:v>Attack</x:v>
      </x:c>
      <x:c r="G1067" s="51" t="str">
        <x:v>Depth</x:v>
      </x:c>
      <x:c r="H1067" s="55" t="n">
        <x:v>0.1</x:v>
      </x:c>
      <x:c r="I1067" s="51" t="str"/>
      <x:c r="J1067" s="72" t="str"/>
      <x:c r="K1067" s="72" t="str"/>
      <x:c r="L1067" s="72" t="str"/>
      <x:c r="M1067" s="72" t="str"/>
      <x:c r="N1067" s="72" t="str"/>
      <x:c r="O1067" s="72" t="str"/>
      <x:c r="P1067" s="72" t="str">
        <x:v>Available</x:v>
      </x:c>
      <x:c r="Q1067" s="72" t="n">
        <x:v>0</x:v>
      </x:c>
      <x:c r="R1067" s="55" t="str">
        <x:f>IF($D1067="","",ROUND(MAX(0,MIN(100,0.35*$J1067+0.2*$K1067+0.15*$L1067+0.15*$M1067+0.1*$N1067+0.05*$O1067-IF(OR($P1067="Out",$P1067="Suspended"),$Q1067,IF($P1067="Doubtful",$Q1067*0.5,IF($P1067="Limited",$Q1067*0.25,0))))),2))</x:f>
      </x:c>
      <x:c r="S1067" s="55" t="n">
        <x:f>IF($D1067="",0,ROUND(IF(OR($P1067="Out",$P1067="Suspended"),$Q1067*$H1067,IF($P1067="Doubtful",$Q1067*$H1067*0.5,IF($P1067="Limited",$Q1067*$H1067*0.25,0))),2))</x:f>
        <x:v>0</x:v>
      </x:c>
      <x:c r="T1067" s="55" t="str"/>
      <x:c r="U1067" s="51" t="str"/>
    </x:row>
    <x:row r="1068">
      <x:c r="A1068" s="51" t="str">
        <x:v>Colombia</x:v>
      </x:c>
      <x:c r="B1068" s="51" t="str">
        <x:v>K</x:v>
      </x:c>
      <x:c r="C1068" s="51" t="n">
        <x:v>24</x:v>
      </x:c>
      <x:c r="D1068" s="71" t="str"/>
      <x:c r="E1068" s="51" t="str">
        <x:v>ST</x:v>
      </x:c>
      <x:c r="F1068" s="51" t="str">
        <x:v>Attack</x:v>
      </x:c>
      <x:c r="G1068" s="51" t="str">
        <x:v>Depth</x:v>
      </x:c>
      <x:c r="H1068" s="55" t="n">
        <x:v>0.1</x:v>
      </x:c>
      <x:c r="I1068" s="51" t="str"/>
      <x:c r="J1068" s="72" t="str"/>
      <x:c r="K1068" s="72" t="str"/>
      <x:c r="L1068" s="72" t="str"/>
      <x:c r="M1068" s="72" t="str"/>
      <x:c r="N1068" s="72" t="str"/>
      <x:c r="O1068" s="72" t="str"/>
      <x:c r="P1068" s="72" t="str">
        <x:v>Available</x:v>
      </x:c>
      <x:c r="Q1068" s="72" t="n">
        <x:v>0</x:v>
      </x:c>
      <x:c r="R1068" s="55" t="str">
        <x:f>IF($D1068="","",ROUND(MAX(0,MIN(100,0.35*$J1068+0.2*$K1068+0.15*$L1068+0.15*$M1068+0.1*$N1068+0.05*$O1068-IF(OR($P1068="Out",$P1068="Suspended"),$Q1068,IF($P1068="Doubtful",$Q1068*0.5,IF($P1068="Limited",$Q1068*0.25,0))))),2))</x:f>
      </x:c>
      <x:c r="S1068" s="55" t="n">
        <x:f>IF($D1068="",0,ROUND(IF(OR($P1068="Out",$P1068="Suspended"),$Q1068*$H1068,IF($P1068="Doubtful",$Q1068*$H1068*0.5,IF($P1068="Limited",$Q1068*$H1068*0.25,0))),2))</x:f>
        <x:v>0</x:v>
      </x:c>
      <x:c r="T1068" s="55" t="str"/>
      <x:c r="U1068" s="51" t="str"/>
    </x:row>
    <x:row r="1069">
      <x:c r="A1069" s="51" t="str">
        <x:v>Colombia</x:v>
      </x:c>
      <x:c r="B1069" s="51" t="str">
        <x:v>K</x:v>
      </x:c>
      <x:c r="C1069" s="51" t="n">
        <x:v>25</x:v>
      </x:c>
      <x:c r="D1069" s="71" t="str"/>
      <x:c r="E1069" s="51" t="str">
        <x:v>ST</x:v>
      </x:c>
      <x:c r="F1069" s="51" t="str">
        <x:v>Attack</x:v>
      </x:c>
      <x:c r="G1069" s="51" t="str">
        <x:v>Depth</x:v>
      </x:c>
      <x:c r="H1069" s="55" t="n">
        <x:v>0.1</x:v>
      </x:c>
      <x:c r="I1069" s="51" t="str"/>
      <x:c r="J1069" s="72" t="str"/>
      <x:c r="K1069" s="72" t="str"/>
      <x:c r="L1069" s="72" t="str"/>
      <x:c r="M1069" s="72" t="str"/>
      <x:c r="N1069" s="72" t="str"/>
      <x:c r="O1069" s="72" t="str"/>
      <x:c r="P1069" s="72" t="str">
        <x:v>Available</x:v>
      </x:c>
      <x:c r="Q1069" s="72" t="n">
        <x:v>0</x:v>
      </x:c>
      <x:c r="R1069" s="55" t="str">
        <x:f>IF($D1069="","",ROUND(MAX(0,MIN(100,0.35*$J1069+0.2*$K1069+0.15*$L1069+0.15*$M1069+0.1*$N1069+0.05*$O1069-IF(OR($P1069="Out",$P1069="Suspended"),$Q1069,IF($P1069="Doubtful",$Q1069*0.5,IF($P1069="Limited",$Q1069*0.25,0))))),2))</x:f>
      </x:c>
      <x:c r="S1069" s="55" t="n">
        <x:f>IF($D1069="",0,ROUND(IF(OR($P1069="Out",$P1069="Suspended"),$Q1069*$H1069,IF($P1069="Doubtful",$Q1069*$H1069*0.5,IF($P1069="Limited",$Q1069*$H1069*0.25,0))),2))</x:f>
        <x:v>0</x:v>
      </x:c>
      <x:c r="T1069" s="55" t="str"/>
      <x:c r="U1069" s="51" t="str"/>
    </x:row>
    <x:row r="1070">
      <x:c r="A1070" s="51" t="str">
        <x:v>Colombia</x:v>
      </x:c>
      <x:c r="B1070" s="51" t="str">
        <x:v>K</x:v>
      </x:c>
      <x:c r="C1070" s="51" t="n">
        <x:v>26</x:v>
      </x:c>
      <x:c r="D1070" s="71" t="str"/>
      <x:c r="E1070" s="51" t="str">
        <x:v>ST</x:v>
      </x:c>
      <x:c r="F1070" s="51" t="str">
        <x:v>Attack</x:v>
      </x:c>
      <x:c r="G1070" s="51" t="str">
        <x:v>Depth</x:v>
      </x:c>
      <x:c r="H1070" s="55" t="n">
        <x:v>0.1</x:v>
      </x:c>
      <x:c r="I1070" s="51" t="str"/>
      <x:c r="J1070" s="72" t="str"/>
      <x:c r="K1070" s="72" t="str"/>
      <x:c r="L1070" s="72" t="str"/>
      <x:c r="M1070" s="72" t="str"/>
      <x:c r="N1070" s="72" t="str"/>
      <x:c r="O1070" s="72" t="str"/>
      <x:c r="P1070" s="72" t="str">
        <x:v>Available</x:v>
      </x:c>
      <x:c r="Q1070" s="72" t="n">
        <x:v>0</x:v>
      </x:c>
      <x:c r="R1070" s="55" t="str">
        <x:f>IF($D1070="","",ROUND(MAX(0,MIN(100,0.35*$J1070+0.2*$K1070+0.15*$L1070+0.15*$M1070+0.1*$N1070+0.05*$O1070-IF(OR($P1070="Out",$P1070="Suspended"),$Q1070,IF($P1070="Doubtful",$Q1070*0.5,IF($P1070="Limited",$Q1070*0.25,0))))),2))</x:f>
      </x:c>
      <x:c r="S1070" s="55" t="n">
        <x:f>IF($D1070="",0,ROUND(IF(OR($P1070="Out",$P1070="Suspended"),$Q1070*$H1070,IF($P1070="Doubtful",$Q1070*$H1070*0.5,IF($P1070="Limited",$Q1070*$H1070*0.25,0))),2))</x:f>
        <x:v>0</x:v>
      </x:c>
      <x:c r="T1070" s="55" t="str"/>
      <x:c r="U1070" s="51" t="str"/>
    </x:row>
    <x:row r="1071">
      <x:c r="A1071" s="51" t="str">
        <x:v>DR Congo</x:v>
      </x:c>
      <x:c r="B1071" s="51" t="str">
        <x:v>K</x:v>
      </x:c>
      <x:c r="C1071" s="51" t="n">
        <x:v>1</x:v>
      </x:c>
      <x:c r="D1071" s="71" t="str"/>
      <x:c r="E1071" s="51" t="str">
        <x:v>GK</x:v>
      </x:c>
      <x:c r="F1071" s="51" t="str">
        <x:v>GK</x:v>
      </x:c>
      <x:c r="G1071" s="51" t="str">
        <x:v>Starter</x:v>
      </x:c>
      <x:c r="H1071" s="55" t="n">
        <x:v>1</x:v>
      </x:c>
      <x:c r="I1071" s="51" t="str"/>
      <x:c r="J1071" s="72" t="str"/>
      <x:c r="K1071" s="72" t="str"/>
      <x:c r="L1071" s="72" t="str"/>
      <x:c r="M1071" s="72" t="str"/>
      <x:c r="N1071" s="72" t="str"/>
      <x:c r="O1071" s="72" t="str"/>
      <x:c r="P1071" s="72" t="str">
        <x:v>Available</x:v>
      </x:c>
      <x:c r="Q1071" s="72" t="n">
        <x:v>0</x:v>
      </x:c>
      <x:c r="R1071" s="55" t="str">
        <x:f>IF($D1071="","",ROUND(MAX(0,MIN(100,0.35*$J1071+0.2*$K1071+0.15*$L1071+0.15*$M1071+0.1*$N1071+0.05*$O1071-IF(OR($P1071="Out",$P1071="Suspended"),$Q1071,IF($P1071="Doubtful",$Q1071*0.5,IF($P1071="Limited",$Q1071*0.25,0))))),2))</x:f>
      </x:c>
      <x:c r="S1071" s="55" t="n">
        <x:f>IF($D1071="",0,ROUND(IF(OR($P1071="Out",$P1071="Suspended"),$Q1071*$H1071,IF($P1071="Doubtful",$Q1071*$H1071*0.5,IF($P1071="Limited",$Q1071*$H1071*0.25,0))),2))</x:f>
        <x:v>0</x:v>
      </x:c>
      <x:c r="T1071" s="55" t="str"/>
      <x:c r="U1071" s="51" t="str"/>
    </x:row>
    <x:row r="1072">
      <x:c r="A1072" s="51" t="str">
        <x:v>DR Congo</x:v>
      </x:c>
      <x:c r="B1072" s="51" t="str">
        <x:v>K</x:v>
      </x:c>
      <x:c r="C1072" s="51" t="n">
        <x:v>2</x:v>
      </x:c>
      <x:c r="D1072" s="71" t="str"/>
      <x:c r="E1072" s="51" t="str">
        <x:v>GK</x:v>
      </x:c>
      <x:c r="F1072" s="51" t="str">
        <x:v>GK</x:v>
      </x:c>
      <x:c r="G1072" s="51" t="str">
        <x:v>Starter</x:v>
      </x:c>
      <x:c r="H1072" s="55" t="n">
        <x:v>1</x:v>
      </x:c>
      <x:c r="I1072" s="51" t="str"/>
      <x:c r="J1072" s="72" t="str"/>
      <x:c r="K1072" s="72" t="str"/>
      <x:c r="L1072" s="72" t="str"/>
      <x:c r="M1072" s="72" t="str"/>
      <x:c r="N1072" s="72" t="str"/>
      <x:c r="O1072" s="72" t="str"/>
      <x:c r="P1072" s="72" t="str">
        <x:v>Available</x:v>
      </x:c>
      <x:c r="Q1072" s="72" t="n">
        <x:v>0</x:v>
      </x:c>
      <x:c r="R1072" s="55" t="str">
        <x:f>IF($D1072="","",ROUND(MAX(0,MIN(100,0.35*$J1072+0.2*$K1072+0.15*$L1072+0.15*$M1072+0.1*$N1072+0.05*$O1072-IF(OR($P1072="Out",$P1072="Suspended"),$Q1072,IF($P1072="Doubtful",$Q1072*0.5,IF($P1072="Limited",$Q1072*0.25,0))))),2))</x:f>
      </x:c>
      <x:c r="S1072" s="55" t="n">
        <x:f>IF($D1072="",0,ROUND(IF(OR($P1072="Out",$P1072="Suspended"),$Q1072*$H1072,IF($P1072="Doubtful",$Q1072*$H1072*0.5,IF($P1072="Limited",$Q1072*$H1072*0.25,0))),2))</x:f>
        <x:v>0</x:v>
      </x:c>
      <x:c r="T1072" s="55" t="str"/>
      <x:c r="U1072" s="51" t="str"/>
    </x:row>
    <x:row r="1073">
      <x:c r="A1073" s="51" t="str">
        <x:v>DR Congo</x:v>
      </x:c>
      <x:c r="B1073" s="51" t="str">
        <x:v>K</x:v>
      </x:c>
      <x:c r="C1073" s="51" t="n">
        <x:v>3</x:v>
      </x:c>
      <x:c r="D1073" s="71" t="str"/>
      <x:c r="E1073" s="51" t="str">
        <x:v>GK</x:v>
      </x:c>
      <x:c r="F1073" s="51" t="str">
        <x:v>GK</x:v>
      </x:c>
      <x:c r="G1073" s="51" t="str">
        <x:v>Starter</x:v>
      </x:c>
      <x:c r="H1073" s="55" t="n">
        <x:v>1</x:v>
      </x:c>
      <x:c r="I1073" s="51" t="str"/>
      <x:c r="J1073" s="72" t="str"/>
      <x:c r="K1073" s="72" t="str"/>
      <x:c r="L1073" s="72" t="str"/>
      <x:c r="M1073" s="72" t="str"/>
      <x:c r="N1073" s="72" t="str"/>
      <x:c r="O1073" s="72" t="str"/>
      <x:c r="P1073" s="72" t="str">
        <x:v>Available</x:v>
      </x:c>
      <x:c r="Q1073" s="72" t="n">
        <x:v>0</x:v>
      </x:c>
      <x:c r="R1073" s="55" t="str">
        <x:f>IF($D1073="","",ROUND(MAX(0,MIN(100,0.35*$J1073+0.2*$K1073+0.15*$L1073+0.15*$M1073+0.1*$N1073+0.05*$O1073-IF(OR($P1073="Out",$P1073="Suspended"),$Q1073,IF($P1073="Doubtful",$Q1073*0.5,IF($P1073="Limited",$Q1073*0.25,0))))),2))</x:f>
      </x:c>
      <x:c r="S1073" s="55" t="n">
        <x:f>IF($D1073="",0,ROUND(IF(OR($P1073="Out",$P1073="Suspended"),$Q1073*$H1073,IF($P1073="Doubtful",$Q1073*$H1073*0.5,IF($P1073="Limited",$Q1073*$H1073*0.25,0))),2))</x:f>
        <x:v>0</x:v>
      </x:c>
      <x:c r="T1073" s="55" t="str"/>
      <x:c r="U1073" s="51" t="str"/>
    </x:row>
    <x:row r="1074">
      <x:c r="A1074" s="51" t="str">
        <x:v>DR Congo</x:v>
      </x:c>
      <x:c r="B1074" s="51" t="str">
        <x:v>K</x:v>
      </x:c>
      <x:c r="C1074" s="51" t="n">
        <x:v>4</x:v>
      </x:c>
      <x:c r="D1074" s="71" t="str"/>
      <x:c r="E1074" s="51" t="str">
        <x:v>CB</x:v>
      </x:c>
      <x:c r="F1074" s="51" t="str">
        <x:v>Defence</x:v>
      </x:c>
      <x:c r="G1074" s="51" t="str">
        <x:v>Starter</x:v>
      </x:c>
      <x:c r="H1074" s="55" t="n">
        <x:v>1</x:v>
      </x:c>
      <x:c r="I1074" s="51" t="str"/>
      <x:c r="J1074" s="72" t="str"/>
      <x:c r="K1074" s="72" t="str"/>
      <x:c r="L1074" s="72" t="str"/>
      <x:c r="M1074" s="72" t="str"/>
      <x:c r="N1074" s="72" t="str"/>
      <x:c r="O1074" s="72" t="str"/>
      <x:c r="P1074" s="72" t="str">
        <x:v>Available</x:v>
      </x:c>
      <x:c r="Q1074" s="72" t="n">
        <x:v>0</x:v>
      </x:c>
      <x:c r="R1074" s="55" t="str">
        <x:f>IF($D1074="","",ROUND(MAX(0,MIN(100,0.35*$J1074+0.2*$K1074+0.15*$L1074+0.15*$M1074+0.1*$N1074+0.05*$O1074-IF(OR($P1074="Out",$P1074="Suspended"),$Q1074,IF($P1074="Doubtful",$Q1074*0.5,IF($P1074="Limited",$Q1074*0.25,0))))),2))</x:f>
      </x:c>
      <x:c r="S1074" s="55" t="n">
        <x:f>IF($D1074="",0,ROUND(IF(OR($P1074="Out",$P1074="Suspended"),$Q1074*$H1074,IF($P1074="Doubtful",$Q1074*$H1074*0.5,IF($P1074="Limited",$Q1074*$H1074*0.25,0))),2))</x:f>
        <x:v>0</x:v>
      </x:c>
      <x:c r="T1074" s="55" t="str"/>
      <x:c r="U1074" s="51" t="str"/>
    </x:row>
    <x:row r="1075">
      <x:c r="A1075" s="51" t="str">
        <x:v>DR Congo</x:v>
      </x:c>
      <x:c r="B1075" s="51" t="str">
        <x:v>K</x:v>
      </x:c>
      <x:c r="C1075" s="51" t="n">
        <x:v>5</x:v>
      </x:c>
      <x:c r="D1075" s="71" t="str"/>
      <x:c r="E1075" s="51" t="str">
        <x:v>CB</x:v>
      </x:c>
      <x:c r="F1075" s="51" t="str">
        <x:v>Defence</x:v>
      </x:c>
      <x:c r="G1075" s="51" t="str">
        <x:v>Starter</x:v>
      </x:c>
      <x:c r="H1075" s="55" t="n">
        <x:v>1</x:v>
      </x:c>
      <x:c r="I1075" s="51" t="str"/>
      <x:c r="J1075" s="72" t="str"/>
      <x:c r="K1075" s="72" t="str"/>
      <x:c r="L1075" s="72" t="str"/>
      <x:c r="M1075" s="72" t="str"/>
      <x:c r="N1075" s="72" t="str"/>
      <x:c r="O1075" s="72" t="str"/>
      <x:c r="P1075" s="72" t="str">
        <x:v>Available</x:v>
      </x:c>
      <x:c r="Q1075" s="72" t="n">
        <x:v>0</x:v>
      </x:c>
      <x:c r="R1075" s="55" t="str">
        <x:f>IF($D1075="","",ROUND(MAX(0,MIN(100,0.35*$J1075+0.2*$K1075+0.15*$L1075+0.15*$M1075+0.1*$N1075+0.05*$O1075-IF(OR($P1075="Out",$P1075="Suspended"),$Q1075,IF($P1075="Doubtful",$Q1075*0.5,IF($P1075="Limited",$Q1075*0.25,0))))),2))</x:f>
      </x:c>
      <x:c r="S1075" s="55" t="n">
        <x:f>IF($D1075="",0,ROUND(IF(OR($P1075="Out",$P1075="Suspended"),$Q1075*$H1075,IF($P1075="Doubtful",$Q1075*$H1075*0.5,IF($P1075="Limited",$Q1075*$H1075*0.25,0))),2))</x:f>
        <x:v>0</x:v>
      </x:c>
      <x:c r="T1075" s="55" t="str"/>
      <x:c r="U1075" s="51" t="str"/>
    </x:row>
    <x:row r="1076">
      <x:c r="A1076" s="51" t="str">
        <x:v>DR Congo</x:v>
      </x:c>
      <x:c r="B1076" s="51" t="str">
        <x:v>K</x:v>
      </x:c>
      <x:c r="C1076" s="51" t="n">
        <x:v>6</x:v>
      </x:c>
      <x:c r="D1076" s="71" t="str"/>
      <x:c r="E1076" s="51" t="str">
        <x:v>CB</x:v>
      </x:c>
      <x:c r="F1076" s="51" t="str">
        <x:v>Defence</x:v>
      </x:c>
      <x:c r="G1076" s="51" t="str">
        <x:v>Starter</x:v>
      </x:c>
      <x:c r="H1076" s="55" t="n">
        <x:v>1</x:v>
      </x:c>
      <x:c r="I1076" s="51" t="str"/>
      <x:c r="J1076" s="72" t="str"/>
      <x:c r="K1076" s="72" t="str"/>
      <x:c r="L1076" s="72" t="str"/>
      <x:c r="M1076" s="72" t="str"/>
      <x:c r="N1076" s="72" t="str"/>
      <x:c r="O1076" s="72" t="str"/>
      <x:c r="P1076" s="72" t="str">
        <x:v>Available</x:v>
      </x:c>
      <x:c r="Q1076" s="72" t="n">
        <x:v>0</x:v>
      </x:c>
      <x:c r="R1076" s="55" t="str">
        <x:f>IF($D1076="","",ROUND(MAX(0,MIN(100,0.35*$J1076+0.2*$K1076+0.15*$L1076+0.15*$M1076+0.1*$N1076+0.05*$O1076-IF(OR($P1076="Out",$P1076="Suspended"),$Q1076,IF($P1076="Doubtful",$Q1076*0.5,IF($P1076="Limited",$Q1076*0.25,0))))),2))</x:f>
      </x:c>
      <x:c r="S1076" s="55" t="n">
        <x:f>IF($D1076="",0,ROUND(IF(OR($P1076="Out",$P1076="Suspended"),$Q1076*$H1076,IF($P1076="Doubtful",$Q1076*$H1076*0.5,IF($P1076="Limited",$Q1076*$H1076*0.25,0))),2))</x:f>
        <x:v>0</x:v>
      </x:c>
      <x:c r="T1076" s="55" t="str"/>
      <x:c r="U1076" s="51" t="str"/>
    </x:row>
    <x:row r="1077">
      <x:c r="A1077" s="51" t="str">
        <x:v>DR Congo</x:v>
      </x:c>
      <x:c r="B1077" s="51" t="str">
        <x:v>K</x:v>
      </x:c>
      <x:c r="C1077" s="51" t="n">
        <x:v>7</x:v>
      </x:c>
      <x:c r="D1077" s="71" t="str"/>
      <x:c r="E1077" s="51" t="str">
        <x:v>FB</x:v>
      </x:c>
      <x:c r="F1077" s="51" t="str">
        <x:v>Defence</x:v>
      </x:c>
      <x:c r="G1077" s="51" t="str">
        <x:v>Starter</x:v>
      </x:c>
      <x:c r="H1077" s="55" t="n">
        <x:v>1</x:v>
      </x:c>
      <x:c r="I1077" s="51" t="str"/>
      <x:c r="J1077" s="72" t="str"/>
      <x:c r="K1077" s="72" t="str"/>
      <x:c r="L1077" s="72" t="str"/>
      <x:c r="M1077" s="72" t="str"/>
      <x:c r="N1077" s="72" t="str"/>
      <x:c r="O1077" s="72" t="str"/>
      <x:c r="P1077" s="72" t="str">
        <x:v>Available</x:v>
      </x:c>
      <x:c r="Q1077" s="72" t="n">
        <x:v>0</x:v>
      </x:c>
      <x:c r="R1077" s="55" t="str">
        <x:f>IF($D1077="","",ROUND(MAX(0,MIN(100,0.35*$J1077+0.2*$K1077+0.15*$L1077+0.15*$M1077+0.1*$N1077+0.05*$O1077-IF(OR($P1077="Out",$P1077="Suspended"),$Q1077,IF($P1077="Doubtful",$Q1077*0.5,IF($P1077="Limited",$Q1077*0.25,0))))),2))</x:f>
      </x:c>
      <x:c r="S1077" s="55" t="n">
        <x:f>IF($D1077="",0,ROUND(IF(OR($P1077="Out",$P1077="Suspended"),$Q1077*$H1077,IF($P1077="Doubtful",$Q1077*$H1077*0.5,IF($P1077="Limited",$Q1077*$H1077*0.25,0))),2))</x:f>
        <x:v>0</x:v>
      </x:c>
      <x:c r="T1077" s="55" t="str"/>
      <x:c r="U1077" s="51" t="str"/>
    </x:row>
    <x:row r="1078">
      <x:c r="A1078" s="51" t="str">
        <x:v>DR Congo</x:v>
      </x:c>
      <x:c r="B1078" s="51" t="str">
        <x:v>K</x:v>
      </x:c>
      <x:c r="C1078" s="51" t="n">
        <x:v>8</x:v>
      </x:c>
      <x:c r="D1078" s="71" t="str"/>
      <x:c r="E1078" s="51" t="str">
        <x:v>FB</x:v>
      </x:c>
      <x:c r="F1078" s="51" t="str">
        <x:v>Defence</x:v>
      </x:c>
      <x:c r="G1078" s="51" t="str">
        <x:v>Starter</x:v>
      </x:c>
      <x:c r="H1078" s="55" t="n">
        <x:v>1</x:v>
      </x:c>
      <x:c r="I1078" s="51" t="str"/>
      <x:c r="J1078" s="72" t="str"/>
      <x:c r="K1078" s="72" t="str"/>
      <x:c r="L1078" s="72" t="str"/>
      <x:c r="M1078" s="72" t="str"/>
      <x:c r="N1078" s="72" t="str"/>
      <x:c r="O1078" s="72" t="str"/>
      <x:c r="P1078" s="72" t="str">
        <x:v>Available</x:v>
      </x:c>
      <x:c r="Q1078" s="72" t="n">
        <x:v>0</x:v>
      </x:c>
      <x:c r="R1078" s="55" t="str">
        <x:f>IF($D1078="","",ROUND(MAX(0,MIN(100,0.35*$J1078+0.2*$K1078+0.15*$L1078+0.15*$M1078+0.1*$N1078+0.05*$O1078-IF(OR($P1078="Out",$P1078="Suspended"),$Q1078,IF($P1078="Doubtful",$Q1078*0.5,IF($P1078="Limited",$Q1078*0.25,0))))),2))</x:f>
      </x:c>
      <x:c r="S1078" s="55" t="n">
        <x:f>IF($D1078="",0,ROUND(IF(OR($P1078="Out",$P1078="Suspended"),$Q1078*$H1078,IF($P1078="Doubtful",$Q1078*$H1078*0.5,IF($P1078="Limited",$Q1078*$H1078*0.25,0))),2))</x:f>
        <x:v>0</x:v>
      </x:c>
      <x:c r="T1078" s="55" t="str"/>
      <x:c r="U1078" s="51" t="str"/>
    </x:row>
    <x:row r="1079">
      <x:c r="A1079" s="51" t="str">
        <x:v>DR Congo</x:v>
      </x:c>
      <x:c r="B1079" s="51" t="str">
        <x:v>K</x:v>
      </x:c>
      <x:c r="C1079" s="51" t="n">
        <x:v>9</x:v>
      </x:c>
      <x:c r="D1079" s="71" t="str"/>
      <x:c r="E1079" s="51" t="str">
        <x:v>DM</x:v>
      </x:c>
      <x:c r="F1079" s="51" t="str">
        <x:v>Midfield</x:v>
      </x:c>
      <x:c r="G1079" s="51" t="str">
        <x:v>Starter</x:v>
      </x:c>
      <x:c r="H1079" s="55" t="n">
        <x:v>1</x:v>
      </x:c>
      <x:c r="I1079" s="51" t="str"/>
      <x:c r="J1079" s="72" t="str"/>
      <x:c r="K1079" s="72" t="str"/>
      <x:c r="L1079" s="72" t="str"/>
      <x:c r="M1079" s="72" t="str"/>
      <x:c r="N1079" s="72" t="str"/>
      <x:c r="O1079" s="72" t="str"/>
      <x:c r="P1079" s="72" t="str">
        <x:v>Available</x:v>
      </x:c>
      <x:c r="Q1079" s="72" t="n">
        <x:v>0</x:v>
      </x:c>
      <x:c r="R1079" s="55" t="str">
        <x:f>IF($D1079="","",ROUND(MAX(0,MIN(100,0.35*$J1079+0.2*$K1079+0.15*$L1079+0.15*$M1079+0.1*$N1079+0.05*$O1079-IF(OR($P1079="Out",$P1079="Suspended"),$Q1079,IF($P1079="Doubtful",$Q1079*0.5,IF($P1079="Limited",$Q1079*0.25,0))))),2))</x:f>
      </x:c>
      <x:c r="S1079" s="55" t="n">
        <x:f>IF($D1079="",0,ROUND(IF(OR($P1079="Out",$P1079="Suspended"),$Q1079*$H1079,IF($P1079="Doubtful",$Q1079*$H1079*0.5,IF($P1079="Limited",$Q1079*$H1079*0.25,0))),2))</x:f>
        <x:v>0</x:v>
      </x:c>
      <x:c r="T1079" s="55" t="str"/>
      <x:c r="U1079" s="51" t="str"/>
    </x:row>
    <x:row r="1080">
      <x:c r="A1080" s="51" t="str">
        <x:v>DR Congo</x:v>
      </x:c>
      <x:c r="B1080" s="51" t="str">
        <x:v>K</x:v>
      </x:c>
      <x:c r="C1080" s="51" t="n">
        <x:v>10</x:v>
      </x:c>
      <x:c r="D1080" s="71" t="str"/>
      <x:c r="E1080" s="51" t="str">
        <x:v>DM</x:v>
      </x:c>
      <x:c r="F1080" s="51" t="str">
        <x:v>Midfield</x:v>
      </x:c>
      <x:c r="G1080" s="51" t="str">
        <x:v>Starter</x:v>
      </x:c>
      <x:c r="H1080" s="55" t="n">
        <x:v>1</x:v>
      </x:c>
      <x:c r="I1080" s="51" t="str"/>
      <x:c r="J1080" s="72" t="str"/>
      <x:c r="K1080" s="72" t="str"/>
      <x:c r="L1080" s="72" t="str"/>
      <x:c r="M1080" s="72" t="str"/>
      <x:c r="N1080" s="72" t="str"/>
      <x:c r="O1080" s="72" t="str"/>
      <x:c r="P1080" s="72" t="str">
        <x:v>Available</x:v>
      </x:c>
      <x:c r="Q1080" s="72" t="n">
        <x:v>0</x:v>
      </x:c>
      <x:c r="R1080" s="55" t="str">
        <x:f>IF($D1080="","",ROUND(MAX(0,MIN(100,0.35*$J1080+0.2*$K1080+0.15*$L1080+0.15*$M1080+0.1*$N1080+0.05*$O1080-IF(OR($P1080="Out",$P1080="Suspended"),$Q1080,IF($P1080="Doubtful",$Q1080*0.5,IF($P1080="Limited",$Q1080*0.25,0))))),2))</x:f>
      </x:c>
      <x:c r="S1080" s="55" t="n">
        <x:f>IF($D1080="",0,ROUND(IF(OR($P1080="Out",$P1080="Suspended"),$Q1080*$H1080,IF($P1080="Doubtful",$Q1080*$H1080*0.5,IF($P1080="Limited",$Q1080*$H1080*0.25,0))),2))</x:f>
        <x:v>0</x:v>
      </x:c>
      <x:c r="T1080" s="55" t="str"/>
      <x:c r="U1080" s="51" t="str"/>
    </x:row>
    <x:row r="1081">
      <x:c r="A1081" s="51" t="str">
        <x:v>DR Congo</x:v>
      </x:c>
      <x:c r="B1081" s="51" t="str">
        <x:v>K</x:v>
      </x:c>
      <x:c r="C1081" s="51" t="n">
        <x:v>11</x:v>
      </x:c>
      <x:c r="D1081" s="71" t="str"/>
      <x:c r="E1081" s="51" t="str">
        <x:v>DM</x:v>
      </x:c>
      <x:c r="F1081" s="51" t="str">
        <x:v>Midfield</x:v>
      </x:c>
      <x:c r="G1081" s="51" t="str">
        <x:v>Starter</x:v>
      </x:c>
      <x:c r="H1081" s="55" t="n">
        <x:v>1</x:v>
      </x:c>
      <x:c r="I1081" s="51" t="str"/>
      <x:c r="J1081" s="72" t="str"/>
      <x:c r="K1081" s="72" t="str"/>
      <x:c r="L1081" s="72" t="str"/>
      <x:c r="M1081" s="72" t="str"/>
      <x:c r="N1081" s="72" t="str"/>
      <x:c r="O1081" s="72" t="str"/>
      <x:c r="P1081" s="72" t="str">
        <x:v>Available</x:v>
      </x:c>
      <x:c r="Q1081" s="72" t="n">
        <x:v>0</x:v>
      </x:c>
      <x:c r="R1081" s="55" t="str">
        <x:f>IF($D1081="","",ROUND(MAX(0,MIN(100,0.35*$J1081+0.2*$K1081+0.15*$L1081+0.15*$M1081+0.1*$N1081+0.05*$O1081-IF(OR($P1081="Out",$P1081="Suspended"),$Q1081,IF($P1081="Doubtful",$Q1081*0.5,IF($P1081="Limited",$Q1081*0.25,0))))),2))</x:f>
      </x:c>
      <x:c r="S1081" s="55" t="n">
        <x:f>IF($D1081="",0,ROUND(IF(OR($P1081="Out",$P1081="Suspended"),$Q1081*$H1081,IF($P1081="Doubtful",$Q1081*$H1081*0.5,IF($P1081="Limited",$Q1081*$H1081*0.25,0))),2))</x:f>
        <x:v>0</x:v>
      </x:c>
      <x:c r="T1081" s="55" t="str"/>
      <x:c r="U1081" s="51" t="str"/>
    </x:row>
    <x:row r="1082">
      <x:c r="A1082" s="51" t="str">
        <x:v>DR Congo</x:v>
      </x:c>
      <x:c r="B1082" s="51" t="str">
        <x:v>K</x:v>
      </x:c>
      <x:c r="C1082" s="51" t="n">
        <x:v>12</x:v>
      </x:c>
      <x:c r="D1082" s="71" t="str"/>
      <x:c r="E1082" s="51" t="str">
        <x:v>CM</x:v>
      </x:c>
      <x:c r="F1082" s="51" t="str">
        <x:v>Midfield</x:v>
      </x:c>
      <x:c r="G1082" s="51" t="str">
        <x:v>Rotation</x:v>
      </x:c>
      <x:c r="H1082" s="55" t="n">
        <x:v>0.35</x:v>
      </x:c>
      <x:c r="I1082" s="51" t="str"/>
      <x:c r="J1082" s="72" t="str"/>
      <x:c r="K1082" s="72" t="str"/>
      <x:c r="L1082" s="72" t="str"/>
      <x:c r="M1082" s="72" t="str"/>
      <x:c r="N1082" s="72" t="str"/>
      <x:c r="O1082" s="72" t="str"/>
      <x:c r="P1082" s="72" t="str">
        <x:v>Available</x:v>
      </x:c>
      <x:c r="Q1082" s="72" t="n">
        <x:v>0</x:v>
      </x:c>
      <x:c r="R1082" s="55" t="str">
        <x:f>IF($D1082="","",ROUND(MAX(0,MIN(100,0.35*$J1082+0.2*$K1082+0.15*$L1082+0.15*$M1082+0.1*$N1082+0.05*$O1082-IF(OR($P1082="Out",$P1082="Suspended"),$Q1082,IF($P1082="Doubtful",$Q1082*0.5,IF($P1082="Limited",$Q1082*0.25,0))))),2))</x:f>
      </x:c>
      <x:c r="S1082" s="55" t="n">
        <x:f>IF($D1082="",0,ROUND(IF(OR($P1082="Out",$P1082="Suspended"),$Q1082*$H1082,IF($P1082="Doubtful",$Q1082*$H1082*0.5,IF($P1082="Limited",$Q1082*$H1082*0.25,0))),2))</x:f>
        <x:v>0</x:v>
      </x:c>
      <x:c r="T1082" s="55" t="str"/>
      <x:c r="U1082" s="51" t="str"/>
    </x:row>
    <x:row r="1083">
      <x:c r="A1083" s="51" t="str">
        <x:v>DR Congo</x:v>
      </x:c>
      <x:c r="B1083" s="51" t="str">
        <x:v>K</x:v>
      </x:c>
      <x:c r="C1083" s="51" t="n">
        <x:v>13</x:v>
      </x:c>
      <x:c r="D1083" s="71" t="str"/>
      <x:c r="E1083" s="51" t="str">
        <x:v>CM</x:v>
      </x:c>
      <x:c r="F1083" s="51" t="str">
        <x:v>Midfield</x:v>
      </x:c>
      <x:c r="G1083" s="51" t="str">
        <x:v>Rotation</x:v>
      </x:c>
      <x:c r="H1083" s="55" t="n">
        <x:v>0.35</x:v>
      </x:c>
      <x:c r="I1083" s="51" t="str"/>
      <x:c r="J1083" s="72" t="str"/>
      <x:c r="K1083" s="72" t="str"/>
      <x:c r="L1083" s="72" t="str"/>
      <x:c r="M1083" s="72" t="str"/>
      <x:c r="N1083" s="72" t="str"/>
      <x:c r="O1083" s="72" t="str"/>
      <x:c r="P1083" s="72" t="str">
        <x:v>Available</x:v>
      </x:c>
      <x:c r="Q1083" s="72" t="n">
        <x:v>0</x:v>
      </x:c>
      <x:c r="R1083" s="55" t="str">
        <x:f>IF($D1083="","",ROUND(MAX(0,MIN(100,0.35*$J1083+0.2*$K1083+0.15*$L1083+0.15*$M1083+0.1*$N1083+0.05*$O1083-IF(OR($P1083="Out",$P1083="Suspended"),$Q1083,IF($P1083="Doubtful",$Q1083*0.5,IF($P1083="Limited",$Q1083*0.25,0))))),2))</x:f>
      </x:c>
      <x:c r="S1083" s="55" t="n">
        <x:f>IF($D1083="",0,ROUND(IF(OR($P1083="Out",$P1083="Suspended"),$Q1083*$H1083,IF($P1083="Doubtful",$Q1083*$H1083*0.5,IF($P1083="Limited",$Q1083*$H1083*0.25,0))),2))</x:f>
        <x:v>0</x:v>
      </x:c>
      <x:c r="T1083" s="55" t="str"/>
      <x:c r="U1083" s="51" t="str"/>
    </x:row>
    <x:row r="1084">
      <x:c r="A1084" s="51" t="str">
        <x:v>DR Congo</x:v>
      </x:c>
      <x:c r="B1084" s="51" t="str">
        <x:v>K</x:v>
      </x:c>
      <x:c r="C1084" s="51" t="n">
        <x:v>14</x:v>
      </x:c>
      <x:c r="D1084" s="71" t="str"/>
      <x:c r="E1084" s="51" t="str">
        <x:v>CM</x:v>
      </x:c>
      <x:c r="F1084" s="51" t="str">
        <x:v>Midfield</x:v>
      </x:c>
      <x:c r="G1084" s="51" t="str">
        <x:v>Rotation</x:v>
      </x:c>
      <x:c r="H1084" s="55" t="n">
        <x:v>0.35</x:v>
      </x:c>
      <x:c r="I1084" s="51" t="str"/>
      <x:c r="J1084" s="72" t="str"/>
      <x:c r="K1084" s="72" t="str"/>
      <x:c r="L1084" s="72" t="str"/>
      <x:c r="M1084" s="72" t="str"/>
      <x:c r="N1084" s="72" t="str"/>
      <x:c r="O1084" s="72" t="str"/>
      <x:c r="P1084" s="72" t="str">
        <x:v>Available</x:v>
      </x:c>
      <x:c r="Q1084" s="72" t="n">
        <x:v>0</x:v>
      </x:c>
      <x:c r="R1084" s="55" t="str">
        <x:f>IF($D1084="","",ROUND(MAX(0,MIN(100,0.35*$J1084+0.2*$K1084+0.15*$L1084+0.15*$M1084+0.1*$N1084+0.05*$O1084-IF(OR($P1084="Out",$P1084="Suspended"),$Q1084,IF($P1084="Doubtful",$Q1084*0.5,IF($P1084="Limited",$Q1084*0.25,0))))),2))</x:f>
      </x:c>
      <x:c r="S1084" s="55" t="n">
        <x:f>IF($D1084="",0,ROUND(IF(OR($P1084="Out",$P1084="Suspended"),$Q1084*$H1084,IF($P1084="Doubtful",$Q1084*$H1084*0.5,IF($P1084="Limited",$Q1084*$H1084*0.25,0))),2))</x:f>
        <x:v>0</x:v>
      </x:c>
      <x:c r="T1084" s="55" t="str"/>
      <x:c r="U1084" s="51" t="str"/>
    </x:row>
    <x:row r="1085">
      <x:c r="A1085" s="51" t="str">
        <x:v>DR Congo</x:v>
      </x:c>
      <x:c r="B1085" s="51" t="str">
        <x:v>K</x:v>
      </x:c>
      <x:c r="C1085" s="51" t="n">
        <x:v>15</x:v>
      </x:c>
      <x:c r="D1085" s="71" t="str"/>
      <x:c r="E1085" s="51" t="str">
        <x:v>CM</x:v>
      </x:c>
      <x:c r="F1085" s="51" t="str">
        <x:v>Midfield</x:v>
      </x:c>
      <x:c r="G1085" s="51" t="str">
        <x:v>Rotation</x:v>
      </x:c>
      <x:c r="H1085" s="55" t="n">
        <x:v>0.35</x:v>
      </x:c>
      <x:c r="I1085" s="51" t="str"/>
      <x:c r="J1085" s="72" t="str"/>
      <x:c r="K1085" s="72" t="str"/>
      <x:c r="L1085" s="72" t="str"/>
      <x:c r="M1085" s="72" t="str"/>
      <x:c r="N1085" s="72" t="str"/>
      <x:c r="O1085" s="72" t="str"/>
      <x:c r="P1085" s="72" t="str">
        <x:v>Available</x:v>
      </x:c>
      <x:c r="Q1085" s="72" t="n">
        <x:v>0</x:v>
      </x:c>
      <x:c r="R1085" s="55" t="str">
        <x:f>IF($D1085="","",ROUND(MAX(0,MIN(100,0.35*$J1085+0.2*$K1085+0.15*$L1085+0.15*$M1085+0.1*$N1085+0.05*$O1085-IF(OR($P1085="Out",$P1085="Suspended"),$Q1085,IF($P1085="Doubtful",$Q1085*0.5,IF($P1085="Limited",$Q1085*0.25,0))))),2))</x:f>
      </x:c>
      <x:c r="S1085" s="55" t="n">
        <x:f>IF($D1085="",0,ROUND(IF(OR($P1085="Out",$P1085="Suspended"),$Q1085*$H1085,IF($P1085="Doubtful",$Q1085*$H1085*0.5,IF($P1085="Limited",$Q1085*$H1085*0.25,0))),2))</x:f>
        <x:v>0</x:v>
      </x:c>
      <x:c r="T1085" s="55" t="str"/>
      <x:c r="U1085" s="51" t="str"/>
    </x:row>
    <x:row r="1086">
      <x:c r="A1086" s="51" t="str">
        <x:v>DR Congo</x:v>
      </x:c>
      <x:c r="B1086" s="51" t="str">
        <x:v>K</x:v>
      </x:c>
      <x:c r="C1086" s="51" t="n">
        <x:v>16</x:v>
      </x:c>
      <x:c r="D1086" s="71" t="str"/>
      <x:c r="E1086" s="51" t="str">
        <x:v>AM</x:v>
      </x:c>
      <x:c r="F1086" s="51" t="str">
        <x:v>Attack</x:v>
      </x:c>
      <x:c r="G1086" s="51" t="str">
        <x:v>Rotation</x:v>
      </x:c>
      <x:c r="H1086" s="55" t="n">
        <x:v>0.35</x:v>
      </x:c>
      <x:c r="I1086" s="51" t="str"/>
      <x:c r="J1086" s="72" t="str"/>
      <x:c r="K1086" s="72" t="str"/>
      <x:c r="L1086" s="72" t="str"/>
      <x:c r="M1086" s="72" t="str"/>
      <x:c r="N1086" s="72" t="str"/>
      <x:c r="O1086" s="72" t="str"/>
      <x:c r="P1086" s="72" t="str">
        <x:v>Available</x:v>
      </x:c>
      <x:c r="Q1086" s="72" t="n">
        <x:v>0</x:v>
      </x:c>
      <x:c r="R1086" s="55" t="str">
        <x:f>IF($D1086="","",ROUND(MAX(0,MIN(100,0.35*$J1086+0.2*$K1086+0.15*$L1086+0.15*$M1086+0.1*$N1086+0.05*$O1086-IF(OR($P1086="Out",$P1086="Suspended"),$Q1086,IF($P1086="Doubtful",$Q1086*0.5,IF($P1086="Limited",$Q1086*0.25,0))))),2))</x:f>
      </x:c>
      <x:c r="S1086" s="55" t="n">
        <x:f>IF($D1086="",0,ROUND(IF(OR($P1086="Out",$P1086="Suspended"),$Q1086*$H1086,IF($P1086="Doubtful",$Q1086*$H1086*0.5,IF($P1086="Limited",$Q1086*$H1086*0.25,0))),2))</x:f>
        <x:v>0</x:v>
      </x:c>
      <x:c r="T1086" s="55" t="str"/>
      <x:c r="U1086" s="51" t="str"/>
    </x:row>
    <x:row r="1087">
      <x:c r="A1087" s="51" t="str">
        <x:v>DR Congo</x:v>
      </x:c>
      <x:c r="B1087" s="51" t="str">
        <x:v>K</x:v>
      </x:c>
      <x:c r="C1087" s="51" t="n">
        <x:v>17</x:v>
      </x:c>
      <x:c r="D1087" s="71" t="str"/>
      <x:c r="E1087" s="51" t="str">
        <x:v>AM</x:v>
      </x:c>
      <x:c r="F1087" s="51" t="str">
        <x:v>Attack</x:v>
      </x:c>
      <x:c r="G1087" s="51" t="str">
        <x:v>Rotation</x:v>
      </x:c>
      <x:c r="H1087" s="55" t="n">
        <x:v>0.35</x:v>
      </x:c>
      <x:c r="I1087" s="51" t="str"/>
      <x:c r="J1087" s="72" t="str"/>
      <x:c r="K1087" s="72" t="str"/>
      <x:c r="L1087" s="72" t="str"/>
      <x:c r="M1087" s="72" t="str"/>
      <x:c r="N1087" s="72" t="str"/>
      <x:c r="O1087" s="72" t="str"/>
      <x:c r="P1087" s="72" t="str">
        <x:v>Available</x:v>
      </x:c>
      <x:c r="Q1087" s="72" t="n">
        <x:v>0</x:v>
      </x:c>
      <x:c r="R1087" s="55" t="str">
        <x:f>IF($D1087="","",ROUND(MAX(0,MIN(100,0.35*$J1087+0.2*$K1087+0.15*$L1087+0.15*$M1087+0.1*$N1087+0.05*$O1087-IF(OR($P1087="Out",$P1087="Suspended"),$Q1087,IF($P1087="Doubtful",$Q1087*0.5,IF($P1087="Limited",$Q1087*0.25,0))))),2))</x:f>
      </x:c>
      <x:c r="S1087" s="55" t="n">
        <x:f>IF($D1087="",0,ROUND(IF(OR($P1087="Out",$P1087="Suspended"),$Q1087*$H1087,IF($P1087="Doubtful",$Q1087*$H1087*0.5,IF($P1087="Limited",$Q1087*$H1087*0.25,0))),2))</x:f>
        <x:v>0</x:v>
      </x:c>
      <x:c r="T1087" s="55" t="str"/>
      <x:c r="U1087" s="51" t="str"/>
    </x:row>
    <x:row r="1088">
      <x:c r="A1088" s="51" t="str">
        <x:v>DR Congo</x:v>
      </x:c>
      <x:c r="B1088" s="51" t="str">
        <x:v>K</x:v>
      </x:c>
      <x:c r="C1088" s="51" t="n">
        <x:v>18</x:v>
      </x:c>
      <x:c r="D1088" s="71" t="str"/>
      <x:c r="E1088" s="51" t="str">
        <x:v>AM</x:v>
      </x:c>
      <x:c r="F1088" s="51" t="str">
        <x:v>Attack</x:v>
      </x:c>
      <x:c r="G1088" s="51" t="str">
        <x:v>Rotation</x:v>
      </x:c>
      <x:c r="H1088" s="55" t="n">
        <x:v>0.35</x:v>
      </x:c>
      <x:c r="I1088" s="51" t="str"/>
      <x:c r="J1088" s="72" t="str"/>
      <x:c r="K1088" s="72" t="str"/>
      <x:c r="L1088" s="72" t="str"/>
      <x:c r="M1088" s="72" t="str"/>
      <x:c r="N1088" s="72" t="str"/>
      <x:c r="O1088" s="72" t="str"/>
      <x:c r="P1088" s="72" t="str">
        <x:v>Available</x:v>
      </x:c>
      <x:c r="Q1088" s="72" t="n">
        <x:v>0</x:v>
      </x:c>
      <x:c r="R1088" s="55" t="str">
        <x:f>IF($D1088="","",ROUND(MAX(0,MIN(100,0.35*$J1088+0.2*$K1088+0.15*$L1088+0.15*$M1088+0.1*$N1088+0.05*$O1088-IF(OR($P1088="Out",$P1088="Suspended"),$Q1088,IF($P1088="Doubtful",$Q1088*0.5,IF($P1088="Limited",$Q1088*0.25,0))))),2))</x:f>
      </x:c>
      <x:c r="S1088" s="55" t="n">
        <x:f>IF($D1088="",0,ROUND(IF(OR($P1088="Out",$P1088="Suspended"),$Q1088*$H1088,IF($P1088="Doubtful",$Q1088*$H1088*0.5,IF($P1088="Limited",$Q1088*$H1088*0.25,0))),2))</x:f>
        <x:v>0</x:v>
      </x:c>
      <x:c r="T1088" s="55" t="str"/>
      <x:c r="U1088" s="51" t="str"/>
    </x:row>
    <x:row r="1089">
      <x:c r="A1089" s="51" t="str">
        <x:v>DR Congo</x:v>
      </x:c>
      <x:c r="B1089" s="51" t="str">
        <x:v>K</x:v>
      </x:c>
      <x:c r="C1089" s="51" t="n">
        <x:v>19</x:v>
      </x:c>
      <x:c r="D1089" s="71" t="str"/>
      <x:c r="E1089" s="51" t="str">
        <x:v>AM</x:v>
      </x:c>
      <x:c r="F1089" s="51" t="str">
        <x:v>Attack</x:v>
      </x:c>
      <x:c r="G1089" s="51" t="str">
        <x:v>Rotation</x:v>
      </x:c>
      <x:c r="H1089" s="55" t="n">
        <x:v>0.35</x:v>
      </x:c>
      <x:c r="I1089" s="51" t="str"/>
      <x:c r="J1089" s="72" t="str"/>
      <x:c r="K1089" s="72" t="str"/>
      <x:c r="L1089" s="72" t="str"/>
      <x:c r="M1089" s="72" t="str"/>
      <x:c r="N1089" s="72" t="str"/>
      <x:c r="O1089" s="72" t="str"/>
      <x:c r="P1089" s="72" t="str">
        <x:v>Available</x:v>
      </x:c>
      <x:c r="Q1089" s="72" t="n">
        <x:v>0</x:v>
      </x:c>
      <x:c r="R1089" s="55" t="str">
        <x:f>IF($D1089="","",ROUND(MAX(0,MIN(100,0.35*$J1089+0.2*$K1089+0.15*$L1089+0.15*$M1089+0.1*$N1089+0.05*$O1089-IF(OR($P1089="Out",$P1089="Suspended"),$Q1089,IF($P1089="Doubtful",$Q1089*0.5,IF($P1089="Limited",$Q1089*0.25,0))))),2))</x:f>
      </x:c>
      <x:c r="S1089" s="55" t="n">
        <x:f>IF($D1089="",0,ROUND(IF(OR($P1089="Out",$P1089="Suspended"),$Q1089*$H1089,IF($P1089="Doubtful",$Q1089*$H1089*0.5,IF($P1089="Limited",$Q1089*$H1089*0.25,0))),2))</x:f>
        <x:v>0</x:v>
      </x:c>
      <x:c r="T1089" s="55" t="str"/>
      <x:c r="U1089" s="51" t="str"/>
    </x:row>
    <x:row r="1090">
      <x:c r="A1090" s="51" t="str">
        <x:v>DR Congo</x:v>
      </x:c>
      <x:c r="B1090" s="51" t="str">
        <x:v>K</x:v>
      </x:c>
      <x:c r="C1090" s="51" t="n">
        <x:v>20</x:v>
      </x:c>
      <x:c r="D1090" s="71" t="str"/>
      <x:c r="E1090" s="51" t="str">
        <x:v>Winger</x:v>
      </x:c>
      <x:c r="F1090" s="51" t="str">
        <x:v>Attack</x:v>
      </x:c>
      <x:c r="G1090" s="51" t="str">
        <x:v>Rotation</x:v>
      </x:c>
      <x:c r="H1090" s="55" t="n">
        <x:v>0.35</x:v>
      </x:c>
      <x:c r="I1090" s="51" t="str"/>
      <x:c r="J1090" s="72" t="str"/>
      <x:c r="K1090" s="72" t="str"/>
      <x:c r="L1090" s="72" t="str"/>
      <x:c r="M1090" s="72" t="str"/>
      <x:c r="N1090" s="72" t="str"/>
      <x:c r="O1090" s="72" t="str"/>
      <x:c r="P1090" s="72" t="str">
        <x:v>Available</x:v>
      </x:c>
      <x:c r="Q1090" s="72" t="n">
        <x:v>0</x:v>
      </x:c>
      <x:c r="R1090" s="55" t="str">
        <x:f>IF($D1090="","",ROUND(MAX(0,MIN(100,0.35*$J1090+0.2*$K1090+0.15*$L1090+0.15*$M1090+0.1*$N1090+0.05*$O1090-IF(OR($P1090="Out",$P1090="Suspended"),$Q1090,IF($P1090="Doubtful",$Q1090*0.5,IF($P1090="Limited",$Q1090*0.25,0))))),2))</x:f>
      </x:c>
      <x:c r="S1090" s="55" t="n">
        <x:f>IF($D1090="",0,ROUND(IF(OR($P1090="Out",$P1090="Suspended"),$Q1090*$H1090,IF($P1090="Doubtful",$Q1090*$H1090*0.5,IF($P1090="Limited",$Q1090*$H1090*0.25,0))),2))</x:f>
        <x:v>0</x:v>
      </x:c>
      <x:c r="T1090" s="55" t="str"/>
      <x:c r="U1090" s="51" t="str"/>
    </x:row>
    <x:row r="1091">
      <x:c r="A1091" s="51" t="str">
        <x:v>DR Congo</x:v>
      </x:c>
      <x:c r="B1091" s="51" t="str">
        <x:v>K</x:v>
      </x:c>
      <x:c r="C1091" s="51" t="n">
        <x:v>21</x:v>
      </x:c>
      <x:c r="D1091" s="71" t="str"/>
      <x:c r="E1091" s="51" t="str">
        <x:v>Winger</x:v>
      </x:c>
      <x:c r="F1091" s="51" t="str">
        <x:v>Attack</x:v>
      </x:c>
      <x:c r="G1091" s="51" t="str">
        <x:v>Depth</x:v>
      </x:c>
      <x:c r="H1091" s="55" t="n">
        <x:v>0.1</x:v>
      </x:c>
      <x:c r="I1091" s="51" t="str"/>
      <x:c r="J1091" s="72" t="str"/>
      <x:c r="K1091" s="72" t="str"/>
      <x:c r="L1091" s="72" t="str"/>
      <x:c r="M1091" s="72" t="str"/>
      <x:c r="N1091" s="72" t="str"/>
      <x:c r="O1091" s="72" t="str"/>
      <x:c r="P1091" s="72" t="str">
        <x:v>Available</x:v>
      </x:c>
      <x:c r="Q1091" s="72" t="n">
        <x:v>0</x:v>
      </x:c>
      <x:c r="R1091" s="55" t="str">
        <x:f>IF($D1091="","",ROUND(MAX(0,MIN(100,0.35*$J1091+0.2*$K1091+0.15*$L1091+0.15*$M1091+0.1*$N1091+0.05*$O1091-IF(OR($P1091="Out",$P1091="Suspended"),$Q1091,IF($P1091="Doubtful",$Q1091*0.5,IF($P1091="Limited",$Q1091*0.25,0))))),2))</x:f>
      </x:c>
      <x:c r="S1091" s="55" t="n">
        <x:f>IF($D1091="",0,ROUND(IF(OR($P1091="Out",$P1091="Suspended"),$Q1091*$H1091,IF($P1091="Doubtful",$Q1091*$H1091*0.5,IF($P1091="Limited",$Q1091*$H1091*0.25,0))),2))</x:f>
        <x:v>0</x:v>
      </x:c>
      <x:c r="T1091" s="55" t="str"/>
      <x:c r="U1091" s="51" t="str"/>
    </x:row>
    <x:row r="1092">
      <x:c r="A1092" s="51" t="str">
        <x:v>DR Congo</x:v>
      </x:c>
      <x:c r="B1092" s="51" t="str">
        <x:v>K</x:v>
      </x:c>
      <x:c r="C1092" s="51" t="n">
        <x:v>22</x:v>
      </x:c>
      <x:c r="D1092" s="71" t="str"/>
      <x:c r="E1092" s="51" t="str">
        <x:v>Winger</x:v>
      </x:c>
      <x:c r="F1092" s="51" t="str">
        <x:v>Attack</x:v>
      </x:c>
      <x:c r="G1092" s="51" t="str">
        <x:v>Depth</x:v>
      </x:c>
      <x:c r="H1092" s="55" t="n">
        <x:v>0.1</x:v>
      </x:c>
      <x:c r="I1092" s="51" t="str"/>
      <x:c r="J1092" s="72" t="str"/>
      <x:c r="K1092" s="72" t="str"/>
      <x:c r="L1092" s="72" t="str"/>
      <x:c r="M1092" s="72" t="str"/>
      <x:c r="N1092" s="72" t="str"/>
      <x:c r="O1092" s="72" t="str"/>
      <x:c r="P1092" s="72" t="str">
        <x:v>Available</x:v>
      </x:c>
      <x:c r="Q1092" s="72" t="n">
        <x:v>0</x:v>
      </x:c>
      <x:c r="R1092" s="55" t="str">
        <x:f>IF($D1092="","",ROUND(MAX(0,MIN(100,0.35*$J1092+0.2*$K1092+0.15*$L1092+0.15*$M1092+0.1*$N1092+0.05*$O1092-IF(OR($P1092="Out",$P1092="Suspended"),$Q1092,IF($P1092="Doubtful",$Q1092*0.5,IF($P1092="Limited",$Q1092*0.25,0))))),2))</x:f>
      </x:c>
      <x:c r="S1092" s="55" t="n">
        <x:f>IF($D1092="",0,ROUND(IF(OR($P1092="Out",$P1092="Suspended"),$Q1092*$H1092,IF($P1092="Doubtful",$Q1092*$H1092*0.5,IF($P1092="Limited",$Q1092*$H1092*0.25,0))),2))</x:f>
        <x:v>0</x:v>
      </x:c>
      <x:c r="T1092" s="55" t="str"/>
      <x:c r="U1092" s="51" t="str"/>
    </x:row>
    <x:row r="1093">
      <x:c r="A1093" s="51" t="str">
        <x:v>DR Congo</x:v>
      </x:c>
      <x:c r="B1093" s="51" t="str">
        <x:v>K</x:v>
      </x:c>
      <x:c r="C1093" s="51" t="n">
        <x:v>23</x:v>
      </x:c>
      <x:c r="D1093" s="71" t="str"/>
      <x:c r="E1093" s="51" t="str">
        <x:v>Winger</x:v>
      </x:c>
      <x:c r="F1093" s="51" t="str">
        <x:v>Attack</x:v>
      </x:c>
      <x:c r="G1093" s="51" t="str">
        <x:v>Depth</x:v>
      </x:c>
      <x:c r="H1093" s="55" t="n">
        <x:v>0.1</x:v>
      </x:c>
      <x:c r="I1093" s="51" t="str"/>
      <x:c r="J1093" s="72" t="str"/>
      <x:c r="K1093" s="72" t="str"/>
      <x:c r="L1093" s="72" t="str"/>
      <x:c r="M1093" s="72" t="str"/>
      <x:c r="N1093" s="72" t="str"/>
      <x:c r="O1093" s="72" t="str"/>
      <x:c r="P1093" s="72" t="str">
        <x:v>Available</x:v>
      </x:c>
      <x:c r="Q1093" s="72" t="n">
        <x:v>0</x:v>
      </x:c>
      <x:c r="R1093" s="55" t="str">
        <x:f>IF($D1093="","",ROUND(MAX(0,MIN(100,0.35*$J1093+0.2*$K1093+0.15*$L1093+0.15*$M1093+0.1*$N1093+0.05*$O1093-IF(OR($P1093="Out",$P1093="Suspended"),$Q1093,IF($P1093="Doubtful",$Q1093*0.5,IF($P1093="Limited",$Q1093*0.25,0))))),2))</x:f>
      </x:c>
      <x:c r="S1093" s="55" t="n">
        <x:f>IF($D1093="",0,ROUND(IF(OR($P1093="Out",$P1093="Suspended"),$Q1093*$H1093,IF($P1093="Doubtful",$Q1093*$H1093*0.5,IF($P1093="Limited",$Q1093*$H1093*0.25,0))),2))</x:f>
        <x:v>0</x:v>
      </x:c>
      <x:c r="T1093" s="55" t="str"/>
      <x:c r="U1093" s="51" t="str"/>
    </x:row>
    <x:row r="1094">
      <x:c r="A1094" s="51" t="str">
        <x:v>DR Congo</x:v>
      </x:c>
      <x:c r="B1094" s="51" t="str">
        <x:v>K</x:v>
      </x:c>
      <x:c r="C1094" s="51" t="n">
        <x:v>24</x:v>
      </x:c>
      <x:c r="D1094" s="71" t="str"/>
      <x:c r="E1094" s="51" t="str">
        <x:v>ST</x:v>
      </x:c>
      <x:c r="F1094" s="51" t="str">
        <x:v>Attack</x:v>
      </x:c>
      <x:c r="G1094" s="51" t="str">
        <x:v>Depth</x:v>
      </x:c>
      <x:c r="H1094" s="55" t="n">
        <x:v>0.1</x:v>
      </x:c>
      <x:c r="I1094" s="51" t="str"/>
      <x:c r="J1094" s="72" t="str"/>
      <x:c r="K1094" s="72" t="str"/>
      <x:c r="L1094" s="72" t="str"/>
      <x:c r="M1094" s="72" t="str"/>
      <x:c r="N1094" s="72" t="str"/>
      <x:c r="O1094" s="72" t="str"/>
      <x:c r="P1094" s="72" t="str">
        <x:v>Available</x:v>
      </x:c>
      <x:c r="Q1094" s="72" t="n">
        <x:v>0</x:v>
      </x:c>
      <x:c r="R1094" s="55" t="str">
        <x:f>IF($D1094="","",ROUND(MAX(0,MIN(100,0.35*$J1094+0.2*$K1094+0.15*$L1094+0.15*$M1094+0.1*$N1094+0.05*$O1094-IF(OR($P1094="Out",$P1094="Suspended"),$Q1094,IF($P1094="Doubtful",$Q1094*0.5,IF($P1094="Limited",$Q1094*0.25,0))))),2))</x:f>
      </x:c>
      <x:c r="S1094" s="55" t="n">
        <x:f>IF($D1094="",0,ROUND(IF(OR($P1094="Out",$P1094="Suspended"),$Q1094*$H1094,IF($P1094="Doubtful",$Q1094*$H1094*0.5,IF($P1094="Limited",$Q1094*$H1094*0.25,0))),2))</x:f>
        <x:v>0</x:v>
      </x:c>
      <x:c r="T1094" s="55" t="str"/>
      <x:c r="U1094" s="51" t="str"/>
    </x:row>
    <x:row r="1095">
      <x:c r="A1095" s="51" t="str">
        <x:v>DR Congo</x:v>
      </x:c>
      <x:c r="B1095" s="51" t="str">
        <x:v>K</x:v>
      </x:c>
      <x:c r="C1095" s="51" t="n">
        <x:v>25</x:v>
      </x:c>
      <x:c r="D1095" s="71" t="str"/>
      <x:c r="E1095" s="51" t="str">
        <x:v>ST</x:v>
      </x:c>
      <x:c r="F1095" s="51" t="str">
        <x:v>Attack</x:v>
      </x:c>
      <x:c r="G1095" s="51" t="str">
        <x:v>Depth</x:v>
      </x:c>
      <x:c r="H1095" s="55" t="n">
        <x:v>0.1</x:v>
      </x:c>
      <x:c r="I1095" s="51" t="str"/>
      <x:c r="J1095" s="72" t="str"/>
      <x:c r="K1095" s="72" t="str"/>
      <x:c r="L1095" s="72" t="str"/>
      <x:c r="M1095" s="72" t="str"/>
      <x:c r="N1095" s="72" t="str"/>
      <x:c r="O1095" s="72" t="str"/>
      <x:c r="P1095" s="72" t="str">
        <x:v>Available</x:v>
      </x:c>
      <x:c r="Q1095" s="72" t="n">
        <x:v>0</x:v>
      </x:c>
      <x:c r="R1095" s="55" t="str">
        <x:f>IF($D1095="","",ROUND(MAX(0,MIN(100,0.35*$J1095+0.2*$K1095+0.15*$L1095+0.15*$M1095+0.1*$N1095+0.05*$O1095-IF(OR($P1095="Out",$P1095="Suspended"),$Q1095,IF($P1095="Doubtful",$Q1095*0.5,IF($P1095="Limited",$Q1095*0.25,0))))),2))</x:f>
      </x:c>
      <x:c r="S1095" s="55" t="n">
        <x:f>IF($D1095="",0,ROUND(IF(OR($P1095="Out",$P1095="Suspended"),$Q1095*$H1095,IF($P1095="Doubtful",$Q1095*$H1095*0.5,IF($P1095="Limited",$Q1095*$H1095*0.25,0))),2))</x:f>
        <x:v>0</x:v>
      </x:c>
      <x:c r="T1095" s="55" t="str"/>
      <x:c r="U1095" s="51" t="str"/>
    </x:row>
    <x:row r="1096">
      <x:c r="A1096" s="51" t="str">
        <x:v>DR Congo</x:v>
      </x:c>
      <x:c r="B1096" s="51" t="str">
        <x:v>K</x:v>
      </x:c>
      <x:c r="C1096" s="51" t="n">
        <x:v>26</x:v>
      </x:c>
      <x:c r="D1096" s="71" t="str"/>
      <x:c r="E1096" s="51" t="str">
        <x:v>ST</x:v>
      </x:c>
      <x:c r="F1096" s="51" t="str">
        <x:v>Attack</x:v>
      </x:c>
      <x:c r="G1096" s="51" t="str">
        <x:v>Depth</x:v>
      </x:c>
      <x:c r="H1096" s="55" t="n">
        <x:v>0.1</x:v>
      </x:c>
      <x:c r="I1096" s="51" t="str"/>
      <x:c r="J1096" s="72" t="str"/>
      <x:c r="K1096" s="72" t="str"/>
      <x:c r="L1096" s="72" t="str"/>
      <x:c r="M1096" s="72" t="str"/>
      <x:c r="N1096" s="72" t="str"/>
      <x:c r="O1096" s="72" t="str"/>
      <x:c r="P1096" s="72" t="str">
        <x:v>Available</x:v>
      </x:c>
      <x:c r="Q1096" s="72" t="n">
        <x:v>0</x:v>
      </x:c>
      <x:c r="R1096" s="55" t="str">
        <x:f>IF($D1096="","",ROUND(MAX(0,MIN(100,0.35*$J1096+0.2*$K1096+0.15*$L1096+0.15*$M1096+0.1*$N1096+0.05*$O1096-IF(OR($P1096="Out",$P1096="Suspended"),$Q1096,IF($P1096="Doubtful",$Q1096*0.5,IF($P1096="Limited",$Q1096*0.25,0))))),2))</x:f>
      </x:c>
      <x:c r="S1096" s="55" t="n">
        <x:f>IF($D1096="",0,ROUND(IF(OR($P1096="Out",$P1096="Suspended"),$Q1096*$H1096,IF($P1096="Doubtful",$Q1096*$H1096*0.5,IF($P1096="Limited",$Q1096*$H1096*0.25,0))),2))</x:f>
        <x:v>0</x:v>
      </x:c>
      <x:c r="T1096" s="55" t="str"/>
      <x:c r="U1096" s="51" t="str"/>
    </x:row>
    <x:row r="1097">
      <x:c r="A1097" s="51" t="str">
        <x:v>Portugal</x:v>
      </x:c>
      <x:c r="B1097" s="51" t="str">
        <x:v>K</x:v>
      </x:c>
      <x:c r="C1097" s="51" t="n">
        <x:v>1</x:v>
      </x:c>
      <x:c r="D1097" s="71" t="str"/>
      <x:c r="E1097" s="51" t="str">
        <x:v>GK</x:v>
      </x:c>
      <x:c r="F1097" s="51" t="str">
        <x:v>GK</x:v>
      </x:c>
      <x:c r="G1097" s="51" t="str">
        <x:v>Starter</x:v>
      </x:c>
      <x:c r="H1097" s="55" t="n">
        <x:v>1</x:v>
      </x:c>
      <x:c r="I1097" s="51" t="str"/>
      <x:c r="J1097" s="72" t="str"/>
      <x:c r="K1097" s="72" t="str"/>
      <x:c r="L1097" s="72" t="str"/>
      <x:c r="M1097" s="72" t="str"/>
      <x:c r="N1097" s="72" t="str"/>
      <x:c r="O1097" s="72" t="str"/>
      <x:c r="P1097" s="72" t="str">
        <x:v>Available</x:v>
      </x:c>
      <x:c r="Q1097" s="72" t="n">
        <x:v>0</x:v>
      </x:c>
      <x:c r="R1097" s="55" t="str">
        <x:f>IF($D1097="","",ROUND(MAX(0,MIN(100,0.35*$J1097+0.2*$K1097+0.15*$L1097+0.15*$M1097+0.1*$N1097+0.05*$O1097-IF(OR($P1097="Out",$P1097="Suspended"),$Q1097,IF($P1097="Doubtful",$Q1097*0.5,IF($P1097="Limited",$Q1097*0.25,0))))),2))</x:f>
      </x:c>
      <x:c r="S1097" s="55" t="n">
        <x:f>IF($D1097="",0,ROUND(IF(OR($P1097="Out",$P1097="Suspended"),$Q1097*$H1097,IF($P1097="Doubtful",$Q1097*$H1097*0.5,IF($P1097="Limited",$Q1097*$H1097*0.25,0))),2))</x:f>
        <x:v>0</x:v>
      </x:c>
      <x:c r="T1097" s="55" t="str"/>
      <x:c r="U1097" s="51" t="str"/>
    </x:row>
    <x:row r="1098">
      <x:c r="A1098" s="51" t="str">
        <x:v>Portugal</x:v>
      </x:c>
      <x:c r="B1098" s="51" t="str">
        <x:v>K</x:v>
      </x:c>
      <x:c r="C1098" s="51" t="n">
        <x:v>2</x:v>
      </x:c>
      <x:c r="D1098" s="71" t="str"/>
      <x:c r="E1098" s="51" t="str">
        <x:v>GK</x:v>
      </x:c>
      <x:c r="F1098" s="51" t="str">
        <x:v>GK</x:v>
      </x:c>
      <x:c r="G1098" s="51" t="str">
        <x:v>Starter</x:v>
      </x:c>
      <x:c r="H1098" s="55" t="n">
        <x:v>1</x:v>
      </x:c>
      <x:c r="I1098" s="51" t="str"/>
      <x:c r="J1098" s="72" t="str"/>
      <x:c r="K1098" s="72" t="str"/>
      <x:c r="L1098" s="72" t="str"/>
      <x:c r="M1098" s="72" t="str"/>
      <x:c r="N1098" s="72" t="str"/>
      <x:c r="O1098" s="72" t="str"/>
      <x:c r="P1098" s="72" t="str">
        <x:v>Available</x:v>
      </x:c>
      <x:c r="Q1098" s="72" t="n">
        <x:v>0</x:v>
      </x:c>
      <x:c r="R1098" s="55" t="str">
        <x:f>IF($D1098="","",ROUND(MAX(0,MIN(100,0.35*$J1098+0.2*$K1098+0.15*$L1098+0.15*$M1098+0.1*$N1098+0.05*$O1098-IF(OR($P1098="Out",$P1098="Suspended"),$Q1098,IF($P1098="Doubtful",$Q1098*0.5,IF($P1098="Limited",$Q1098*0.25,0))))),2))</x:f>
      </x:c>
      <x:c r="S1098" s="55" t="n">
        <x:f>IF($D1098="",0,ROUND(IF(OR($P1098="Out",$P1098="Suspended"),$Q1098*$H1098,IF($P1098="Doubtful",$Q1098*$H1098*0.5,IF($P1098="Limited",$Q1098*$H1098*0.25,0))),2))</x:f>
        <x:v>0</x:v>
      </x:c>
      <x:c r="T1098" s="55" t="str"/>
      <x:c r="U1098" s="51" t="str"/>
    </x:row>
    <x:row r="1099">
      <x:c r="A1099" s="51" t="str">
        <x:v>Portugal</x:v>
      </x:c>
      <x:c r="B1099" s="51" t="str">
        <x:v>K</x:v>
      </x:c>
      <x:c r="C1099" s="51" t="n">
        <x:v>3</x:v>
      </x:c>
      <x:c r="D1099" s="71" t="str"/>
      <x:c r="E1099" s="51" t="str">
        <x:v>GK</x:v>
      </x:c>
      <x:c r="F1099" s="51" t="str">
        <x:v>GK</x:v>
      </x:c>
      <x:c r="G1099" s="51" t="str">
        <x:v>Starter</x:v>
      </x:c>
      <x:c r="H1099" s="55" t="n">
        <x:v>1</x:v>
      </x:c>
      <x:c r="I1099" s="51" t="str"/>
      <x:c r="J1099" s="72" t="str"/>
      <x:c r="K1099" s="72" t="str"/>
      <x:c r="L1099" s="72" t="str"/>
      <x:c r="M1099" s="72" t="str"/>
      <x:c r="N1099" s="72" t="str"/>
      <x:c r="O1099" s="72" t="str"/>
      <x:c r="P1099" s="72" t="str">
        <x:v>Available</x:v>
      </x:c>
      <x:c r="Q1099" s="72" t="n">
        <x:v>0</x:v>
      </x:c>
      <x:c r="R1099" s="55" t="str">
        <x:f>IF($D1099="","",ROUND(MAX(0,MIN(100,0.35*$J1099+0.2*$K1099+0.15*$L1099+0.15*$M1099+0.1*$N1099+0.05*$O1099-IF(OR($P1099="Out",$P1099="Suspended"),$Q1099,IF($P1099="Doubtful",$Q1099*0.5,IF($P1099="Limited",$Q1099*0.25,0))))),2))</x:f>
      </x:c>
      <x:c r="S1099" s="55" t="n">
        <x:f>IF($D1099="",0,ROUND(IF(OR($P1099="Out",$P1099="Suspended"),$Q1099*$H1099,IF($P1099="Doubtful",$Q1099*$H1099*0.5,IF($P1099="Limited",$Q1099*$H1099*0.25,0))),2))</x:f>
        <x:v>0</x:v>
      </x:c>
      <x:c r="T1099" s="55" t="str"/>
      <x:c r="U1099" s="51" t="str"/>
    </x:row>
    <x:row r="1100">
      <x:c r="A1100" s="51" t="str">
        <x:v>Portugal</x:v>
      </x:c>
      <x:c r="B1100" s="51" t="str">
        <x:v>K</x:v>
      </x:c>
      <x:c r="C1100" s="51" t="n">
        <x:v>4</x:v>
      </x:c>
      <x:c r="D1100" s="71" t="str"/>
      <x:c r="E1100" s="51" t="str">
        <x:v>CB</x:v>
      </x:c>
      <x:c r="F1100" s="51" t="str">
        <x:v>Defence</x:v>
      </x:c>
      <x:c r="G1100" s="51" t="str">
        <x:v>Starter</x:v>
      </x:c>
      <x:c r="H1100" s="55" t="n">
        <x:v>1</x:v>
      </x:c>
      <x:c r="I1100" s="51" t="str"/>
      <x:c r="J1100" s="72" t="str"/>
      <x:c r="K1100" s="72" t="str"/>
      <x:c r="L1100" s="72" t="str"/>
      <x:c r="M1100" s="72" t="str"/>
      <x:c r="N1100" s="72" t="str"/>
      <x:c r="O1100" s="72" t="str"/>
      <x:c r="P1100" s="72" t="str">
        <x:v>Available</x:v>
      </x:c>
      <x:c r="Q1100" s="72" t="n">
        <x:v>0</x:v>
      </x:c>
      <x:c r="R1100" s="55" t="str">
        <x:f>IF($D1100="","",ROUND(MAX(0,MIN(100,0.35*$J1100+0.2*$K1100+0.15*$L1100+0.15*$M1100+0.1*$N1100+0.05*$O1100-IF(OR($P1100="Out",$P1100="Suspended"),$Q1100,IF($P1100="Doubtful",$Q1100*0.5,IF($P1100="Limited",$Q1100*0.25,0))))),2))</x:f>
      </x:c>
      <x:c r="S1100" s="55" t="n">
        <x:f>IF($D1100="",0,ROUND(IF(OR($P1100="Out",$P1100="Suspended"),$Q1100*$H1100,IF($P1100="Doubtful",$Q1100*$H1100*0.5,IF($P1100="Limited",$Q1100*$H1100*0.25,0))),2))</x:f>
        <x:v>0</x:v>
      </x:c>
      <x:c r="T1100" s="55" t="str"/>
      <x:c r="U1100" s="51" t="str"/>
    </x:row>
    <x:row r="1101">
      <x:c r="A1101" s="51" t="str">
        <x:v>Portugal</x:v>
      </x:c>
      <x:c r="B1101" s="51" t="str">
        <x:v>K</x:v>
      </x:c>
      <x:c r="C1101" s="51" t="n">
        <x:v>5</x:v>
      </x:c>
      <x:c r="D1101" s="71" t="str"/>
      <x:c r="E1101" s="51" t="str">
        <x:v>CB</x:v>
      </x:c>
      <x:c r="F1101" s="51" t="str">
        <x:v>Defence</x:v>
      </x:c>
      <x:c r="G1101" s="51" t="str">
        <x:v>Starter</x:v>
      </x:c>
      <x:c r="H1101" s="55" t="n">
        <x:v>1</x:v>
      </x:c>
      <x:c r="I1101" s="51" t="str"/>
      <x:c r="J1101" s="72" t="str"/>
      <x:c r="K1101" s="72" t="str"/>
      <x:c r="L1101" s="72" t="str"/>
      <x:c r="M1101" s="72" t="str"/>
      <x:c r="N1101" s="72" t="str"/>
      <x:c r="O1101" s="72" t="str"/>
      <x:c r="P1101" s="72" t="str">
        <x:v>Available</x:v>
      </x:c>
      <x:c r="Q1101" s="72" t="n">
        <x:v>0</x:v>
      </x:c>
      <x:c r="R1101" s="55" t="str">
        <x:f>IF($D1101="","",ROUND(MAX(0,MIN(100,0.35*$J1101+0.2*$K1101+0.15*$L1101+0.15*$M1101+0.1*$N1101+0.05*$O1101-IF(OR($P1101="Out",$P1101="Suspended"),$Q1101,IF($P1101="Doubtful",$Q1101*0.5,IF($P1101="Limited",$Q1101*0.25,0))))),2))</x:f>
      </x:c>
      <x:c r="S1101" s="55" t="n">
        <x:f>IF($D1101="",0,ROUND(IF(OR($P1101="Out",$P1101="Suspended"),$Q1101*$H1101,IF($P1101="Doubtful",$Q1101*$H1101*0.5,IF($P1101="Limited",$Q1101*$H1101*0.25,0))),2))</x:f>
        <x:v>0</x:v>
      </x:c>
      <x:c r="T1101" s="55" t="str"/>
      <x:c r="U1101" s="51" t="str"/>
    </x:row>
    <x:row r="1102">
      <x:c r="A1102" s="51" t="str">
        <x:v>Portugal</x:v>
      </x:c>
      <x:c r="B1102" s="51" t="str">
        <x:v>K</x:v>
      </x:c>
      <x:c r="C1102" s="51" t="n">
        <x:v>6</x:v>
      </x:c>
      <x:c r="D1102" s="71" t="str"/>
      <x:c r="E1102" s="51" t="str">
        <x:v>CB</x:v>
      </x:c>
      <x:c r="F1102" s="51" t="str">
        <x:v>Defence</x:v>
      </x:c>
      <x:c r="G1102" s="51" t="str">
        <x:v>Starter</x:v>
      </x:c>
      <x:c r="H1102" s="55" t="n">
        <x:v>1</x:v>
      </x:c>
      <x:c r="I1102" s="51" t="str"/>
      <x:c r="J1102" s="72" t="str"/>
      <x:c r="K1102" s="72" t="str"/>
      <x:c r="L1102" s="72" t="str"/>
      <x:c r="M1102" s="72" t="str"/>
      <x:c r="N1102" s="72" t="str"/>
      <x:c r="O1102" s="72" t="str"/>
      <x:c r="P1102" s="72" t="str">
        <x:v>Available</x:v>
      </x:c>
      <x:c r="Q1102" s="72" t="n">
        <x:v>0</x:v>
      </x:c>
      <x:c r="R1102" s="55" t="str">
        <x:f>IF($D1102="","",ROUND(MAX(0,MIN(100,0.35*$J1102+0.2*$K1102+0.15*$L1102+0.15*$M1102+0.1*$N1102+0.05*$O1102-IF(OR($P1102="Out",$P1102="Suspended"),$Q1102,IF($P1102="Doubtful",$Q1102*0.5,IF($P1102="Limited",$Q1102*0.25,0))))),2))</x:f>
      </x:c>
      <x:c r="S1102" s="55" t="n">
        <x:f>IF($D1102="",0,ROUND(IF(OR($P1102="Out",$P1102="Suspended"),$Q1102*$H1102,IF($P1102="Doubtful",$Q1102*$H1102*0.5,IF($P1102="Limited",$Q1102*$H1102*0.25,0))),2))</x:f>
        <x:v>0</x:v>
      </x:c>
      <x:c r="T1102" s="55" t="str"/>
      <x:c r="U1102" s="51" t="str"/>
    </x:row>
    <x:row r="1103">
      <x:c r="A1103" s="51" t="str">
        <x:v>Portugal</x:v>
      </x:c>
      <x:c r="B1103" s="51" t="str">
        <x:v>K</x:v>
      </x:c>
      <x:c r="C1103" s="51" t="n">
        <x:v>7</x:v>
      </x:c>
      <x:c r="D1103" s="71" t="str"/>
      <x:c r="E1103" s="51" t="str">
        <x:v>FB</x:v>
      </x:c>
      <x:c r="F1103" s="51" t="str">
        <x:v>Defence</x:v>
      </x:c>
      <x:c r="G1103" s="51" t="str">
        <x:v>Starter</x:v>
      </x:c>
      <x:c r="H1103" s="55" t="n">
        <x:v>1</x:v>
      </x:c>
      <x:c r="I1103" s="51" t="str"/>
      <x:c r="J1103" s="72" t="str"/>
      <x:c r="K1103" s="72" t="str"/>
      <x:c r="L1103" s="72" t="str"/>
      <x:c r="M1103" s="72" t="str"/>
      <x:c r="N1103" s="72" t="str"/>
      <x:c r="O1103" s="72" t="str"/>
      <x:c r="P1103" s="72" t="str">
        <x:v>Available</x:v>
      </x:c>
      <x:c r="Q1103" s="72" t="n">
        <x:v>0</x:v>
      </x:c>
      <x:c r="R1103" s="55" t="str">
        <x:f>IF($D1103="","",ROUND(MAX(0,MIN(100,0.35*$J1103+0.2*$K1103+0.15*$L1103+0.15*$M1103+0.1*$N1103+0.05*$O1103-IF(OR($P1103="Out",$P1103="Suspended"),$Q1103,IF($P1103="Doubtful",$Q1103*0.5,IF($P1103="Limited",$Q1103*0.25,0))))),2))</x:f>
      </x:c>
      <x:c r="S1103" s="55" t="n">
        <x:f>IF($D1103="",0,ROUND(IF(OR($P1103="Out",$P1103="Suspended"),$Q1103*$H1103,IF($P1103="Doubtful",$Q1103*$H1103*0.5,IF($P1103="Limited",$Q1103*$H1103*0.25,0))),2))</x:f>
        <x:v>0</x:v>
      </x:c>
      <x:c r="T1103" s="55" t="str"/>
      <x:c r="U1103" s="51" t="str"/>
    </x:row>
    <x:row r="1104">
      <x:c r="A1104" s="51" t="str">
        <x:v>Portugal</x:v>
      </x:c>
      <x:c r="B1104" s="51" t="str">
        <x:v>K</x:v>
      </x:c>
      <x:c r="C1104" s="51" t="n">
        <x:v>8</x:v>
      </x:c>
      <x:c r="D1104" s="71" t="str"/>
      <x:c r="E1104" s="51" t="str">
        <x:v>FB</x:v>
      </x:c>
      <x:c r="F1104" s="51" t="str">
        <x:v>Defence</x:v>
      </x:c>
      <x:c r="G1104" s="51" t="str">
        <x:v>Starter</x:v>
      </x:c>
      <x:c r="H1104" s="55" t="n">
        <x:v>1</x:v>
      </x:c>
      <x:c r="I1104" s="51" t="str"/>
      <x:c r="J1104" s="72" t="str"/>
      <x:c r="K1104" s="72" t="str"/>
      <x:c r="L1104" s="72" t="str"/>
      <x:c r="M1104" s="72" t="str"/>
      <x:c r="N1104" s="72" t="str"/>
      <x:c r="O1104" s="72" t="str"/>
      <x:c r="P1104" s="72" t="str">
        <x:v>Available</x:v>
      </x:c>
      <x:c r="Q1104" s="72" t="n">
        <x:v>0</x:v>
      </x:c>
      <x:c r="R1104" s="55" t="str">
        <x:f>IF($D1104="","",ROUND(MAX(0,MIN(100,0.35*$J1104+0.2*$K1104+0.15*$L1104+0.15*$M1104+0.1*$N1104+0.05*$O1104-IF(OR($P1104="Out",$P1104="Suspended"),$Q1104,IF($P1104="Doubtful",$Q1104*0.5,IF($P1104="Limited",$Q1104*0.25,0))))),2))</x:f>
      </x:c>
      <x:c r="S1104" s="55" t="n">
        <x:f>IF($D1104="",0,ROUND(IF(OR($P1104="Out",$P1104="Suspended"),$Q1104*$H1104,IF($P1104="Doubtful",$Q1104*$H1104*0.5,IF($P1104="Limited",$Q1104*$H1104*0.25,0))),2))</x:f>
        <x:v>0</x:v>
      </x:c>
      <x:c r="T1104" s="55" t="str"/>
      <x:c r="U1104" s="51" t="str"/>
    </x:row>
    <x:row r="1105">
      <x:c r="A1105" s="51" t="str">
        <x:v>Portugal</x:v>
      </x:c>
      <x:c r="B1105" s="51" t="str">
        <x:v>K</x:v>
      </x:c>
      <x:c r="C1105" s="51" t="n">
        <x:v>9</x:v>
      </x:c>
      <x:c r="D1105" s="71" t="str"/>
      <x:c r="E1105" s="51" t="str">
        <x:v>DM</x:v>
      </x:c>
      <x:c r="F1105" s="51" t="str">
        <x:v>Midfield</x:v>
      </x:c>
      <x:c r="G1105" s="51" t="str">
        <x:v>Starter</x:v>
      </x:c>
      <x:c r="H1105" s="55" t="n">
        <x:v>1</x:v>
      </x:c>
      <x:c r="I1105" s="51" t="str"/>
      <x:c r="J1105" s="72" t="str"/>
      <x:c r="K1105" s="72" t="str"/>
      <x:c r="L1105" s="72" t="str"/>
      <x:c r="M1105" s="72" t="str"/>
      <x:c r="N1105" s="72" t="str"/>
      <x:c r="O1105" s="72" t="str"/>
      <x:c r="P1105" s="72" t="str">
        <x:v>Available</x:v>
      </x:c>
      <x:c r="Q1105" s="72" t="n">
        <x:v>0</x:v>
      </x:c>
      <x:c r="R1105" s="55" t="str">
        <x:f>IF($D1105="","",ROUND(MAX(0,MIN(100,0.35*$J1105+0.2*$K1105+0.15*$L1105+0.15*$M1105+0.1*$N1105+0.05*$O1105-IF(OR($P1105="Out",$P1105="Suspended"),$Q1105,IF($P1105="Doubtful",$Q1105*0.5,IF($P1105="Limited",$Q1105*0.25,0))))),2))</x:f>
      </x:c>
      <x:c r="S1105" s="55" t="n">
        <x:f>IF($D1105="",0,ROUND(IF(OR($P1105="Out",$P1105="Suspended"),$Q1105*$H1105,IF($P1105="Doubtful",$Q1105*$H1105*0.5,IF($P1105="Limited",$Q1105*$H1105*0.25,0))),2))</x:f>
        <x:v>0</x:v>
      </x:c>
      <x:c r="T1105" s="55" t="str"/>
      <x:c r="U1105" s="51" t="str"/>
    </x:row>
    <x:row r="1106">
      <x:c r="A1106" s="51" t="str">
        <x:v>Portugal</x:v>
      </x:c>
      <x:c r="B1106" s="51" t="str">
        <x:v>K</x:v>
      </x:c>
      <x:c r="C1106" s="51" t="n">
        <x:v>10</x:v>
      </x:c>
      <x:c r="D1106" s="71" t="str"/>
      <x:c r="E1106" s="51" t="str">
        <x:v>DM</x:v>
      </x:c>
      <x:c r="F1106" s="51" t="str">
        <x:v>Midfield</x:v>
      </x:c>
      <x:c r="G1106" s="51" t="str">
        <x:v>Starter</x:v>
      </x:c>
      <x:c r="H1106" s="55" t="n">
        <x:v>1</x:v>
      </x:c>
      <x:c r="I1106" s="51" t="str"/>
      <x:c r="J1106" s="72" t="str"/>
      <x:c r="K1106" s="72" t="str"/>
      <x:c r="L1106" s="72" t="str"/>
      <x:c r="M1106" s="72" t="str"/>
      <x:c r="N1106" s="72" t="str"/>
      <x:c r="O1106" s="72" t="str"/>
      <x:c r="P1106" s="72" t="str">
        <x:v>Available</x:v>
      </x:c>
      <x:c r="Q1106" s="72" t="n">
        <x:v>0</x:v>
      </x:c>
      <x:c r="R1106" s="55" t="str">
        <x:f>IF($D1106="","",ROUND(MAX(0,MIN(100,0.35*$J1106+0.2*$K1106+0.15*$L1106+0.15*$M1106+0.1*$N1106+0.05*$O1106-IF(OR($P1106="Out",$P1106="Suspended"),$Q1106,IF($P1106="Doubtful",$Q1106*0.5,IF($P1106="Limited",$Q1106*0.25,0))))),2))</x:f>
      </x:c>
      <x:c r="S1106" s="55" t="n">
        <x:f>IF($D1106="",0,ROUND(IF(OR($P1106="Out",$P1106="Suspended"),$Q1106*$H1106,IF($P1106="Doubtful",$Q1106*$H1106*0.5,IF($P1106="Limited",$Q1106*$H1106*0.25,0))),2))</x:f>
        <x:v>0</x:v>
      </x:c>
      <x:c r="T1106" s="55" t="str"/>
      <x:c r="U1106" s="51" t="str"/>
    </x:row>
    <x:row r="1107">
      <x:c r="A1107" s="51" t="str">
        <x:v>Portugal</x:v>
      </x:c>
      <x:c r="B1107" s="51" t="str">
        <x:v>K</x:v>
      </x:c>
      <x:c r="C1107" s="51" t="n">
        <x:v>11</x:v>
      </x:c>
      <x:c r="D1107" s="71" t="str"/>
      <x:c r="E1107" s="51" t="str">
        <x:v>DM</x:v>
      </x:c>
      <x:c r="F1107" s="51" t="str">
        <x:v>Midfield</x:v>
      </x:c>
      <x:c r="G1107" s="51" t="str">
        <x:v>Starter</x:v>
      </x:c>
      <x:c r="H1107" s="55" t="n">
        <x:v>1</x:v>
      </x:c>
      <x:c r="I1107" s="51" t="str"/>
      <x:c r="J1107" s="72" t="str"/>
      <x:c r="K1107" s="72" t="str"/>
      <x:c r="L1107" s="72" t="str"/>
      <x:c r="M1107" s="72" t="str"/>
      <x:c r="N1107" s="72" t="str"/>
      <x:c r="O1107" s="72" t="str"/>
      <x:c r="P1107" s="72" t="str">
        <x:v>Available</x:v>
      </x:c>
      <x:c r="Q1107" s="72" t="n">
        <x:v>0</x:v>
      </x:c>
      <x:c r="R1107" s="55" t="str">
        <x:f>IF($D1107="","",ROUND(MAX(0,MIN(100,0.35*$J1107+0.2*$K1107+0.15*$L1107+0.15*$M1107+0.1*$N1107+0.05*$O1107-IF(OR($P1107="Out",$P1107="Suspended"),$Q1107,IF($P1107="Doubtful",$Q1107*0.5,IF($P1107="Limited",$Q1107*0.25,0))))),2))</x:f>
      </x:c>
      <x:c r="S1107" s="55" t="n">
        <x:f>IF($D1107="",0,ROUND(IF(OR($P1107="Out",$P1107="Suspended"),$Q1107*$H1107,IF($P1107="Doubtful",$Q1107*$H1107*0.5,IF($P1107="Limited",$Q1107*$H1107*0.25,0))),2))</x:f>
        <x:v>0</x:v>
      </x:c>
      <x:c r="T1107" s="55" t="str"/>
      <x:c r="U1107" s="51" t="str"/>
    </x:row>
    <x:row r="1108">
      <x:c r="A1108" s="51" t="str">
        <x:v>Portugal</x:v>
      </x:c>
      <x:c r="B1108" s="51" t="str">
        <x:v>K</x:v>
      </x:c>
      <x:c r="C1108" s="51" t="n">
        <x:v>12</x:v>
      </x:c>
      <x:c r="D1108" s="71" t="str"/>
      <x:c r="E1108" s="51" t="str">
        <x:v>CM</x:v>
      </x:c>
      <x:c r="F1108" s="51" t="str">
        <x:v>Midfield</x:v>
      </x:c>
      <x:c r="G1108" s="51" t="str">
        <x:v>Rotation</x:v>
      </x:c>
      <x:c r="H1108" s="55" t="n">
        <x:v>0.35</x:v>
      </x:c>
      <x:c r="I1108" s="51" t="str"/>
      <x:c r="J1108" s="72" t="str"/>
      <x:c r="K1108" s="72" t="str"/>
      <x:c r="L1108" s="72" t="str"/>
      <x:c r="M1108" s="72" t="str"/>
      <x:c r="N1108" s="72" t="str"/>
      <x:c r="O1108" s="72" t="str"/>
      <x:c r="P1108" s="72" t="str">
        <x:v>Available</x:v>
      </x:c>
      <x:c r="Q1108" s="72" t="n">
        <x:v>0</x:v>
      </x:c>
      <x:c r="R1108" s="55" t="str">
        <x:f>IF($D1108="","",ROUND(MAX(0,MIN(100,0.35*$J1108+0.2*$K1108+0.15*$L1108+0.15*$M1108+0.1*$N1108+0.05*$O1108-IF(OR($P1108="Out",$P1108="Suspended"),$Q1108,IF($P1108="Doubtful",$Q1108*0.5,IF($P1108="Limited",$Q1108*0.25,0))))),2))</x:f>
      </x:c>
      <x:c r="S1108" s="55" t="n">
        <x:f>IF($D1108="",0,ROUND(IF(OR($P1108="Out",$P1108="Suspended"),$Q1108*$H1108,IF($P1108="Doubtful",$Q1108*$H1108*0.5,IF($P1108="Limited",$Q1108*$H1108*0.25,0))),2))</x:f>
        <x:v>0</x:v>
      </x:c>
      <x:c r="T1108" s="55" t="str"/>
      <x:c r="U1108" s="51" t="str"/>
    </x:row>
    <x:row r="1109">
      <x:c r="A1109" s="51" t="str">
        <x:v>Portugal</x:v>
      </x:c>
      <x:c r="B1109" s="51" t="str">
        <x:v>K</x:v>
      </x:c>
      <x:c r="C1109" s="51" t="n">
        <x:v>13</x:v>
      </x:c>
      <x:c r="D1109" s="71" t="str"/>
      <x:c r="E1109" s="51" t="str">
        <x:v>CM</x:v>
      </x:c>
      <x:c r="F1109" s="51" t="str">
        <x:v>Midfield</x:v>
      </x:c>
      <x:c r="G1109" s="51" t="str">
        <x:v>Rotation</x:v>
      </x:c>
      <x:c r="H1109" s="55" t="n">
        <x:v>0.35</x:v>
      </x:c>
      <x:c r="I1109" s="51" t="str"/>
      <x:c r="J1109" s="72" t="str"/>
      <x:c r="K1109" s="72" t="str"/>
      <x:c r="L1109" s="72" t="str"/>
      <x:c r="M1109" s="72" t="str"/>
      <x:c r="N1109" s="72" t="str"/>
      <x:c r="O1109" s="72" t="str"/>
      <x:c r="P1109" s="72" t="str">
        <x:v>Available</x:v>
      </x:c>
      <x:c r="Q1109" s="72" t="n">
        <x:v>0</x:v>
      </x:c>
      <x:c r="R1109" s="55" t="str">
        <x:f>IF($D1109="","",ROUND(MAX(0,MIN(100,0.35*$J1109+0.2*$K1109+0.15*$L1109+0.15*$M1109+0.1*$N1109+0.05*$O1109-IF(OR($P1109="Out",$P1109="Suspended"),$Q1109,IF($P1109="Doubtful",$Q1109*0.5,IF($P1109="Limited",$Q1109*0.25,0))))),2))</x:f>
      </x:c>
      <x:c r="S1109" s="55" t="n">
        <x:f>IF($D1109="",0,ROUND(IF(OR($P1109="Out",$P1109="Suspended"),$Q1109*$H1109,IF($P1109="Doubtful",$Q1109*$H1109*0.5,IF($P1109="Limited",$Q1109*$H1109*0.25,0))),2))</x:f>
        <x:v>0</x:v>
      </x:c>
      <x:c r="T1109" s="55" t="str"/>
      <x:c r="U1109" s="51" t="str"/>
    </x:row>
    <x:row r="1110">
      <x:c r="A1110" s="51" t="str">
        <x:v>Portugal</x:v>
      </x:c>
      <x:c r="B1110" s="51" t="str">
        <x:v>K</x:v>
      </x:c>
      <x:c r="C1110" s="51" t="n">
        <x:v>14</x:v>
      </x:c>
      <x:c r="D1110" s="71" t="str"/>
      <x:c r="E1110" s="51" t="str">
        <x:v>CM</x:v>
      </x:c>
      <x:c r="F1110" s="51" t="str">
        <x:v>Midfield</x:v>
      </x:c>
      <x:c r="G1110" s="51" t="str">
        <x:v>Rotation</x:v>
      </x:c>
      <x:c r="H1110" s="55" t="n">
        <x:v>0.35</x:v>
      </x:c>
      <x:c r="I1110" s="51" t="str"/>
      <x:c r="J1110" s="72" t="str"/>
      <x:c r="K1110" s="72" t="str"/>
      <x:c r="L1110" s="72" t="str"/>
      <x:c r="M1110" s="72" t="str"/>
      <x:c r="N1110" s="72" t="str"/>
      <x:c r="O1110" s="72" t="str"/>
      <x:c r="P1110" s="72" t="str">
        <x:v>Available</x:v>
      </x:c>
      <x:c r="Q1110" s="72" t="n">
        <x:v>0</x:v>
      </x:c>
      <x:c r="R1110" s="55" t="str">
        <x:f>IF($D1110="","",ROUND(MAX(0,MIN(100,0.35*$J1110+0.2*$K1110+0.15*$L1110+0.15*$M1110+0.1*$N1110+0.05*$O1110-IF(OR($P1110="Out",$P1110="Suspended"),$Q1110,IF($P1110="Doubtful",$Q1110*0.5,IF($P1110="Limited",$Q1110*0.25,0))))),2))</x:f>
      </x:c>
      <x:c r="S1110" s="55" t="n">
        <x:f>IF($D1110="",0,ROUND(IF(OR($P1110="Out",$P1110="Suspended"),$Q1110*$H1110,IF($P1110="Doubtful",$Q1110*$H1110*0.5,IF($P1110="Limited",$Q1110*$H1110*0.25,0))),2))</x:f>
        <x:v>0</x:v>
      </x:c>
      <x:c r="T1110" s="55" t="str"/>
      <x:c r="U1110" s="51" t="str"/>
    </x:row>
    <x:row r="1111">
      <x:c r="A1111" s="51" t="str">
        <x:v>Portugal</x:v>
      </x:c>
      <x:c r="B1111" s="51" t="str">
        <x:v>K</x:v>
      </x:c>
      <x:c r="C1111" s="51" t="n">
        <x:v>15</x:v>
      </x:c>
      <x:c r="D1111" s="71" t="str"/>
      <x:c r="E1111" s="51" t="str">
        <x:v>CM</x:v>
      </x:c>
      <x:c r="F1111" s="51" t="str">
        <x:v>Midfield</x:v>
      </x:c>
      <x:c r="G1111" s="51" t="str">
        <x:v>Rotation</x:v>
      </x:c>
      <x:c r="H1111" s="55" t="n">
        <x:v>0.35</x:v>
      </x:c>
      <x:c r="I1111" s="51" t="str"/>
      <x:c r="J1111" s="72" t="str"/>
      <x:c r="K1111" s="72" t="str"/>
      <x:c r="L1111" s="72" t="str"/>
      <x:c r="M1111" s="72" t="str"/>
      <x:c r="N1111" s="72" t="str"/>
      <x:c r="O1111" s="72" t="str"/>
      <x:c r="P1111" s="72" t="str">
        <x:v>Available</x:v>
      </x:c>
      <x:c r="Q1111" s="72" t="n">
        <x:v>0</x:v>
      </x:c>
      <x:c r="R1111" s="55" t="str">
        <x:f>IF($D1111="","",ROUND(MAX(0,MIN(100,0.35*$J1111+0.2*$K1111+0.15*$L1111+0.15*$M1111+0.1*$N1111+0.05*$O1111-IF(OR($P1111="Out",$P1111="Suspended"),$Q1111,IF($P1111="Doubtful",$Q1111*0.5,IF($P1111="Limited",$Q1111*0.25,0))))),2))</x:f>
      </x:c>
      <x:c r="S1111" s="55" t="n">
        <x:f>IF($D1111="",0,ROUND(IF(OR($P1111="Out",$P1111="Suspended"),$Q1111*$H1111,IF($P1111="Doubtful",$Q1111*$H1111*0.5,IF($P1111="Limited",$Q1111*$H1111*0.25,0))),2))</x:f>
        <x:v>0</x:v>
      </x:c>
      <x:c r="T1111" s="55" t="str"/>
      <x:c r="U1111" s="51" t="str"/>
    </x:row>
    <x:row r="1112">
      <x:c r="A1112" s="51" t="str">
        <x:v>Portugal</x:v>
      </x:c>
      <x:c r="B1112" s="51" t="str">
        <x:v>K</x:v>
      </x:c>
      <x:c r="C1112" s="51" t="n">
        <x:v>16</x:v>
      </x:c>
      <x:c r="D1112" s="71" t="str"/>
      <x:c r="E1112" s="51" t="str">
        <x:v>AM</x:v>
      </x:c>
      <x:c r="F1112" s="51" t="str">
        <x:v>Attack</x:v>
      </x:c>
      <x:c r="G1112" s="51" t="str">
        <x:v>Rotation</x:v>
      </x:c>
      <x:c r="H1112" s="55" t="n">
        <x:v>0.35</x:v>
      </x:c>
      <x:c r="I1112" s="51" t="str"/>
      <x:c r="J1112" s="72" t="str"/>
      <x:c r="K1112" s="72" t="str"/>
      <x:c r="L1112" s="72" t="str"/>
      <x:c r="M1112" s="72" t="str"/>
      <x:c r="N1112" s="72" t="str"/>
      <x:c r="O1112" s="72" t="str"/>
      <x:c r="P1112" s="72" t="str">
        <x:v>Available</x:v>
      </x:c>
      <x:c r="Q1112" s="72" t="n">
        <x:v>0</x:v>
      </x:c>
      <x:c r="R1112" s="55" t="str">
        <x:f>IF($D1112="","",ROUND(MAX(0,MIN(100,0.35*$J1112+0.2*$K1112+0.15*$L1112+0.15*$M1112+0.1*$N1112+0.05*$O1112-IF(OR($P1112="Out",$P1112="Suspended"),$Q1112,IF($P1112="Doubtful",$Q1112*0.5,IF($P1112="Limited",$Q1112*0.25,0))))),2))</x:f>
      </x:c>
      <x:c r="S1112" s="55" t="n">
        <x:f>IF($D1112="",0,ROUND(IF(OR($P1112="Out",$P1112="Suspended"),$Q1112*$H1112,IF($P1112="Doubtful",$Q1112*$H1112*0.5,IF($P1112="Limited",$Q1112*$H1112*0.25,0))),2))</x:f>
        <x:v>0</x:v>
      </x:c>
      <x:c r="T1112" s="55" t="str"/>
      <x:c r="U1112" s="51" t="str"/>
    </x:row>
    <x:row r="1113">
      <x:c r="A1113" s="51" t="str">
        <x:v>Portugal</x:v>
      </x:c>
      <x:c r="B1113" s="51" t="str">
        <x:v>K</x:v>
      </x:c>
      <x:c r="C1113" s="51" t="n">
        <x:v>17</x:v>
      </x:c>
      <x:c r="D1113" s="71" t="str"/>
      <x:c r="E1113" s="51" t="str">
        <x:v>AM</x:v>
      </x:c>
      <x:c r="F1113" s="51" t="str">
        <x:v>Attack</x:v>
      </x:c>
      <x:c r="G1113" s="51" t="str">
        <x:v>Rotation</x:v>
      </x:c>
      <x:c r="H1113" s="55" t="n">
        <x:v>0.35</x:v>
      </x:c>
      <x:c r="I1113" s="51" t="str"/>
      <x:c r="J1113" s="72" t="str"/>
      <x:c r="K1113" s="72" t="str"/>
      <x:c r="L1113" s="72" t="str"/>
      <x:c r="M1113" s="72" t="str"/>
      <x:c r="N1113" s="72" t="str"/>
      <x:c r="O1113" s="72" t="str"/>
      <x:c r="P1113" s="72" t="str">
        <x:v>Available</x:v>
      </x:c>
      <x:c r="Q1113" s="72" t="n">
        <x:v>0</x:v>
      </x:c>
      <x:c r="R1113" s="55" t="str">
        <x:f>IF($D1113="","",ROUND(MAX(0,MIN(100,0.35*$J1113+0.2*$K1113+0.15*$L1113+0.15*$M1113+0.1*$N1113+0.05*$O1113-IF(OR($P1113="Out",$P1113="Suspended"),$Q1113,IF($P1113="Doubtful",$Q1113*0.5,IF($P1113="Limited",$Q1113*0.25,0))))),2))</x:f>
      </x:c>
      <x:c r="S1113" s="55" t="n">
        <x:f>IF($D1113="",0,ROUND(IF(OR($P1113="Out",$P1113="Suspended"),$Q1113*$H1113,IF($P1113="Doubtful",$Q1113*$H1113*0.5,IF($P1113="Limited",$Q1113*$H1113*0.25,0))),2))</x:f>
        <x:v>0</x:v>
      </x:c>
      <x:c r="T1113" s="55" t="str"/>
      <x:c r="U1113" s="51" t="str"/>
    </x:row>
    <x:row r="1114">
      <x:c r="A1114" s="51" t="str">
        <x:v>Portugal</x:v>
      </x:c>
      <x:c r="B1114" s="51" t="str">
        <x:v>K</x:v>
      </x:c>
      <x:c r="C1114" s="51" t="n">
        <x:v>18</x:v>
      </x:c>
      <x:c r="D1114" s="71" t="str"/>
      <x:c r="E1114" s="51" t="str">
        <x:v>AM</x:v>
      </x:c>
      <x:c r="F1114" s="51" t="str">
        <x:v>Attack</x:v>
      </x:c>
      <x:c r="G1114" s="51" t="str">
        <x:v>Rotation</x:v>
      </x:c>
      <x:c r="H1114" s="55" t="n">
        <x:v>0.35</x:v>
      </x:c>
      <x:c r="I1114" s="51" t="str"/>
      <x:c r="J1114" s="72" t="str"/>
      <x:c r="K1114" s="72" t="str"/>
      <x:c r="L1114" s="72" t="str"/>
      <x:c r="M1114" s="72" t="str"/>
      <x:c r="N1114" s="72" t="str"/>
      <x:c r="O1114" s="72" t="str"/>
      <x:c r="P1114" s="72" t="str">
        <x:v>Available</x:v>
      </x:c>
      <x:c r="Q1114" s="72" t="n">
        <x:v>0</x:v>
      </x:c>
      <x:c r="R1114" s="55" t="str">
        <x:f>IF($D1114="","",ROUND(MAX(0,MIN(100,0.35*$J1114+0.2*$K1114+0.15*$L1114+0.15*$M1114+0.1*$N1114+0.05*$O1114-IF(OR($P1114="Out",$P1114="Suspended"),$Q1114,IF($P1114="Doubtful",$Q1114*0.5,IF($P1114="Limited",$Q1114*0.25,0))))),2))</x:f>
      </x:c>
      <x:c r="S1114" s="55" t="n">
        <x:f>IF($D1114="",0,ROUND(IF(OR($P1114="Out",$P1114="Suspended"),$Q1114*$H1114,IF($P1114="Doubtful",$Q1114*$H1114*0.5,IF($P1114="Limited",$Q1114*$H1114*0.25,0))),2))</x:f>
        <x:v>0</x:v>
      </x:c>
      <x:c r="T1114" s="55" t="str"/>
      <x:c r="U1114" s="51" t="str"/>
    </x:row>
    <x:row r="1115">
      <x:c r="A1115" s="51" t="str">
        <x:v>Portugal</x:v>
      </x:c>
      <x:c r="B1115" s="51" t="str">
        <x:v>K</x:v>
      </x:c>
      <x:c r="C1115" s="51" t="n">
        <x:v>19</x:v>
      </x:c>
      <x:c r="D1115" s="71" t="str"/>
      <x:c r="E1115" s="51" t="str">
        <x:v>AM</x:v>
      </x:c>
      <x:c r="F1115" s="51" t="str">
        <x:v>Attack</x:v>
      </x:c>
      <x:c r="G1115" s="51" t="str">
        <x:v>Rotation</x:v>
      </x:c>
      <x:c r="H1115" s="55" t="n">
        <x:v>0.35</x:v>
      </x:c>
      <x:c r="I1115" s="51" t="str"/>
      <x:c r="J1115" s="72" t="str"/>
      <x:c r="K1115" s="72" t="str"/>
      <x:c r="L1115" s="72" t="str"/>
      <x:c r="M1115" s="72" t="str"/>
      <x:c r="N1115" s="72" t="str"/>
      <x:c r="O1115" s="72" t="str"/>
      <x:c r="P1115" s="72" t="str">
        <x:v>Available</x:v>
      </x:c>
      <x:c r="Q1115" s="72" t="n">
        <x:v>0</x:v>
      </x:c>
      <x:c r="R1115" s="55" t="str">
        <x:f>IF($D1115="","",ROUND(MAX(0,MIN(100,0.35*$J1115+0.2*$K1115+0.15*$L1115+0.15*$M1115+0.1*$N1115+0.05*$O1115-IF(OR($P1115="Out",$P1115="Suspended"),$Q1115,IF($P1115="Doubtful",$Q1115*0.5,IF($P1115="Limited",$Q1115*0.25,0))))),2))</x:f>
      </x:c>
      <x:c r="S1115" s="55" t="n">
        <x:f>IF($D1115="",0,ROUND(IF(OR($P1115="Out",$P1115="Suspended"),$Q1115*$H1115,IF($P1115="Doubtful",$Q1115*$H1115*0.5,IF($P1115="Limited",$Q1115*$H1115*0.25,0))),2))</x:f>
        <x:v>0</x:v>
      </x:c>
      <x:c r="T1115" s="55" t="str"/>
      <x:c r="U1115" s="51" t="str"/>
    </x:row>
    <x:row r="1116">
      <x:c r="A1116" s="51" t="str">
        <x:v>Portugal</x:v>
      </x:c>
      <x:c r="B1116" s="51" t="str">
        <x:v>K</x:v>
      </x:c>
      <x:c r="C1116" s="51" t="n">
        <x:v>20</x:v>
      </x:c>
      <x:c r="D1116" s="71" t="str"/>
      <x:c r="E1116" s="51" t="str">
        <x:v>Winger</x:v>
      </x:c>
      <x:c r="F1116" s="51" t="str">
        <x:v>Attack</x:v>
      </x:c>
      <x:c r="G1116" s="51" t="str">
        <x:v>Rotation</x:v>
      </x:c>
      <x:c r="H1116" s="55" t="n">
        <x:v>0.35</x:v>
      </x:c>
      <x:c r="I1116" s="51" t="str"/>
      <x:c r="J1116" s="72" t="str"/>
      <x:c r="K1116" s="72" t="str"/>
      <x:c r="L1116" s="72" t="str"/>
      <x:c r="M1116" s="72" t="str"/>
      <x:c r="N1116" s="72" t="str"/>
      <x:c r="O1116" s="72" t="str"/>
      <x:c r="P1116" s="72" t="str">
        <x:v>Available</x:v>
      </x:c>
      <x:c r="Q1116" s="72" t="n">
        <x:v>0</x:v>
      </x:c>
      <x:c r="R1116" s="55" t="str">
        <x:f>IF($D1116="","",ROUND(MAX(0,MIN(100,0.35*$J1116+0.2*$K1116+0.15*$L1116+0.15*$M1116+0.1*$N1116+0.05*$O1116-IF(OR($P1116="Out",$P1116="Suspended"),$Q1116,IF($P1116="Doubtful",$Q1116*0.5,IF($P1116="Limited",$Q1116*0.25,0))))),2))</x:f>
      </x:c>
      <x:c r="S1116" s="55" t="n">
        <x:f>IF($D1116="",0,ROUND(IF(OR($P1116="Out",$P1116="Suspended"),$Q1116*$H1116,IF($P1116="Doubtful",$Q1116*$H1116*0.5,IF($P1116="Limited",$Q1116*$H1116*0.25,0))),2))</x:f>
        <x:v>0</x:v>
      </x:c>
      <x:c r="T1116" s="55" t="str"/>
      <x:c r="U1116" s="51" t="str"/>
    </x:row>
    <x:row r="1117">
      <x:c r="A1117" s="51" t="str">
        <x:v>Portugal</x:v>
      </x:c>
      <x:c r="B1117" s="51" t="str">
        <x:v>K</x:v>
      </x:c>
      <x:c r="C1117" s="51" t="n">
        <x:v>21</x:v>
      </x:c>
      <x:c r="D1117" s="71" t="str"/>
      <x:c r="E1117" s="51" t="str">
        <x:v>Winger</x:v>
      </x:c>
      <x:c r="F1117" s="51" t="str">
        <x:v>Attack</x:v>
      </x:c>
      <x:c r="G1117" s="51" t="str">
        <x:v>Depth</x:v>
      </x:c>
      <x:c r="H1117" s="55" t="n">
        <x:v>0.1</x:v>
      </x:c>
      <x:c r="I1117" s="51" t="str"/>
      <x:c r="J1117" s="72" t="str"/>
      <x:c r="K1117" s="72" t="str"/>
      <x:c r="L1117" s="72" t="str"/>
      <x:c r="M1117" s="72" t="str"/>
      <x:c r="N1117" s="72" t="str"/>
      <x:c r="O1117" s="72" t="str"/>
      <x:c r="P1117" s="72" t="str">
        <x:v>Available</x:v>
      </x:c>
      <x:c r="Q1117" s="72" t="n">
        <x:v>0</x:v>
      </x:c>
      <x:c r="R1117" s="55" t="str">
        <x:f>IF($D1117="","",ROUND(MAX(0,MIN(100,0.35*$J1117+0.2*$K1117+0.15*$L1117+0.15*$M1117+0.1*$N1117+0.05*$O1117-IF(OR($P1117="Out",$P1117="Suspended"),$Q1117,IF($P1117="Doubtful",$Q1117*0.5,IF($P1117="Limited",$Q1117*0.25,0))))),2))</x:f>
      </x:c>
      <x:c r="S1117" s="55" t="n">
        <x:f>IF($D1117="",0,ROUND(IF(OR($P1117="Out",$P1117="Suspended"),$Q1117*$H1117,IF($P1117="Doubtful",$Q1117*$H1117*0.5,IF($P1117="Limited",$Q1117*$H1117*0.25,0))),2))</x:f>
        <x:v>0</x:v>
      </x:c>
      <x:c r="T1117" s="55" t="str"/>
      <x:c r="U1117" s="51" t="str"/>
    </x:row>
    <x:row r="1118">
      <x:c r="A1118" s="51" t="str">
        <x:v>Portugal</x:v>
      </x:c>
      <x:c r="B1118" s="51" t="str">
        <x:v>K</x:v>
      </x:c>
      <x:c r="C1118" s="51" t="n">
        <x:v>22</x:v>
      </x:c>
      <x:c r="D1118" s="71" t="str"/>
      <x:c r="E1118" s="51" t="str">
        <x:v>Winger</x:v>
      </x:c>
      <x:c r="F1118" s="51" t="str">
        <x:v>Attack</x:v>
      </x:c>
      <x:c r="G1118" s="51" t="str">
        <x:v>Depth</x:v>
      </x:c>
      <x:c r="H1118" s="55" t="n">
        <x:v>0.1</x:v>
      </x:c>
      <x:c r="I1118" s="51" t="str"/>
      <x:c r="J1118" s="72" t="str"/>
      <x:c r="K1118" s="72" t="str"/>
      <x:c r="L1118" s="72" t="str"/>
      <x:c r="M1118" s="72" t="str"/>
      <x:c r="N1118" s="72" t="str"/>
      <x:c r="O1118" s="72" t="str"/>
      <x:c r="P1118" s="72" t="str">
        <x:v>Available</x:v>
      </x:c>
      <x:c r="Q1118" s="72" t="n">
        <x:v>0</x:v>
      </x:c>
      <x:c r="R1118" s="55" t="str">
        <x:f>IF($D1118="","",ROUND(MAX(0,MIN(100,0.35*$J1118+0.2*$K1118+0.15*$L1118+0.15*$M1118+0.1*$N1118+0.05*$O1118-IF(OR($P1118="Out",$P1118="Suspended"),$Q1118,IF($P1118="Doubtful",$Q1118*0.5,IF($P1118="Limited",$Q1118*0.25,0))))),2))</x:f>
      </x:c>
      <x:c r="S1118" s="55" t="n">
        <x:f>IF($D1118="",0,ROUND(IF(OR($P1118="Out",$P1118="Suspended"),$Q1118*$H1118,IF($P1118="Doubtful",$Q1118*$H1118*0.5,IF($P1118="Limited",$Q1118*$H1118*0.25,0))),2))</x:f>
        <x:v>0</x:v>
      </x:c>
      <x:c r="T1118" s="55" t="str"/>
      <x:c r="U1118" s="51" t="str"/>
    </x:row>
    <x:row r="1119">
      <x:c r="A1119" s="51" t="str">
        <x:v>Portugal</x:v>
      </x:c>
      <x:c r="B1119" s="51" t="str">
        <x:v>K</x:v>
      </x:c>
      <x:c r="C1119" s="51" t="n">
        <x:v>23</x:v>
      </x:c>
      <x:c r="D1119" s="71" t="str"/>
      <x:c r="E1119" s="51" t="str">
        <x:v>Winger</x:v>
      </x:c>
      <x:c r="F1119" s="51" t="str">
        <x:v>Attack</x:v>
      </x:c>
      <x:c r="G1119" s="51" t="str">
        <x:v>Depth</x:v>
      </x:c>
      <x:c r="H1119" s="55" t="n">
        <x:v>0.1</x:v>
      </x:c>
      <x:c r="I1119" s="51" t="str"/>
      <x:c r="J1119" s="72" t="str"/>
      <x:c r="K1119" s="72" t="str"/>
      <x:c r="L1119" s="72" t="str"/>
      <x:c r="M1119" s="72" t="str"/>
      <x:c r="N1119" s="72" t="str"/>
      <x:c r="O1119" s="72" t="str"/>
      <x:c r="P1119" s="72" t="str">
        <x:v>Available</x:v>
      </x:c>
      <x:c r="Q1119" s="72" t="n">
        <x:v>0</x:v>
      </x:c>
      <x:c r="R1119" s="55" t="str">
        <x:f>IF($D1119="","",ROUND(MAX(0,MIN(100,0.35*$J1119+0.2*$K1119+0.15*$L1119+0.15*$M1119+0.1*$N1119+0.05*$O1119-IF(OR($P1119="Out",$P1119="Suspended"),$Q1119,IF($P1119="Doubtful",$Q1119*0.5,IF($P1119="Limited",$Q1119*0.25,0))))),2))</x:f>
      </x:c>
      <x:c r="S1119" s="55" t="n">
        <x:f>IF($D1119="",0,ROUND(IF(OR($P1119="Out",$P1119="Suspended"),$Q1119*$H1119,IF($P1119="Doubtful",$Q1119*$H1119*0.5,IF($P1119="Limited",$Q1119*$H1119*0.25,0))),2))</x:f>
        <x:v>0</x:v>
      </x:c>
      <x:c r="T1119" s="55" t="str"/>
      <x:c r="U1119" s="51" t="str"/>
    </x:row>
    <x:row r="1120">
      <x:c r="A1120" s="51" t="str">
        <x:v>Portugal</x:v>
      </x:c>
      <x:c r="B1120" s="51" t="str">
        <x:v>K</x:v>
      </x:c>
      <x:c r="C1120" s="51" t="n">
        <x:v>24</x:v>
      </x:c>
      <x:c r="D1120" s="71" t="str"/>
      <x:c r="E1120" s="51" t="str">
        <x:v>ST</x:v>
      </x:c>
      <x:c r="F1120" s="51" t="str">
        <x:v>Attack</x:v>
      </x:c>
      <x:c r="G1120" s="51" t="str">
        <x:v>Depth</x:v>
      </x:c>
      <x:c r="H1120" s="55" t="n">
        <x:v>0.1</x:v>
      </x:c>
      <x:c r="I1120" s="51" t="str"/>
      <x:c r="J1120" s="72" t="str"/>
      <x:c r="K1120" s="72" t="str"/>
      <x:c r="L1120" s="72" t="str"/>
      <x:c r="M1120" s="72" t="str"/>
      <x:c r="N1120" s="72" t="str"/>
      <x:c r="O1120" s="72" t="str"/>
      <x:c r="P1120" s="72" t="str">
        <x:v>Available</x:v>
      </x:c>
      <x:c r="Q1120" s="72" t="n">
        <x:v>0</x:v>
      </x:c>
      <x:c r="R1120" s="55" t="str">
        <x:f>IF($D1120="","",ROUND(MAX(0,MIN(100,0.35*$J1120+0.2*$K1120+0.15*$L1120+0.15*$M1120+0.1*$N1120+0.05*$O1120-IF(OR($P1120="Out",$P1120="Suspended"),$Q1120,IF($P1120="Doubtful",$Q1120*0.5,IF($P1120="Limited",$Q1120*0.25,0))))),2))</x:f>
      </x:c>
      <x:c r="S1120" s="55" t="n">
        <x:f>IF($D1120="",0,ROUND(IF(OR($P1120="Out",$P1120="Suspended"),$Q1120*$H1120,IF($P1120="Doubtful",$Q1120*$H1120*0.5,IF($P1120="Limited",$Q1120*$H1120*0.25,0))),2))</x:f>
        <x:v>0</x:v>
      </x:c>
      <x:c r="T1120" s="55" t="str"/>
      <x:c r="U1120" s="51" t="str"/>
    </x:row>
    <x:row r="1121">
      <x:c r="A1121" s="51" t="str">
        <x:v>Portugal</x:v>
      </x:c>
      <x:c r="B1121" s="51" t="str">
        <x:v>K</x:v>
      </x:c>
      <x:c r="C1121" s="51" t="n">
        <x:v>25</x:v>
      </x:c>
      <x:c r="D1121" s="71" t="str"/>
      <x:c r="E1121" s="51" t="str">
        <x:v>ST</x:v>
      </x:c>
      <x:c r="F1121" s="51" t="str">
        <x:v>Attack</x:v>
      </x:c>
      <x:c r="G1121" s="51" t="str">
        <x:v>Depth</x:v>
      </x:c>
      <x:c r="H1121" s="55" t="n">
        <x:v>0.1</x:v>
      </x:c>
      <x:c r="I1121" s="51" t="str"/>
      <x:c r="J1121" s="72" t="str"/>
      <x:c r="K1121" s="72" t="str"/>
      <x:c r="L1121" s="72" t="str"/>
      <x:c r="M1121" s="72" t="str"/>
      <x:c r="N1121" s="72" t="str"/>
      <x:c r="O1121" s="72" t="str"/>
      <x:c r="P1121" s="72" t="str">
        <x:v>Available</x:v>
      </x:c>
      <x:c r="Q1121" s="72" t="n">
        <x:v>0</x:v>
      </x:c>
      <x:c r="R1121" s="55" t="str">
        <x:f>IF($D1121="","",ROUND(MAX(0,MIN(100,0.35*$J1121+0.2*$K1121+0.15*$L1121+0.15*$M1121+0.1*$N1121+0.05*$O1121-IF(OR($P1121="Out",$P1121="Suspended"),$Q1121,IF($P1121="Doubtful",$Q1121*0.5,IF($P1121="Limited",$Q1121*0.25,0))))),2))</x:f>
      </x:c>
      <x:c r="S1121" s="55" t="n">
        <x:f>IF($D1121="",0,ROUND(IF(OR($P1121="Out",$P1121="Suspended"),$Q1121*$H1121,IF($P1121="Doubtful",$Q1121*$H1121*0.5,IF($P1121="Limited",$Q1121*$H1121*0.25,0))),2))</x:f>
        <x:v>0</x:v>
      </x:c>
      <x:c r="T1121" s="55" t="str"/>
      <x:c r="U1121" s="51" t="str"/>
    </x:row>
    <x:row r="1122">
      <x:c r="A1122" s="51" t="str">
        <x:v>Portugal</x:v>
      </x:c>
      <x:c r="B1122" s="51" t="str">
        <x:v>K</x:v>
      </x:c>
      <x:c r="C1122" s="51" t="n">
        <x:v>26</x:v>
      </x:c>
      <x:c r="D1122" s="71" t="str"/>
      <x:c r="E1122" s="51" t="str">
        <x:v>ST</x:v>
      </x:c>
      <x:c r="F1122" s="51" t="str">
        <x:v>Attack</x:v>
      </x:c>
      <x:c r="G1122" s="51" t="str">
        <x:v>Depth</x:v>
      </x:c>
      <x:c r="H1122" s="55" t="n">
        <x:v>0.1</x:v>
      </x:c>
      <x:c r="I1122" s="51" t="str"/>
      <x:c r="J1122" s="72" t="str"/>
      <x:c r="K1122" s="72" t="str"/>
      <x:c r="L1122" s="72" t="str"/>
      <x:c r="M1122" s="72" t="str"/>
      <x:c r="N1122" s="72" t="str"/>
      <x:c r="O1122" s="72" t="str"/>
      <x:c r="P1122" s="72" t="str">
        <x:v>Available</x:v>
      </x:c>
      <x:c r="Q1122" s="72" t="n">
        <x:v>0</x:v>
      </x:c>
      <x:c r="R1122" s="55" t="str">
        <x:f>IF($D1122="","",ROUND(MAX(0,MIN(100,0.35*$J1122+0.2*$K1122+0.15*$L1122+0.15*$M1122+0.1*$N1122+0.05*$O1122-IF(OR($P1122="Out",$P1122="Suspended"),$Q1122,IF($P1122="Doubtful",$Q1122*0.5,IF($P1122="Limited",$Q1122*0.25,0))))),2))</x:f>
      </x:c>
      <x:c r="S1122" s="55" t="n">
        <x:f>IF($D1122="",0,ROUND(IF(OR($P1122="Out",$P1122="Suspended"),$Q1122*$H1122,IF($P1122="Doubtful",$Q1122*$H1122*0.5,IF($P1122="Limited",$Q1122*$H1122*0.25,0))),2))</x:f>
        <x:v>0</x:v>
      </x:c>
      <x:c r="T1122" s="55" t="str"/>
      <x:c r="U1122" s="51" t="str"/>
    </x:row>
    <x:row r="1123">
      <x:c r="A1123" s="51" t="str">
        <x:v>Uzbekistan</x:v>
      </x:c>
      <x:c r="B1123" s="51" t="str">
        <x:v>K</x:v>
      </x:c>
      <x:c r="C1123" s="51" t="n">
        <x:v>1</x:v>
      </x:c>
      <x:c r="D1123" s="71" t="str"/>
      <x:c r="E1123" s="51" t="str">
        <x:v>GK</x:v>
      </x:c>
      <x:c r="F1123" s="51" t="str">
        <x:v>GK</x:v>
      </x:c>
      <x:c r="G1123" s="51" t="str">
        <x:v>Starter</x:v>
      </x:c>
      <x:c r="H1123" s="55" t="n">
        <x:v>1</x:v>
      </x:c>
      <x:c r="I1123" s="51" t="str"/>
      <x:c r="J1123" s="72" t="str"/>
      <x:c r="K1123" s="72" t="str"/>
      <x:c r="L1123" s="72" t="str"/>
      <x:c r="M1123" s="72" t="str"/>
      <x:c r="N1123" s="72" t="str"/>
      <x:c r="O1123" s="72" t="str"/>
      <x:c r="P1123" s="72" t="str">
        <x:v>Available</x:v>
      </x:c>
      <x:c r="Q1123" s="72" t="n">
        <x:v>0</x:v>
      </x:c>
      <x:c r="R1123" s="55" t="str">
        <x:f>IF($D1123="","",ROUND(MAX(0,MIN(100,0.35*$J1123+0.2*$K1123+0.15*$L1123+0.15*$M1123+0.1*$N1123+0.05*$O1123-IF(OR($P1123="Out",$P1123="Suspended"),$Q1123,IF($P1123="Doubtful",$Q1123*0.5,IF($P1123="Limited",$Q1123*0.25,0))))),2))</x:f>
      </x:c>
      <x:c r="S1123" s="55" t="n">
        <x:f>IF($D1123="",0,ROUND(IF(OR($P1123="Out",$P1123="Suspended"),$Q1123*$H1123,IF($P1123="Doubtful",$Q1123*$H1123*0.5,IF($P1123="Limited",$Q1123*$H1123*0.25,0))),2))</x:f>
        <x:v>0</x:v>
      </x:c>
      <x:c r="T1123" s="55" t="str"/>
      <x:c r="U1123" s="51" t="str"/>
    </x:row>
    <x:row r="1124">
      <x:c r="A1124" s="51" t="str">
        <x:v>Uzbekistan</x:v>
      </x:c>
      <x:c r="B1124" s="51" t="str">
        <x:v>K</x:v>
      </x:c>
      <x:c r="C1124" s="51" t="n">
        <x:v>2</x:v>
      </x:c>
      <x:c r="D1124" s="71" t="str"/>
      <x:c r="E1124" s="51" t="str">
        <x:v>GK</x:v>
      </x:c>
      <x:c r="F1124" s="51" t="str">
        <x:v>GK</x:v>
      </x:c>
      <x:c r="G1124" s="51" t="str">
        <x:v>Starter</x:v>
      </x:c>
      <x:c r="H1124" s="55" t="n">
        <x:v>1</x:v>
      </x:c>
      <x:c r="I1124" s="51" t="str"/>
      <x:c r="J1124" s="72" t="str"/>
      <x:c r="K1124" s="72" t="str"/>
      <x:c r="L1124" s="72" t="str"/>
      <x:c r="M1124" s="72" t="str"/>
      <x:c r="N1124" s="72" t="str"/>
      <x:c r="O1124" s="72" t="str"/>
      <x:c r="P1124" s="72" t="str">
        <x:v>Available</x:v>
      </x:c>
      <x:c r="Q1124" s="72" t="n">
        <x:v>0</x:v>
      </x:c>
      <x:c r="R1124" s="55" t="str">
        <x:f>IF($D1124="","",ROUND(MAX(0,MIN(100,0.35*$J1124+0.2*$K1124+0.15*$L1124+0.15*$M1124+0.1*$N1124+0.05*$O1124-IF(OR($P1124="Out",$P1124="Suspended"),$Q1124,IF($P1124="Doubtful",$Q1124*0.5,IF($P1124="Limited",$Q1124*0.25,0))))),2))</x:f>
      </x:c>
      <x:c r="S1124" s="55" t="n">
        <x:f>IF($D1124="",0,ROUND(IF(OR($P1124="Out",$P1124="Suspended"),$Q1124*$H1124,IF($P1124="Doubtful",$Q1124*$H1124*0.5,IF($P1124="Limited",$Q1124*$H1124*0.25,0))),2))</x:f>
        <x:v>0</x:v>
      </x:c>
      <x:c r="T1124" s="55" t="str"/>
      <x:c r="U1124" s="51" t="str"/>
    </x:row>
    <x:row r="1125">
      <x:c r="A1125" s="51" t="str">
        <x:v>Uzbekistan</x:v>
      </x:c>
      <x:c r="B1125" s="51" t="str">
        <x:v>K</x:v>
      </x:c>
      <x:c r="C1125" s="51" t="n">
        <x:v>3</x:v>
      </x:c>
      <x:c r="D1125" s="71" t="str"/>
      <x:c r="E1125" s="51" t="str">
        <x:v>GK</x:v>
      </x:c>
      <x:c r="F1125" s="51" t="str">
        <x:v>GK</x:v>
      </x:c>
      <x:c r="G1125" s="51" t="str">
        <x:v>Starter</x:v>
      </x:c>
      <x:c r="H1125" s="55" t="n">
        <x:v>1</x:v>
      </x:c>
      <x:c r="I1125" s="51" t="str"/>
      <x:c r="J1125" s="72" t="str"/>
      <x:c r="K1125" s="72" t="str"/>
      <x:c r="L1125" s="72" t="str"/>
      <x:c r="M1125" s="72" t="str"/>
      <x:c r="N1125" s="72" t="str"/>
      <x:c r="O1125" s="72" t="str"/>
      <x:c r="P1125" s="72" t="str">
        <x:v>Available</x:v>
      </x:c>
      <x:c r="Q1125" s="72" t="n">
        <x:v>0</x:v>
      </x:c>
      <x:c r="R1125" s="55" t="str">
        <x:f>IF($D1125="","",ROUND(MAX(0,MIN(100,0.35*$J1125+0.2*$K1125+0.15*$L1125+0.15*$M1125+0.1*$N1125+0.05*$O1125-IF(OR($P1125="Out",$P1125="Suspended"),$Q1125,IF($P1125="Doubtful",$Q1125*0.5,IF($P1125="Limited",$Q1125*0.25,0))))),2))</x:f>
      </x:c>
      <x:c r="S1125" s="55" t="n">
        <x:f>IF($D1125="",0,ROUND(IF(OR($P1125="Out",$P1125="Suspended"),$Q1125*$H1125,IF($P1125="Doubtful",$Q1125*$H1125*0.5,IF($P1125="Limited",$Q1125*$H1125*0.25,0))),2))</x:f>
        <x:v>0</x:v>
      </x:c>
      <x:c r="T1125" s="55" t="str"/>
      <x:c r="U1125" s="51" t="str"/>
    </x:row>
    <x:row r="1126">
      <x:c r="A1126" s="51" t="str">
        <x:v>Uzbekistan</x:v>
      </x:c>
      <x:c r="B1126" s="51" t="str">
        <x:v>K</x:v>
      </x:c>
      <x:c r="C1126" s="51" t="n">
        <x:v>4</x:v>
      </x:c>
      <x:c r="D1126" s="71" t="str"/>
      <x:c r="E1126" s="51" t="str">
        <x:v>CB</x:v>
      </x:c>
      <x:c r="F1126" s="51" t="str">
        <x:v>Defence</x:v>
      </x:c>
      <x:c r="G1126" s="51" t="str">
        <x:v>Starter</x:v>
      </x:c>
      <x:c r="H1126" s="55" t="n">
        <x:v>1</x:v>
      </x:c>
      <x:c r="I1126" s="51" t="str"/>
      <x:c r="J1126" s="72" t="str"/>
      <x:c r="K1126" s="72" t="str"/>
      <x:c r="L1126" s="72" t="str"/>
      <x:c r="M1126" s="72" t="str"/>
      <x:c r="N1126" s="72" t="str"/>
      <x:c r="O1126" s="72" t="str"/>
      <x:c r="P1126" s="72" t="str">
        <x:v>Available</x:v>
      </x:c>
      <x:c r="Q1126" s="72" t="n">
        <x:v>0</x:v>
      </x:c>
      <x:c r="R1126" s="55" t="str">
        <x:f>IF($D1126="","",ROUND(MAX(0,MIN(100,0.35*$J1126+0.2*$K1126+0.15*$L1126+0.15*$M1126+0.1*$N1126+0.05*$O1126-IF(OR($P1126="Out",$P1126="Suspended"),$Q1126,IF($P1126="Doubtful",$Q1126*0.5,IF($P1126="Limited",$Q1126*0.25,0))))),2))</x:f>
      </x:c>
      <x:c r="S1126" s="55" t="n">
        <x:f>IF($D1126="",0,ROUND(IF(OR($P1126="Out",$P1126="Suspended"),$Q1126*$H1126,IF($P1126="Doubtful",$Q1126*$H1126*0.5,IF($P1126="Limited",$Q1126*$H1126*0.25,0))),2))</x:f>
        <x:v>0</x:v>
      </x:c>
      <x:c r="T1126" s="55" t="str"/>
      <x:c r="U1126" s="51" t="str"/>
    </x:row>
    <x:row r="1127">
      <x:c r="A1127" s="51" t="str">
        <x:v>Uzbekistan</x:v>
      </x:c>
      <x:c r="B1127" s="51" t="str">
        <x:v>K</x:v>
      </x:c>
      <x:c r="C1127" s="51" t="n">
        <x:v>5</x:v>
      </x:c>
      <x:c r="D1127" s="71" t="str"/>
      <x:c r="E1127" s="51" t="str">
        <x:v>CB</x:v>
      </x:c>
      <x:c r="F1127" s="51" t="str">
        <x:v>Defence</x:v>
      </x:c>
      <x:c r="G1127" s="51" t="str">
        <x:v>Starter</x:v>
      </x:c>
      <x:c r="H1127" s="55" t="n">
        <x:v>1</x:v>
      </x:c>
      <x:c r="I1127" s="51" t="str"/>
      <x:c r="J1127" s="72" t="str"/>
      <x:c r="K1127" s="72" t="str"/>
      <x:c r="L1127" s="72" t="str"/>
      <x:c r="M1127" s="72" t="str"/>
      <x:c r="N1127" s="72" t="str"/>
      <x:c r="O1127" s="72" t="str"/>
      <x:c r="P1127" s="72" t="str">
        <x:v>Available</x:v>
      </x:c>
      <x:c r="Q1127" s="72" t="n">
        <x:v>0</x:v>
      </x:c>
      <x:c r="R1127" s="55" t="str">
        <x:f>IF($D1127="","",ROUND(MAX(0,MIN(100,0.35*$J1127+0.2*$K1127+0.15*$L1127+0.15*$M1127+0.1*$N1127+0.05*$O1127-IF(OR($P1127="Out",$P1127="Suspended"),$Q1127,IF($P1127="Doubtful",$Q1127*0.5,IF($P1127="Limited",$Q1127*0.25,0))))),2))</x:f>
      </x:c>
      <x:c r="S1127" s="55" t="n">
        <x:f>IF($D1127="",0,ROUND(IF(OR($P1127="Out",$P1127="Suspended"),$Q1127*$H1127,IF($P1127="Doubtful",$Q1127*$H1127*0.5,IF($P1127="Limited",$Q1127*$H1127*0.25,0))),2))</x:f>
        <x:v>0</x:v>
      </x:c>
      <x:c r="T1127" s="55" t="str"/>
      <x:c r="U1127" s="51" t="str"/>
    </x:row>
    <x:row r="1128">
      <x:c r="A1128" s="51" t="str">
        <x:v>Uzbekistan</x:v>
      </x:c>
      <x:c r="B1128" s="51" t="str">
        <x:v>K</x:v>
      </x:c>
      <x:c r="C1128" s="51" t="n">
        <x:v>6</x:v>
      </x:c>
      <x:c r="D1128" s="71" t="str"/>
      <x:c r="E1128" s="51" t="str">
        <x:v>CB</x:v>
      </x:c>
      <x:c r="F1128" s="51" t="str">
        <x:v>Defence</x:v>
      </x:c>
      <x:c r="G1128" s="51" t="str">
        <x:v>Starter</x:v>
      </x:c>
      <x:c r="H1128" s="55" t="n">
        <x:v>1</x:v>
      </x:c>
      <x:c r="I1128" s="51" t="str"/>
      <x:c r="J1128" s="72" t="str"/>
      <x:c r="K1128" s="72" t="str"/>
      <x:c r="L1128" s="72" t="str"/>
      <x:c r="M1128" s="72" t="str"/>
      <x:c r="N1128" s="72" t="str"/>
      <x:c r="O1128" s="72" t="str"/>
      <x:c r="P1128" s="72" t="str">
        <x:v>Available</x:v>
      </x:c>
      <x:c r="Q1128" s="72" t="n">
        <x:v>0</x:v>
      </x:c>
      <x:c r="R1128" s="55" t="str">
        <x:f>IF($D1128="","",ROUND(MAX(0,MIN(100,0.35*$J1128+0.2*$K1128+0.15*$L1128+0.15*$M1128+0.1*$N1128+0.05*$O1128-IF(OR($P1128="Out",$P1128="Suspended"),$Q1128,IF($P1128="Doubtful",$Q1128*0.5,IF($P1128="Limited",$Q1128*0.25,0))))),2))</x:f>
      </x:c>
      <x:c r="S1128" s="55" t="n">
        <x:f>IF($D1128="",0,ROUND(IF(OR($P1128="Out",$P1128="Suspended"),$Q1128*$H1128,IF($P1128="Doubtful",$Q1128*$H1128*0.5,IF($P1128="Limited",$Q1128*$H1128*0.25,0))),2))</x:f>
        <x:v>0</x:v>
      </x:c>
      <x:c r="T1128" s="55" t="str"/>
      <x:c r="U1128" s="51" t="str"/>
    </x:row>
    <x:row r="1129">
      <x:c r="A1129" s="51" t="str">
        <x:v>Uzbekistan</x:v>
      </x:c>
      <x:c r="B1129" s="51" t="str">
        <x:v>K</x:v>
      </x:c>
      <x:c r="C1129" s="51" t="n">
        <x:v>7</x:v>
      </x:c>
      <x:c r="D1129" s="71" t="str"/>
      <x:c r="E1129" s="51" t="str">
        <x:v>FB</x:v>
      </x:c>
      <x:c r="F1129" s="51" t="str">
        <x:v>Defence</x:v>
      </x:c>
      <x:c r="G1129" s="51" t="str">
        <x:v>Starter</x:v>
      </x:c>
      <x:c r="H1129" s="55" t="n">
        <x:v>1</x:v>
      </x:c>
      <x:c r="I1129" s="51" t="str"/>
      <x:c r="J1129" s="72" t="str"/>
      <x:c r="K1129" s="72" t="str"/>
      <x:c r="L1129" s="72" t="str"/>
      <x:c r="M1129" s="72" t="str"/>
      <x:c r="N1129" s="72" t="str"/>
      <x:c r="O1129" s="72" t="str"/>
      <x:c r="P1129" s="72" t="str">
        <x:v>Available</x:v>
      </x:c>
      <x:c r="Q1129" s="72" t="n">
        <x:v>0</x:v>
      </x:c>
      <x:c r="R1129" s="55" t="str">
        <x:f>IF($D1129="","",ROUND(MAX(0,MIN(100,0.35*$J1129+0.2*$K1129+0.15*$L1129+0.15*$M1129+0.1*$N1129+0.05*$O1129-IF(OR($P1129="Out",$P1129="Suspended"),$Q1129,IF($P1129="Doubtful",$Q1129*0.5,IF($P1129="Limited",$Q1129*0.25,0))))),2))</x:f>
      </x:c>
      <x:c r="S1129" s="55" t="n">
        <x:f>IF($D1129="",0,ROUND(IF(OR($P1129="Out",$P1129="Suspended"),$Q1129*$H1129,IF($P1129="Doubtful",$Q1129*$H1129*0.5,IF($P1129="Limited",$Q1129*$H1129*0.25,0))),2))</x:f>
        <x:v>0</x:v>
      </x:c>
      <x:c r="T1129" s="55" t="str"/>
      <x:c r="U1129" s="51" t="str"/>
    </x:row>
    <x:row r="1130">
      <x:c r="A1130" s="51" t="str">
        <x:v>Uzbekistan</x:v>
      </x:c>
      <x:c r="B1130" s="51" t="str">
        <x:v>K</x:v>
      </x:c>
      <x:c r="C1130" s="51" t="n">
        <x:v>8</x:v>
      </x:c>
      <x:c r="D1130" s="71" t="str"/>
      <x:c r="E1130" s="51" t="str">
        <x:v>FB</x:v>
      </x:c>
      <x:c r="F1130" s="51" t="str">
        <x:v>Defence</x:v>
      </x:c>
      <x:c r="G1130" s="51" t="str">
        <x:v>Starter</x:v>
      </x:c>
      <x:c r="H1130" s="55" t="n">
        <x:v>1</x:v>
      </x:c>
      <x:c r="I1130" s="51" t="str"/>
      <x:c r="J1130" s="72" t="str"/>
      <x:c r="K1130" s="72" t="str"/>
      <x:c r="L1130" s="72" t="str"/>
      <x:c r="M1130" s="72" t="str"/>
      <x:c r="N1130" s="72" t="str"/>
      <x:c r="O1130" s="72" t="str"/>
      <x:c r="P1130" s="72" t="str">
        <x:v>Available</x:v>
      </x:c>
      <x:c r="Q1130" s="72" t="n">
        <x:v>0</x:v>
      </x:c>
      <x:c r="R1130" s="55" t="str">
        <x:f>IF($D1130="","",ROUND(MAX(0,MIN(100,0.35*$J1130+0.2*$K1130+0.15*$L1130+0.15*$M1130+0.1*$N1130+0.05*$O1130-IF(OR($P1130="Out",$P1130="Suspended"),$Q1130,IF($P1130="Doubtful",$Q1130*0.5,IF($P1130="Limited",$Q1130*0.25,0))))),2))</x:f>
      </x:c>
      <x:c r="S1130" s="55" t="n">
        <x:f>IF($D1130="",0,ROUND(IF(OR($P1130="Out",$P1130="Suspended"),$Q1130*$H1130,IF($P1130="Doubtful",$Q1130*$H1130*0.5,IF($P1130="Limited",$Q1130*$H1130*0.25,0))),2))</x:f>
        <x:v>0</x:v>
      </x:c>
      <x:c r="T1130" s="55" t="str"/>
      <x:c r="U1130" s="51" t="str"/>
    </x:row>
    <x:row r="1131">
      <x:c r="A1131" s="51" t="str">
        <x:v>Uzbekistan</x:v>
      </x:c>
      <x:c r="B1131" s="51" t="str">
        <x:v>K</x:v>
      </x:c>
      <x:c r="C1131" s="51" t="n">
        <x:v>9</x:v>
      </x:c>
      <x:c r="D1131" s="71" t="str"/>
      <x:c r="E1131" s="51" t="str">
        <x:v>DM</x:v>
      </x:c>
      <x:c r="F1131" s="51" t="str">
        <x:v>Midfield</x:v>
      </x:c>
      <x:c r="G1131" s="51" t="str">
        <x:v>Starter</x:v>
      </x:c>
      <x:c r="H1131" s="55" t="n">
        <x:v>1</x:v>
      </x:c>
      <x:c r="I1131" s="51" t="str"/>
      <x:c r="J1131" s="72" t="str"/>
      <x:c r="K1131" s="72" t="str"/>
      <x:c r="L1131" s="72" t="str"/>
      <x:c r="M1131" s="72" t="str"/>
      <x:c r="N1131" s="72" t="str"/>
      <x:c r="O1131" s="72" t="str"/>
      <x:c r="P1131" s="72" t="str">
        <x:v>Available</x:v>
      </x:c>
      <x:c r="Q1131" s="72" t="n">
        <x:v>0</x:v>
      </x:c>
      <x:c r="R1131" s="55" t="str">
        <x:f>IF($D1131="","",ROUND(MAX(0,MIN(100,0.35*$J1131+0.2*$K1131+0.15*$L1131+0.15*$M1131+0.1*$N1131+0.05*$O1131-IF(OR($P1131="Out",$P1131="Suspended"),$Q1131,IF($P1131="Doubtful",$Q1131*0.5,IF($P1131="Limited",$Q1131*0.25,0))))),2))</x:f>
      </x:c>
      <x:c r="S1131" s="55" t="n">
        <x:f>IF($D1131="",0,ROUND(IF(OR($P1131="Out",$P1131="Suspended"),$Q1131*$H1131,IF($P1131="Doubtful",$Q1131*$H1131*0.5,IF($P1131="Limited",$Q1131*$H1131*0.25,0))),2))</x:f>
        <x:v>0</x:v>
      </x:c>
      <x:c r="T1131" s="55" t="str"/>
      <x:c r="U1131" s="51" t="str"/>
    </x:row>
    <x:row r="1132">
      <x:c r="A1132" s="51" t="str">
        <x:v>Uzbekistan</x:v>
      </x:c>
      <x:c r="B1132" s="51" t="str">
        <x:v>K</x:v>
      </x:c>
      <x:c r="C1132" s="51" t="n">
        <x:v>10</x:v>
      </x:c>
      <x:c r="D1132" s="71" t="str"/>
      <x:c r="E1132" s="51" t="str">
        <x:v>DM</x:v>
      </x:c>
      <x:c r="F1132" s="51" t="str">
        <x:v>Midfield</x:v>
      </x:c>
      <x:c r="G1132" s="51" t="str">
        <x:v>Starter</x:v>
      </x:c>
      <x:c r="H1132" s="55" t="n">
        <x:v>1</x:v>
      </x:c>
      <x:c r="I1132" s="51" t="str"/>
      <x:c r="J1132" s="72" t="str"/>
      <x:c r="K1132" s="72" t="str"/>
      <x:c r="L1132" s="72" t="str"/>
      <x:c r="M1132" s="72" t="str"/>
      <x:c r="N1132" s="72" t="str"/>
      <x:c r="O1132" s="72" t="str"/>
      <x:c r="P1132" s="72" t="str">
        <x:v>Available</x:v>
      </x:c>
      <x:c r="Q1132" s="72" t="n">
        <x:v>0</x:v>
      </x:c>
      <x:c r="R1132" s="55" t="str">
        <x:f>IF($D1132="","",ROUND(MAX(0,MIN(100,0.35*$J1132+0.2*$K1132+0.15*$L1132+0.15*$M1132+0.1*$N1132+0.05*$O1132-IF(OR($P1132="Out",$P1132="Suspended"),$Q1132,IF($P1132="Doubtful",$Q1132*0.5,IF($P1132="Limited",$Q1132*0.25,0))))),2))</x:f>
      </x:c>
      <x:c r="S1132" s="55" t="n">
        <x:f>IF($D1132="",0,ROUND(IF(OR($P1132="Out",$P1132="Suspended"),$Q1132*$H1132,IF($P1132="Doubtful",$Q1132*$H1132*0.5,IF($P1132="Limited",$Q1132*$H1132*0.25,0))),2))</x:f>
        <x:v>0</x:v>
      </x:c>
      <x:c r="T1132" s="55" t="str"/>
      <x:c r="U1132" s="51" t="str"/>
    </x:row>
    <x:row r="1133">
      <x:c r="A1133" s="51" t="str">
        <x:v>Uzbekistan</x:v>
      </x:c>
      <x:c r="B1133" s="51" t="str">
        <x:v>K</x:v>
      </x:c>
      <x:c r="C1133" s="51" t="n">
        <x:v>11</x:v>
      </x:c>
      <x:c r="D1133" s="71" t="str"/>
      <x:c r="E1133" s="51" t="str">
        <x:v>DM</x:v>
      </x:c>
      <x:c r="F1133" s="51" t="str">
        <x:v>Midfield</x:v>
      </x:c>
      <x:c r="G1133" s="51" t="str">
        <x:v>Starter</x:v>
      </x:c>
      <x:c r="H1133" s="55" t="n">
        <x:v>1</x:v>
      </x:c>
      <x:c r="I1133" s="51" t="str"/>
      <x:c r="J1133" s="72" t="str"/>
      <x:c r="K1133" s="72" t="str"/>
      <x:c r="L1133" s="72" t="str"/>
      <x:c r="M1133" s="72" t="str"/>
      <x:c r="N1133" s="72" t="str"/>
      <x:c r="O1133" s="72" t="str"/>
      <x:c r="P1133" s="72" t="str">
        <x:v>Available</x:v>
      </x:c>
      <x:c r="Q1133" s="72" t="n">
        <x:v>0</x:v>
      </x:c>
      <x:c r="R1133" s="55" t="str">
        <x:f>IF($D1133="","",ROUND(MAX(0,MIN(100,0.35*$J1133+0.2*$K1133+0.15*$L1133+0.15*$M1133+0.1*$N1133+0.05*$O1133-IF(OR($P1133="Out",$P1133="Suspended"),$Q1133,IF($P1133="Doubtful",$Q1133*0.5,IF($P1133="Limited",$Q1133*0.25,0))))),2))</x:f>
      </x:c>
      <x:c r="S1133" s="55" t="n">
        <x:f>IF($D1133="",0,ROUND(IF(OR($P1133="Out",$P1133="Suspended"),$Q1133*$H1133,IF($P1133="Doubtful",$Q1133*$H1133*0.5,IF($P1133="Limited",$Q1133*$H1133*0.25,0))),2))</x:f>
        <x:v>0</x:v>
      </x:c>
      <x:c r="T1133" s="55" t="str"/>
      <x:c r="U1133" s="51" t="str"/>
    </x:row>
    <x:row r="1134">
      <x:c r="A1134" s="51" t="str">
        <x:v>Uzbekistan</x:v>
      </x:c>
      <x:c r="B1134" s="51" t="str">
        <x:v>K</x:v>
      </x:c>
      <x:c r="C1134" s="51" t="n">
        <x:v>12</x:v>
      </x:c>
      <x:c r="D1134" s="71" t="str"/>
      <x:c r="E1134" s="51" t="str">
        <x:v>CM</x:v>
      </x:c>
      <x:c r="F1134" s="51" t="str">
        <x:v>Midfield</x:v>
      </x:c>
      <x:c r="G1134" s="51" t="str">
        <x:v>Rotation</x:v>
      </x:c>
      <x:c r="H1134" s="55" t="n">
        <x:v>0.35</x:v>
      </x:c>
      <x:c r="I1134" s="51" t="str"/>
      <x:c r="J1134" s="72" t="str"/>
      <x:c r="K1134" s="72" t="str"/>
      <x:c r="L1134" s="72" t="str"/>
      <x:c r="M1134" s="72" t="str"/>
      <x:c r="N1134" s="72" t="str"/>
      <x:c r="O1134" s="72" t="str"/>
      <x:c r="P1134" s="72" t="str">
        <x:v>Available</x:v>
      </x:c>
      <x:c r="Q1134" s="72" t="n">
        <x:v>0</x:v>
      </x:c>
      <x:c r="R1134" s="55" t="str">
        <x:f>IF($D1134="","",ROUND(MAX(0,MIN(100,0.35*$J1134+0.2*$K1134+0.15*$L1134+0.15*$M1134+0.1*$N1134+0.05*$O1134-IF(OR($P1134="Out",$P1134="Suspended"),$Q1134,IF($P1134="Doubtful",$Q1134*0.5,IF($P1134="Limited",$Q1134*0.25,0))))),2))</x:f>
      </x:c>
      <x:c r="S1134" s="55" t="n">
        <x:f>IF($D1134="",0,ROUND(IF(OR($P1134="Out",$P1134="Suspended"),$Q1134*$H1134,IF($P1134="Doubtful",$Q1134*$H1134*0.5,IF($P1134="Limited",$Q1134*$H1134*0.25,0))),2))</x:f>
        <x:v>0</x:v>
      </x:c>
      <x:c r="T1134" s="55" t="str"/>
      <x:c r="U1134" s="51" t="str"/>
    </x:row>
    <x:row r="1135">
      <x:c r="A1135" s="51" t="str">
        <x:v>Uzbekistan</x:v>
      </x:c>
      <x:c r="B1135" s="51" t="str">
        <x:v>K</x:v>
      </x:c>
      <x:c r="C1135" s="51" t="n">
        <x:v>13</x:v>
      </x:c>
      <x:c r="D1135" s="71" t="str"/>
      <x:c r="E1135" s="51" t="str">
        <x:v>CM</x:v>
      </x:c>
      <x:c r="F1135" s="51" t="str">
        <x:v>Midfield</x:v>
      </x:c>
      <x:c r="G1135" s="51" t="str">
        <x:v>Rotation</x:v>
      </x:c>
      <x:c r="H1135" s="55" t="n">
        <x:v>0.35</x:v>
      </x:c>
      <x:c r="I1135" s="51" t="str"/>
      <x:c r="J1135" s="72" t="str"/>
      <x:c r="K1135" s="72" t="str"/>
      <x:c r="L1135" s="72" t="str"/>
      <x:c r="M1135" s="72" t="str"/>
      <x:c r="N1135" s="72" t="str"/>
      <x:c r="O1135" s="72" t="str"/>
      <x:c r="P1135" s="72" t="str">
        <x:v>Available</x:v>
      </x:c>
      <x:c r="Q1135" s="72" t="n">
        <x:v>0</x:v>
      </x:c>
      <x:c r="R1135" s="55" t="str">
        <x:f>IF($D1135="","",ROUND(MAX(0,MIN(100,0.35*$J1135+0.2*$K1135+0.15*$L1135+0.15*$M1135+0.1*$N1135+0.05*$O1135-IF(OR($P1135="Out",$P1135="Suspended"),$Q1135,IF($P1135="Doubtful",$Q1135*0.5,IF($P1135="Limited",$Q1135*0.25,0))))),2))</x:f>
      </x:c>
      <x:c r="S1135" s="55" t="n">
        <x:f>IF($D1135="",0,ROUND(IF(OR($P1135="Out",$P1135="Suspended"),$Q1135*$H1135,IF($P1135="Doubtful",$Q1135*$H1135*0.5,IF($P1135="Limited",$Q1135*$H1135*0.25,0))),2))</x:f>
        <x:v>0</x:v>
      </x:c>
      <x:c r="T1135" s="55" t="str"/>
      <x:c r="U1135" s="51" t="str"/>
    </x:row>
    <x:row r="1136">
      <x:c r="A1136" s="51" t="str">
        <x:v>Uzbekistan</x:v>
      </x:c>
      <x:c r="B1136" s="51" t="str">
        <x:v>K</x:v>
      </x:c>
      <x:c r="C1136" s="51" t="n">
        <x:v>14</x:v>
      </x:c>
      <x:c r="D1136" s="71" t="str"/>
      <x:c r="E1136" s="51" t="str">
        <x:v>CM</x:v>
      </x:c>
      <x:c r="F1136" s="51" t="str">
        <x:v>Midfield</x:v>
      </x:c>
      <x:c r="G1136" s="51" t="str">
        <x:v>Rotation</x:v>
      </x:c>
      <x:c r="H1136" s="55" t="n">
        <x:v>0.35</x:v>
      </x:c>
      <x:c r="I1136" s="51" t="str"/>
      <x:c r="J1136" s="72" t="str"/>
      <x:c r="K1136" s="72" t="str"/>
      <x:c r="L1136" s="72" t="str"/>
      <x:c r="M1136" s="72" t="str"/>
      <x:c r="N1136" s="72" t="str"/>
      <x:c r="O1136" s="72" t="str"/>
      <x:c r="P1136" s="72" t="str">
        <x:v>Available</x:v>
      </x:c>
      <x:c r="Q1136" s="72" t="n">
        <x:v>0</x:v>
      </x:c>
      <x:c r="R1136" s="55" t="str">
        <x:f>IF($D1136="","",ROUND(MAX(0,MIN(100,0.35*$J1136+0.2*$K1136+0.15*$L1136+0.15*$M1136+0.1*$N1136+0.05*$O1136-IF(OR($P1136="Out",$P1136="Suspended"),$Q1136,IF($P1136="Doubtful",$Q1136*0.5,IF($P1136="Limited",$Q1136*0.25,0))))),2))</x:f>
      </x:c>
      <x:c r="S1136" s="55" t="n">
        <x:f>IF($D1136="",0,ROUND(IF(OR($P1136="Out",$P1136="Suspended"),$Q1136*$H1136,IF($P1136="Doubtful",$Q1136*$H1136*0.5,IF($P1136="Limited",$Q1136*$H1136*0.25,0))),2))</x:f>
        <x:v>0</x:v>
      </x:c>
      <x:c r="T1136" s="55" t="str"/>
      <x:c r="U1136" s="51" t="str"/>
    </x:row>
    <x:row r="1137">
      <x:c r="A1137" s="51" t="str">
        <x:v>Uzbekistan</x:v>
      </x:c>
      <x:c r="B1137" s="51" t="str">
        <x:v>K</x:v>
      </x:c>
      <x:c r="C1137" s="51" t="n">
        <x:v>15</x:v>
      </x:c>
      <x:c r="D1137" s="71" t="str"/>
      <x:c r="E1137" s="51" t="str">
        <x:v>CM</x:v>
      </x:c>
      <x:c r="F1137" s="51" t="str">
        <x:v>Midfield</x:v>
      </x:c>
      <x:c r="G1137" s="51" t="str">
        <x:v>Rotation</x:v>
      </x:c>
      <x:c r="H1137" s="55" t="n">
        <x:v>0.35</x:v>
      </x:c>
      <x:c r="I1137" s="51" t="str"/>
      <x:c r="J1137" s="72" t="str"/>
      <x:c r="K1137" s="72" t="str"/>
      <x:c r="L1137" s="72" t="str"/>
      <x:c r="M1137" s="72" t="str"/>
      <x:c r="N1137" s="72" t="str"/>
      <x:c r="O1137" s="72" t="str"/>
      <x:c r="P1137" s="72" t="str">
        <x:v>Available</x:v>
      </x:c>
      <x:c r="Q1137" s="72" t="n">
        <x:v>0</x:v>
      </x:c>
      <x:c r="R1137" s="55" t="str">
        <x:f>IF($D1137="","",ROUND(MAX(0,MIN(100,0.35*$J1137+0.2*$K1137+0.15*$L1137+0.15*$M1137+0.1*$N1137+0.05*$O1137-IF(OR($P1137="Out",$P1137="Suspended"),$Q1137,IF($P1137="Doubtful",$Q1137*0.5,IF($P1137="Limited",$Q1137*0.25,0))))),2))</x:f>
      </x:c>
      <x:c r="S1137" s="55" t="n">
        <x:f>IF($D1137="",0,ROUND(IF(OR($P1137="Out",$P1137="Suspended"),$Q1137*$H1137,IF($P1137="Doubtful",$Q1137*$H1137*0.5,IF($P1137="Limited",$Q1137*$H1137*0.25,0))),2))</x:f>
        <x:v>0</x:v>
      </x:c>
      <x:c r="T1137" s="55" t="str"/>
      <x:c r="U1137" s="51" t="str"/>
    </x:row>
    <x:row r="1138">
      <x:c r="A1138" s="51" t="str">
        <x:v>Uzbekistan</x:v>
      </x:c>
      <x:c r="B1138" s="51" t="str">
        <x:v>K</x:v>
      </x:c>
      <x:c r="C1138" s="51" t="n">
        <x:v>16</x:v>
      </x:c>
      <x:c r="D1138" s="71" t="str"/>
      <x:c r="E1138" s="51" t="str">
        <x:v>AM</x:v>
      </x:c>
      <x:c r="F1138" s="51" t="str">
        <x:v>Attack</x:v>
      </x:c>
      <x:c r="G1138" s="51" t="str">
        <x:v>Rotation</x:v>
      </x:c>
      <x:c r="H1138" s="55" t="n">
        <x:v>0.35</x:v>
      </x:c>
      <x:c r="I1138" s="51" t="str"/>
      <x:c r="J1138" s="72" t="str"/>
      <x:c r="K1138" s="72" t="str"/>
      <x:c r="L1138" s="72" t="str"/>
      <x:c r="M1138" s="72" t="str"/>
      <x:c r="N1138" s="72" t="str"/>
      <x:c r="O1138" s="72" t="str"/>
      <x:c r="P1138" s="72" t="str">
        <x:v>Available</x:v>
      </x:c>
      <x:c r="Q1138" s="72" t="n">
        <x:v>0</x:v>
      </x:c>
      <x:c r="R1138" s="55" t="str">
        <x:f>IF($D1138="","",ROUND(MAX(0,MIN(100,0.35*$J1138+0.2*$K1138+0.15*$L1138+0.15*$M1138+0.1*$N1138+0.05*$O1138-IF(OR($P1138="Out",$P1138="Suspended"),$Q1138,IF($P1138="Doubtful",$Q1138*0.5,IF($P1138="Limited",$Q1138*0.25,0))))),2))</x:f>
      </x:c>
      <x:c r="S1138" s="55" t="n">
        <x:f>IF($D1138="",0,ROUND(IF(OR($P1138="Out",$P1138="Suspended"),$Q1138*$H1138,IF($P1138="Doubtful",$Q1138*$H1138*0.5,IF($P1138="Limited",$Q1138*$H1138*0.25,0))),2))</x:f>
        <x:v>0</x:v>
      </x:c>
      <x:c r="T1138" s="55" t="str"/>
      <x:c r="U1138" s="51" t="str"/>
    </x:row>
    <x:row r="1139">
      <x:c r="A1139" s="51" t="str">
        <x:v>Uzbekistan</x:v>
      </x:c>
      <x:c r="B1139" s="51" t="str">
        <x:v>K</x:v>
      </x:c>
      <x:c r="C1139" s="51" t="n">
        <x:v>17</x:v>
      </x:c>
      <x:c r="D1139" s="71" t="str"/>
      <x:c r="E1139" s="51" t="str">
        <x:v>AM</x:v>
      </x:c>
      <x:c r="F1139" s="51" t="str">
        <x:v>Attack</x:v>
      </x:c>
      <x:c r="G1139" s="51" t="str">
        <x:v>Rotation</x:v>
      </x:c>
      <x:c r="H1139" s="55" t="n">
        <x:v>0.35</x:v>
      </x:c>
      <x:c r="I1139" s="51" t="str"/>
      <x:c r="J1139" s="72" t="str"/>
      <x:c r="K1139" s="72" t="str"/>
      <x:c r="L1139" s="72" t="str"/>
      <x:c r="M1139" s="72" t="str"/>
      <x:c r="N1139" s="72" t="str"/>
      <x:c r="O1139" s="72" t="str"/>
      <x:c r="P1139" s="72" t="str">
        <x:v>Available</x:v>
      </x:c>
      <x:c r="Q1139" s="72" t="n">
        <x:v>0</x:v>
      </x:c>
      <x:c r="R1139" s="55" t="str">
        <x:f>IF($D1139="","",ROUND(MAX(0,MIN(100,0.35*$J1139+0.2*$K1139+0.15*$L1139+0.15*$M1139+0.1*$N1139+0.05*$O1139-IF(OR($P1139="Out",$P1139="Suspended"),$Q1139,IF($P1139="Doubtful",$Q1139*0.5,IF($P1139="Limited",$Q1139*0.25,0))))),2))</x:f>
      </x:c>
      <x:c r="S1139" s="55" t="n">
        <x:f>IF($D1139="",0,ROUND(IF(OR($P1139="Out",$P1139="Suspended"),$Q1139*$H1139,IF($P1139="Doubtful",$Q1139*$H1139*0.5,IF($P1139="Limited",$Q1139*$H1139*0.25,0))),2))</x:f>
        <x:v>0</x:v>
      </x:c>
      <x:c r="T1139" s="55" t="str"/>
      <x:c r="U1139" s="51" t="str"/>
    </x:row>
    <x:row r="1140">
      <x:c r="A1140" s="51" t="str">
        <x:v>Uzbekistan</x:v>
      </x:c>
      <x:c r="B1140" s="51" t="str">
        <x:v>K</x:v>
      </x:c>
      <x:c r="C1140" s="51" t="n">
        <x:v>18</x:v>
      </x:c>
      <x:c r="D1140" s="71" t="str"/>
      <x:c r="E1140" s="51" t="str">
        <x:v>AM</x:v>
      </x:c>
      <x:c r="F1140" s="51" t="str">
        <x:v>Attack</x:v>
      </x:c>
      <x:c r="G1140" s="51" t="str">
        <x:v>Rotation</x:v>
      </x:c>
      <x:c r="H1140" s="55" t="n">
        <x:v>0.35</x:v>
      </x:c>
      <x:c r="I1140" s="51" t="str"/>
      <x:c r="J1140" s="72" t="str"/>
      <x:c r="K1140" s="72" t="str"/>
      <x:c r="L1140" s="72" t="str"/>
      <x:c r="M1140" s="72" t="str"/>
      <x:c r="N1140" s="72" t="str"/>
      <x:c r="O1140" s="72" t="str"/>
      <x:c r="P1140" s="72" t="str">
        <x:v>Available</x:v>
      </x:c>
      <x:c r="Q1140" s="72" t="n">
        <x:v>0</x:v>
      </x:c>
      <x:c r="R1140" s="55" t="str">
        <x:f>IF($D1140="","",ROUND(MAX(0,MIN(100,0.35*$J1140+0.2*$K1140+0.15*$L1140+0.15*$M1140+0.1*$N1140+0.05*$O1140-IF(OR($P1140="Out",$P1140="Suspended"),$Q1140,IF($P1140="Doubtful",$Q1140*0.5,IF($P1140="Limited",$Q1140*0.25,0))))),2))</x:f>
      </x:c>
      <x:c r="S1140" s="55" t="n">
        <x:f>IF($D1140="",0,ROUND(IF(OR($P1140="Out",$P1140="Suspended"),$Q1140*$H1140,IF($P1140="Doubtful",$Q1140*$H1140*0.5,IF($P1140="Limited",$Q1140*$H1140*0.25,0))),2))</x:f>
        <x:v>0</x:v>
      </x:c>
      <x:c r="T1140" s="55" t="str"/>
      <x:c r="U1140" s="51" t="str"/>
    </x:row>
    <x:row r="1141">
      <x:c r="A1141" s="51" t="str">
        <x:v>Uzbekistan</x:v>
      </x:c>
      <x:c r="B1141" s="51" t="str">
        <x:v>K</x:v>
      </x:c>
      <x:c r="C1141" s="51" t="n">
        <x:v>19</x:v>
      </x:c>
      <x:c r="D1141" s="71" t="str"/>
      <x:c r="E1141" s="51" t="str">
        <x:v>AM</x:v>
      </x:c>
      <x:c r="F1141" s="51" t="str">
        <x:v>Attack</x:v>
      </x:c>
      <x:c r="G1141" s="51" t="str">
        <x:v>Rotation</x:v>
      </x:c>
      <x:c r="H1141" s="55" t="n">
        <x:v>0.35</x:v>
      </x:c>
      <x:c r="I1141" s="51" t="str"/>
      <x:c r="J1141" s="72" t="str"/>
      <x:c r="K1141" s="72" t="str"/>
      <x:c r="L1141" s="72" t="str"/>
      <x:c r="M1141" s="72" t="str"/>
      <x:c r="N1141" s="72" t="str"/>
      <x:c r="O1141" s="72" t="str"/>
      <x:c r="P1141" s="72" t="str">
        <x:v>Available</x:v>
      </x:c>
      <x:c r="Q1141" s="72" t="n">
        <x:v>0</x:v>
      </x:c>
      <x:c r="R1141" s="55" t="str">
        <x:f>IF($D1141="","",ROUND(MAX(0,MIN(100,0.35*$J1141+0.2*$K1141+0.15*$L1141+0.15*$M1141+0.1*$N1141+0.05*$O1141-IF(OR($P1141="Out",$P1141="Suspended"),$Q1141,IF($P1141="Doubtful",$Q1141*0.5,IF($P1141="Limited",$Q1141*0.25,0))))),2))</x:f>
      </x:c>
      <x:c r="S1141" s="55" t="n">
        <x:f>IF($D1141="",0,ROUND(IF(OR($P1141="Out",$P1141="Suspended"),$Q1141*$H1141,IF($P1141="Doubtful",$Q1141*$H1141*0.5,IF($P1141="Limited",$Q1141*$H1141*0.25,0))),2))</x:f>
        <x:v>0</x:v>
      </x:c>
      <x:c r="T1141" s="55" t="str"/>
      <x:c r="U1141" s="51" t="str"/>
    </x:row>
    <x:row r="1142">
      <x:c r="A1142" s="51" t="str">
        <x:v>Uzbekistan</x:v>
      </x:c>
      <x:c r="B1142" s="51" t="str">
        <x:v>K</x:v>
      </x:c>
      <x:c r="C1142" s="51" t="n">
        <x:v>20</x:v>
      </x:c>
      <x:c r="D1142" s="71" t="str"/>
      <x:c r="E1142" s="51" t="str">
        <x:v>Winger</x:v>
      </x:c>
      <x:c r="F1142" s="51" t="str">
        <x:v>Attack</x:v>
      </x:c>
      <x:c r="G1142" s="51" t="str">
        <x:v>Rotation</x:v>
      </x:c>
      <x:c r="H1142" s="55" t="n">
        <x:v>0.35</x:v>
      </x:c>
      <x:c r="I1142" s="51" t="str"/>
      <x:c r="J1142" s="72" t="str"/>
      <x:c r="K1142" s="72" t="str"/>
      <x:c r="L1142" s="72" t="str"/>
      <x:c r="M1142" s="72" t="str"/>
      <x:c r="N1142" s="72" t="str"/>
      <x:c r="O1142" s="72" t="str"/>
      <x:c r="P1142" s="72" t="str">
        <x:v>Available</x:v>
      </x:c>
      <x:c r="Q1142" s="72" t="n">
        <x:v>0</x:v>
      </x:c>
      <x:c r="R1142" s="55" t="str">
        <x:f>IF($D1142="","",ROUND(MAX(0,MIN(100,0.35*$J1142+0.2*$K1142+0.15*$L1142+0.15*$M1142+0.1*$N1142+0.05*$O1142-IF(OR($P1142="Out",$P1142="Suspended"),$Q1142,IF($P1142="Doubtful",$Q1142*0.5,IF($P1142="Limited",$Q1142*0.25,0))))),2))</x:f>
      </x:c>
      <x:c r="S1142" s="55" t="n">
        <x:f>IF($D1142="",0,ROUND(IF(OR($P1142="Out",$P1142="Suspended"),$Q1142*$H1142,IF($P1142="Doubtful",$Q1142*$H1142*0.5,IF($P1142="Limited",$Q1142*$H1142*0.25,0))),2))</x:f>
        <x:v>0</x:v>
      </x:c>
      <x:c r="T1142" s="55" t="str"/>
      <x:c r="U1142" s="51" t="str"/>
    </x:row>
    <x:row r="1143">
      <x:c r="A1143" s="51" t="str">
        <x:v>Uzbekistan</x:v>
      </x:c>
      <x:c r="B1143" s="51" t="str">
        <x:v>K</x:v>
      </x:c>
      <x:c r="C1143" s="51" t="n">
        <x:v>21</x:v>
      </x:c>
      <x:c r="D1143" s="71" t="str"/>
      <x:c r="E1143" s="51" t="str">
        <x:v>Winger</x:v>
      </x:c>
      <x:c r="F1143" s="51" t="str">
        <x:v>Attack</x:v>
      </x:c>
      <x:c r="G1143" s="51" t="str">
        <x:v>Depth</x:v>
      </x:c>
      <x:c r="H1143" s="55" t="n">
        <x:v>0.1</x:v>
      </x:c>
      <x:c r="I1143" s="51" t="str"/>
      <x:c r="J1143" s="72" t="str"/>
      <x:c r="K1143" s="72" t="str"/>
      <x:c r="L1143" s="72" t="str"/>
      <x:c r="M1143" s="72" t="str"/>
      <x:c r="N1143" s="72" t="str"/>
      <x:c r="O1143" s="72" t="str"/>
      <x:c r="P1143" s="72" t="str">
        <x:v>Available</x:v>
      </x:c>
      <x:c r="Q1143" s="72" t="n">
        <x:v>0</x:v>
      </x:c>
      <x:c r="R1143" s="55" t="str">
        <x:f>IF($D1143="","",ROUND(MAX(0,MIN(100,0.35*$J1143+0.2*$K1143+0.15*$L1143+0.15*$M1143+0.1*$N1143+0.05*$O1143-IF(OR($P1143="Out",$P1143="Suspended"),$Q1143,IF($P1143="Doubtful",$Q1143*0.5,IF($P1143="Limited",$Q1143*0.25,0))))),2))</x:f>
      </x:c>
      <x:c r="S1143" s="55" t="n">
        <x:f>IF($D1143="",0,ROUND(IF(OR($P1143="Out",$P1143="Suspended"),$Q1143*$H1143,IF($P1143="Doubtful",$Q1143*$H1143*0.5,IF($P1143="Limited",$Q1143*$H1143*0.25,0))),2))</x:f>
        <x:v>0</x:v>
      </x:c>
      <x:c r="T1143" s="55" t="str"/>
      <x:c r="U1143" s="51" t="str"/>
    </x:row>
    <x:row r="1144">
      <x:c r="A1144" s="51" t="str">
        <x:v>Uzbekistan</x:v>
      </x:c>
      <x:c r="B1144" s="51" t="str">
        <x:v>K</x:v>
      </x:c>
      <x:c r="C1144" s="51" t="n">
        <x:v>22</x:v>
      </x:c>
      <x:c r="D1144" s="71" t="str"/>
      <x:c r="E1144" s="51" t="str">
        <x:v>Winger</x:v>
      </x:c>
      <x:c r="F1144" s="51" t="str">
        <x:v>Attack</x:v>
      </x:c>
      <x:c r="G1144" s="51" t="str">
        <x:v>Depth</x:v>
      </x:c>
      <x:c r="H1144" s="55" t="n">
        <x:v>0.1</x:v>
      </x:c>
      <x:c r="I1144" s="51" t="str"/>
      <x:c r="J1144" s="72" t="str"/>
      <x:c r="K1144" s="72" t="str"/>
      <x:c r="L1144" s="72" t="str"/>
      <x:c r="M1144" s="72" t="str"/>
      <x:c r="N1144" s="72" t="str"/>
      <x:c r="O1144" s="72" t="str"/>
      <x:c r="P1144" s="72" t="str">
        <x:v>Available</x:v>
      </x:c>
      <x:c r="Q1144" s="72" t="n">
        <x:v>0</x:v>
      </x:c>
      <x:c r="R1144" s="55" t="str">
        <x:f>IF($D1144="","",ROUND(MAX(0,MIN(100,0.35*$J1144+0.2*$K1144+0.15*$L1144+0.15*$M1144+0.1*$N1144+0.05*$O1144-IF(OR($P1144="Out",$P1144="Suspended"),$Q1144,IF($P1144="Doubtful",$Q1144*0.5,IF($P1144="Limited",$Q1144*0.25,0))))),2))</x:f>
      </x:c>
      <x:c r="S1144" s="55" t="n">
        <x:f>IF($D1144="",0,ROUND(IF(OR($P1144="Out",$P1144="Suspended"),$Q1144*$H1144,IF($P1144="Doubtful",$Q1144*$H1144*0.5,IF($P1144="Limited",$Q1144*$H1144*0.25,0))),2))</x:f>
        <x:v>0</x:v>
      </x:c>
      <x:c r="T1144" s="55" t="str"/>
      <x:c r="U1144" s="51" t="str"/>
    </x:row>
    <x:row r="1145">
      <x:c r="A1145" s="51" t="str">
        <x:v>Uzbekistan</x:v>
      </x:c>
      <x:c r="B1145" s="51" t="str">
        <x:v>K</x:v>
      </x:c>
      <x:c r="C1145" s="51" t="n">
        <x:v>23</x:v>
      </x:c>
      <x:c r="D1145" s="71" t="str"/>
      <x:c r="E1145" s="51" t="str">
        <x:v>Winger</x:v>
      </x:c>
      <x:c r="F1145" s="51" t="str">
        <x:v>Attack</x:v>
      </x:c>
      <x:c r="G1145" s="51" t="str">
        <x:v>Depth</x:v>
      </x:c>
      <x:c r="H1145" s="55" t="n">
        <x:v>0.1</x:v>
      </x:c>
      <x:c r="I1145" s="51" t="str"/>
      <x:c r="J1145" s="72" t="str"/>
      <x:c r="K1145" s="72" t="str"/>
      <x:c r="L1145" s="72" t="str"/>
      <x:c r="M1145" s="72" t="str"/>
      <x:c r="N1145" s="72" t="str"/>
      <x:c r="O1145" s="72" t="str"/>
      <x:c r="P1145" s="72" t="str">
        <x:v>Available</x:v>
      </x:c>
      <x:c r="Q1145" s="72" t="n">
        <x:v>0</x:v>
      </x:c>
      <x:c r="R1145" s="55" t="str">
        <x:f>IF($D1145="","",ROUND(MAX(0,MIN(100,0.35*$J1145+0.2*$K1145+0.15*$L1145+0.15*$M1145+0.1*$N1145+0.05*$O1145-IF(OR($P1145="Out",$P1145="Suspended"),$Q1145,IF($P1145="Doubtful",$Q1145*0.5,IF($P1145="Limited",$Q1145*0.25,0))))),2))</x:f>
      </x:c>
      <x:c r="S1145" s="55" t="n">
        <x:f>IF($D1145="",0,ROUND(IF(OR($P1145="Out",$P1145="Suspended"),$Q1145*$H1145,IF($P1145="Doubtful",$Q1145*$H1145*0.5,IF($P1145="Limited",$Q1145*$H1145*0.25,0))),2))</x:f>
        <x:v>0</x:v>
      </x:c>
      <x:c r="T1145" s="55" t="str"/>
      <x:c r="U1145" s="51" t="str"/>
    </x:row>
    <x:row r="1146">
      <x:c r="A1146" s="51" t="str">
        <x:v>Uzbekistan</x:v>
      </x:c>
      <x:c r="B1146" s="51" t="str">
        <x:v>K</x:v>
      </x:c>
      <x:c r="C1146" s="51" t="n">
        <x:v>24</x:v>
      </x:c>
      <x:c r="D1146" s="71" t="str"/>
      <x:c r="E1146" s="51" t="str">
        <x:v>ST</x:v>
      </x:c>
      <x:c r="F1146" s="51" t="str">
        <x:v>Attack</x:v>
      </x:c>
      <x:c r="G1146" s="51" t="str">
        <x:v>Depth</x:v>
      </x:c>
      <x:c r="H1146" s="55" t="n">
        <x:v>0.1</x:v>
      </x:c>
      <x:c r="I1146" s="51" t="str"/>
      <x:c r="J1146" s="72" t="str"/>
      <x:c r="K1146" s="72" t="str"/>
      <x:c r="L1146" s="72" t="str"/>
      <x:c r="M1146" s="72" t="str"/>
      <x:c r="N1146" s="72" t="str"/>
      <x:c r="O1146" s="72" t="str"/>
      <x:c r="P1146" s="72" t="str">
        <x:v>Available</x:v>
      </x:c>
      <x:c r="Q1146" s="72" t="n">
        <x:v>0</x:v>
      </x:c>
      <x:c r="R1146" s="55" t="str">
        <x:f>IF($D1146="","",ROUND(MAX(0,MIN(100,0.35*$J1146+0.2*$K1146+0.15*$L1146+0.15*$M1146+0.1*$N1146+0.05*$O1146-IF(OR($P1146="Out",$P1146="Suspended"),$Q1146,IF($P1146="Doubtful",$Q1146*0.5,IF($P1146="Limited",$Q1146*0.25,0))))),2))</x:f>
      </x:c>
      <x:c r="S1146" s="55" t="n">
        <x:f>IF($D1146="",0,ROUND(IF(OR($P1146="Out",$P1146="Suspended"),$Q1146*$H1146,IF($P1146="Doubtful",$Q1146*$H1146*0.5,IF($P1146="Limited",$Q1146*$H1146*0.25,0))),2))</x:f>
        <x:v>0</x:v>
      </x:c>
      <x:c r="T1146" s="55" t="str"/>
      <x:c r="U1146" s="51" t="str"/>
    </x:row>
    <x:row r="1147">
      <x:c r="A1147" s="51" t="str">
        <x:v>Uzbekistan</x:v>
      </x:c>
      <x:c r="B1147" s="51" t="str">
        <x:v>K</x:v>
      </x:c>
      <x:c r="C1147" s="51" t="n">
        <x:v>25</x:v>
      </x:c>
      <x:c r="D1147" s="71" t="str"/>
      <x:c r="E1147" s="51" t="str">
        <x:v>ST</x:v>
      </x:c>
      <x:c r="F1147" s="51" t="str">
        <x:v>Attack</x:v>
      </x:c>
      <x:c r="G1147" s="51" t="str">
        <x:v>Depth</x:v>
      </x:c>
      <x:c r="H1147" s="55" t="n">
        <x:v>0.1</x:v>
      </x:c>
      <x:c r="I1147" s="51" t="str"/>
      <x:c r="J1147" s="72" t="str"/>
      <x:c r="K1147" s="72" t="str"/>
      <x:c r="L1147" s="72" t="str"/>
      <x:c r="M1147" s="72" t="str"/>
      <x:c r="N1147" s="72" t="str"/>
      <x:c r="O1147" s="72" t="str"/>
      <x:c r="P1147" s="72" t="str">
        <x:v>Available</x:v>
      </x:c>
      <x:c r="Q1147" s="72" t="n">
        <x:v>0</x:v>
      </x:c>
      <x:c r="R1147" s="55" t="str">
        <x:f>IF($D1147="","",ROUND(MAX(0,MIN(100,0.35*$J1147+0.2*$K1147+0.15*$L1147+0.15*$M1147+0.1*$N1147+0.05*$O1147-IF(OR($P1147="Out",$P1147="Suspended"),$Q1147,IF($P1147="Doubtful",$Q1147*0.5,IF($P1147="Limited",$Q1147*0.25,0))))),2))</x:f>
      </x:c>
      <x:c r="S1147" s="55" t="n">
        <x:f>IF($D1147="",0,ROUND(IF(OR($P1147="Out",$P1147="Suspended"),$Q1147*$H1147,IF($P1147="Doubtful",$Q1147*$H1147*0.5,IF($P1147="Limited",$Q1147*$H1147*0.25,0))),2))</x:f>
        <x:v>0</x:v>
      </x:c>
      <x:c r="T1147" s="55" t="str"/>
      <x:c r="U1147" s="51" t="str"/>
    </x:row>
    <x:row r="1148">
      <x:c r="A1148" s="51" t="str">
        <x:v>Uzbekistan</x:v>
      </x:c>
      <x:c r="B1148" s="51" t="str">
        <x:v>K</x:v>
      </x:c>
      <x:c r="C1148" s="51" t="n">
        <x:v>26</x:v>
      </x:c>
      <x:c r="D1148" s="71" t="str"/>
      <x:c r="E1148" s="51" t="str">
        <x:v>ST</x:v>
      </x:c>
      <x:c r="F1148" s="51" t="str">
        <x:v>Attack</x:v>
      </x:c>
      <x:c r="G1148" s="51" t="str">
        <x:v>Depth</x:v>
      </x:c>
      <x:c r="H1148" s="55" t="n">
        <x:v>0.1</x:v>
      </x:c>
      <x:c r="I1148" s="51" t="str"/>
      <x:c r="J1148" s="72" t="str"/>
      <x:c r="K1148" s="72" t="str"/>
      <x:c r="L1148" s="72" t="str"/>
      <x:c r="M1148" s="72" t="str"/>
      <x:c r="N1148" s="72" t="str"/>
      <x:c r="O1148" s="72" t="str"/>
      <x:c r="P1148" s="72" t="str">
        <x:v>Available</x:v>
      </x:c>
      <x:c r="Q1148" s="72" t="n">
        <x:v>0</x:v>
      </x:c>
      <x:c r="R1148" s="55" t="str">
        <x:f>IF($D1148="","",ROUND(MAX(0,MIN(100,0.35*$J1148+0.2*$K1148+0.15*$L1148+0.15*$M1148+0.1*$N1148+0.05*$O1148-IF(OR($P1148="Out",$P1148="Suspended"),$Q1148,IF($P1148="Doubtful",$Q1148*0.5,IF($P1148="Limited",$Q1148*0.25,0))))),2))</x:f>
      </x:c>
      <x:c r="S1148" s="55" t="n">
        <x:f>IF($D1148="",0,ROUND(IF(OR($P1148="Out",$P1148="Suspended"),$Q1148*$H1148,IF($P1148="Doubtful",$Q1148*$H1148*0.5,IF($P1148="Limited",$Q1148*$H1148*0.25,0))),2))</x:f>
        <x:v>0</x:v>
      </x:c>
      <x:c r="T1148" s="55" t="str"/>
      <x:c r="U1148" s="51" t="str"/>
    </x:row>
    <x:row r="1149">
      <x:c r="A1149" s="51" t="str">
        <x:v>Croatia</x:v>
      </x:c>
      <x:c r="B1149" s="51" t="str">
        <x:v>L</x:v>
      </x:c>
      <x:c r="C1149" s="51" t="n">
        <x:v>1</x:v>
      </x:c>
      <x:c r="D1149" s="71" t="str"/>
      <x:c r="E1149" s="51" t="str">
        <x:v>GK</x:v>
      </x:c>
      <x:c r="F1149" s="51" t="str">
        <x:v>GK</x:v>
      </x:c>
      <x:c r="G1149" s="51" t="str">
        <x:v>Starter</x:v>
      </x:c>
      <x:c r="H1149" s="55" t="n">
        <x:v>1</x:v>
      </x:c>
      <x:c r="I1149" s="51" t="str"/>
      <x:c r="J1149" s="72" t="str"/>
      <x:c r="K1149" s="72" t="str"/>
      <x:c r="L1149" s="72" t="str"/>
      <x:c r="M1149" s="72" t="str"/>
      <x:c r="N1149" s="72" t="str"/>
      <x:c r="O1149" s="72" t="str"/>
      <x:c r="P1149" s="72" t="str">
        <x:v>Available</x:v>
      </x:c>
      <x:c r="Q1149" s="72" t="n">
        <x:v>0</x:v>
      </x:c>
      <x:c r="R1149" s="55" t="str">
        <x:f>IF($D1149="","",ROUND(MAX(0,MIN(100,0.35*$J1149+0.2*$K1149+0.15*$L1149+0.15*$M1149+0.1*$N1149+0.05*$O1149-IF(OR($P1149="Out",$P1149="Suspended"),$Q1149,IF($P1149="Doubtful",$Q1149*0.5,IF($P1149="Limited",$Q1149*0.25,0))))),2))</x:f>
      </x:c>
      <x:c r="S1149" s="55" t="n">
        <x:f>IF($D1149="",0,ROUND(IF(OR($P1149="Out",$P1149="Suspended"),$Q1149*$H1149,IF($P1149="Doubtful",$Q1149*$H1149*0.5,IF($P1149="Limited",$Q1149*$H1149*0.25,0))),2))</x:f>
        <x:v>0</x:v>
      </x:c>
      <x:c r="T1149" s="55" t="str"/>
      <x:c r="U1149" s="51" t="str"/>
    </x:row>
    <x:row r="1150">
      <x:c r="A1150" s="51" t="str">
        <x:v>Croatia</x:v>
      </x:c>
      <x:c r="B1150" s="51" t="str">
        <x:v>L</x:v>
      </x:c>
      <x:c r="C1150" s="51" t="n">
        <x:v>2</x:v>
      </x:c>
      <x:c r="D1150" s="71" t="str"/>
      <x:c r="E1150" s="51" t="str">
        <x:v>GK</x:v>
      </x:c>
      <x:c r="F1150" s="51" t="str">
        <x:v>GK</x:v>
      </x:c>
      <x:c r="G1150" s="51" t="str">
        <x:v>Starter</x:v>
      </x:c>
      <x:c r="H1150" s="55" t="n">
        <x:v>1</x:v>
      </x:c>
      <x:c r="I1150" s="51" t="str"/>
      <x:c r="J1150" s="72" t="str"/>
      <x:c r="K1150" s="72" t="str"/>
      <x:c r="L1150" s="72" t="str"/>
      <x:c r="M1150" s="72" t="str"/>
      <x:c r="N1150" s="72" t="str"/>
      <x:c r="O1150" s="72" t="str"/>
      <x:c r="P1150" s="72" t="str">
        <x:v>Available</x:v>
      </x:c>
      <x:c r="Q1150" s="72" t="n">
        <x:v>0</x:v>
      </x:c>
      <x:c r="R1150" s="55" t="str">
        <x:f>IF($D1150="","",ROUND(MAX(0,MIN(100,0.35*$J1150+0.2*$K1150+0.15*$L1150+0.15*$M1150+0.1*$N1150+0.05*$O1150-IF(OR($P1150="Out",$P1150="Suspended"),$Q1150,IF($P1150="Doubtful",$Q1150*0.5,IF($P1150="Limited",$Q1150*0.25,0))))),2))</x:f>
      </x:c>
      <x:c r="S1150" s="55" t="n">
        <x:f>IF($D1150="",0,ROUND(IF(OR($P1150="Out",$P1150="Suspended"),$Q1150*$H1150,IF($P1150="Doubtful",$Q1150*$H1150*0.5,IF($P1150="Limited",$Q1150*$H1150*0.25,0))),2))</x:f>
        <x:v>0</x:v>
      </x:c>
      <x:c r="T1150" s="55" t="str"/>
      <x:c r="U1150" s="51" t="str"/>
    </x:row>
    <x:row r="1151">
      <x:c r="A1151" s="51" t="str">
        <x:v>Croatia</x:v>
      </x:c>
      <x:c r="B1151" s="51" t="str">
        <x:v>L</x:v>
      </x:c>
      <x:c r="C1151" s="51" t="n">
        <x:v>3</x:v>
      </x:c>
      <x:c r="D1151" s="71" t="str"/>
      <x:c r="E1151" s="51" t="str">
        <x:v>GK</x:v>
      </x:c>
      <x:c r="F1151" s="51" t="str">
        <x:v>GK</x:v>
      </x:c>
      <x:c r="G1151" s="51" t="str">
        <x:v>Starter</x:v>
      </x:c>
      <x:c r="H1151" s="55" t="n">
        <x:v>1</x:v>
      </x:c>
      <x:c r="I1151" s="51" t="str"/>
      <x:c r="J1151" s="72" t="str"/>
      <x:c r="K1151" s="72" t="str"/>
      <x:c r="L1151" s="72" t="str"/>
      <x:c r="M1151" s="72" t="str"/>
      <x:c r="N1151" s="72" t="str"/>
      <x:c r="O1151" s="72" t="str"/>
      <x:c r="P1151" s="72" t="str">
        <x:v>Available</x:v>
      </x:c>
      <x:c r="Q1151" s="72" t="n">
        <x:v>0</x:v>
      </x:c>
      <x:c r="R1151" s="55" t="str">
        <x:f>IF($D1151="","",ROUND(MAX(0,MIN(100,0.35*$J1151+0.2*$K1151+0.15*$L1151+0.15*$M1151+0.1*$N1151+0.05*$O1151-IF(OR($P1151="Out",$P1151="Suspended"),$Q1151,IF($P1151="Doubtful",$Q1151*0.5,IF($P1151="Limited",$Q1151*0.25,0))))),2))</x:f>
      </x:c>
      <x:c r="S1151" s="55" t="n">
        <x:f>IF($D1151="",0,ROUND(IF(OR($P1151="Out",$P1151="Suspended"),$Q1151*$H1151,IF($P1151="Doubtful",$Q1151*$H1151*0.5,IF($P1151="Limited",$Q1151*$H1151*0.25,0))),2))</x:f>
        <x:v>0</x:v>
      </x:c>
      <x:c r="T1151" s="55" t="str"/>
      <x:c r="U1151" s="51" t="str"/>
    </x:row>
    <x:row r="1152">
      <x:c r="A1152" s="51" t="str">
        <x:v>Croatia</x:v>
      </x:c>
      <x:c r="B1152" s="51" t="str">
        <x:v>L</x:v>
      </x:c>
      <x:c r="C1152" s="51" t="n">
        <x:v>4</x:v>
      </x:c>
      <x:c r="D1152" s="71" t="str"/>
      <x:c r="E1152" s="51" t="str">
        <x:v>CB</x:v>
      </x:c>
      <x:c r="F1152" s="51" t="str">
        <x:v>Defence</x:v>
      </x:c>
      <x:c r="G1152" s="51" t="str">
        <x:v>Starter</x:v>
      </x:c>
      <x:c r="H1152" s="55" t="n">
        <x:v>1</x:v>
      </x:c>
      <x:c r="I1152" s="51" t="str"/>
      <x:c r="J1152" s="72" t="str"/>
      <x:c r="K1152" s="72" t="str"/>
      <x:c r="L1152" s="72" t="str"/>
      <x:c r="M1152" s="72" t="str"/>
      <x:c r="N1152" s="72" t="str"/>
      <x:c r="O1152" s="72" t="str"/>
      <x:c r="P1152" s="72" t="str">
        <x:v>Available</x:v>
      </x:c>
      <x:c r="Q1152" s="72" t="n">
        <x:v>0</x:v>
      </x:c>
      <x:c r="R1152" s="55" t="str">
        <x:f>IF($D1152="","",ROUND(MAX(0,MIN(100,0.35*$J1152+0.2*$K1152+0.15*$L1152+0.15*$M1152+0.1*$N1152+0.05*$O1152-IF(OR($P1152="Out",$P1152="Suspended"),$Q1152,IF($P1152="Doubtful",$Q1152*0.5,IF($P1152="Limited",$Q1152*0.25,0))))),2))</x:f>
      </x:c>
      <x:c r="S1152" s="55" t="n">
        <x:f>IF($D1152="",0,ROUND(IF(OR($P1152="Out",$P1152="Suspended"),$Q1152*$H1152,IF($P1152="Doubtful",$Q1152*$H1152*0.5,IF($P1152="Limited",$Q1152*$H1152*0.25,0))),2))</x:f>
        <x:v>0</x:v>
      </x:c>
      <x:c r="T1152" s="55" t="str"/>
      <x:c r="U1152" s="51" t="str"/>
    </x:row>
    <x:row r="1153">
      <x:c r="A1153" s="51" t="str">
        <x:v>Croatia</x:v>
      </x:c>
      <x:c r="B1153" s="51" t="str">
        <x:v>L</x:v>
      </x:c>
      <x:c r="C1153" s="51" t="n">
        <x:v>5</x:v>
      </x:c>
      <x:c r="D1153" s="71" t="str"/>
      <x:c r="E1153" s="51" t="str">
        <x:v>CB</x:v>
      </x:c>
      <x:c r="F1153" s="51" t="str">
        <x:v>Defence</x:v>
      </x:c>
      <x:c r="G1153" s="51" t="str">
        <x:v>Starter</x:v>
      </x:c>
      <x:c r="H1153" s="55" t="n">
        <x:v>1</x:v>
      </x:c>
      <x:c r="I1153" s="51" t="str"/>
      <x:c r="J1153" s="72" t="str"/>
      <x:c r="K1153" s="72" t="str"/>
      <x:c r="L1153" s="72" t="str"/>
      <x:c r="M1153" s="72" t="str"/>
      <x:c r="N1153" s="72" t="str"/>
      <x:c r="O1153" s="72" t="str"/>
      <x:c r="P1153" s="72" t="str">
        <x:v>Available</x:v>
      </x:c>
      <x:c r="Q1153" s="72" t="n">
        <x:v>0</x:v>
      </x:c>
      <x:c r="R1153" s="55" t="str">
        <x:f>IF($D1153="","",ROUND(MAX(0,MIN(100,0.35*$J1153+0.2*$K1153+0.15*$L1153+0.15*$M1153+0.1*$N1153+0.05*$O1153-IF(OR($P1153="Out",$P1153="Suspended"),$Q1153,IF($P1153="Doubtful",$Q1153*0.5,IF($P1153="Limited",$Q1153*0.25,0))))),2))</x:f>
      </x:c>
      <x:c r="S1153" s="55" t="n">
        <x:f>IF($D1153="",0,ROUND(IF(OR($P1153="Out",$P1153="Suspended"),$Q1153*$H1153,IF($P1153="Doubtful",$Q1153*$H1153*0.5,IF($P1153="Limited",$Q1153*$H1153*0.25,0))),2))</x:f>
        <x:v>0</x:v>
      </x:c>
      <x:c r="T1153" s="55" t="str"/>
      <x:c r="U1153" s="51" t="str"/>
    </x:row>
    <x:row r="1154">
      <x:c r="A1154" s="51" t="str">
        <x:v>Croatia</x:v>
      </x:c>
      <x:c r="B1154" s="51" t="str">
        <x:v>L</x:v>
      </x:c>
      <x:c r="C1154" s="51" t="n">
        <x:v>6</x:v>
      </x:c>
      <x:c r="D1154" s="71" t="str"/>
      <x:c r="E1154" s="51" t="str">
        <x:v>CB</x:v>
      </x:c>
      <x:c r="F1154" s="51" t="str">
        <x:v>Defence</x:v>
      </x:c>
      <x:c r="G1154" s="51" t="str">
        <x:v>Starter</x:v>
      </x:c>
      <x:c r="H1154" s="55" t="n">
        <x:v>1</x:v>
      </x:c>
      <x:c r="I1154" s="51" t="str"/>
      <x:c r="J1154" s="72" t="str"/>
      <x:c r="K1154" s="72" t="str"/>
      <x:c r="L1154" s="72" t="str"/>
      <x:c r="M1154" s="72" t="str"/>
      <x:c r="N1154" s="72" t="str"/>
      <x:c r="O1154" s="72" t="str"/>
      <x:c r="P1154" s="72" t="str">
        <x:v>Available</x:v>
      </x:c>
      <x:c r="Q1154" s="72" t="n">
        <x:v>0</x:v>
      </x:c>
      <x:c r="R1154" s="55" t="str">
        <x:f>IF($D1154="","",ROUND(MAX(0,MIN(100,0.35*$J1154+0.2*$K1154+0.15*$L1154+0.15*$M1154+0.1*$N1154+0.05*$O1154-IF(OR($P1154="Out",$P1154="Suspended"),$Q1154,IF($P1154="Doubtful",$Q1154*0.5,IF($P1154="Limited",$Q1154*0.25,0))))),2))</x:f>
      </x:c>
      <x:c r="S1154" s="55" t="n">
        <x:f>IF($D1154="",0,ROUND(IF(OR($P1154="Out",$P1154="Suspended"),$Q1154*$H1154,IF($P1154="Doubtful",$Q1154*$H1154*0.5,IF($P1154="Limited",$Q1154*$H1154*0.25,0))),2))</x:f>
        <x:v>0</x:v>
      </x:c>
      <x:c r="T1154" s="55" t="str"/>
      <x:c r="U1154" s="51" t="str"/>
    </x:row>
    <x:row r="1155">
      <x:c r="A1155" s="51" t="str">
        <x:v>Croatia</x:v>
      </x:c>
      <x:c r="B1155" s="51" t="str">
        <x:v>L</x:v>
      </x:c>
      <x:c r="C1155" s="51" t="n">
        <x:v>7</x:v>
      </x:c>
      <x:c r="D1155" s="71" t="str"/>
      <x:c r="E1155" s="51" t="str">
        <x:v>FB</x:v>
      </x:c>
      <x:c r="F1155" s="51" t="str">
        <x:v>Defence</x:v>
      </x:c>
      <x:c r="G1155" s="51" t="str">
        <x:v>Starter</x:v>
      </x:c>
      <x:c r="H1155" s="55" t="n">
        <x:v>1</x:v>
      </x:c>
      <x:c r="I1155" s="51" t="str"/>
      <x:c r="J1155" s="72" t="str"/>
      <x:c r="K1155" s="72" t="str"/>
      <x:c r="L1155" s="72" t="str"/>
      <x:c r="M1155" s="72" t="str"/>
      <x:c r="N1155" s="72" t="str"/>
      <x:c r="O1155" s="72" t="str"/>
      <x:c r="P1155" s="72" t="str">
        <x:v>Available</x:v>
      </x:c>
      <x:c r="Q1155" s="72" t="n">
        <x:v>0</x:v>
      </x:c>
      <x:c r="R1155" s="55" t="str">
        <x:f>IF($D1155="","",ROUND(MAX(0,MIN(100,0.35*$J1155+0.2*$K1155+0.15*$L1155+0.15*$M1155+0.1*$N1155+0.05*$O1155-IF(OR($P1155="Out",$P1155="Suspended"),$Q1155,IF($P1155="Doubtful",$Q1155*0.5,IF($P1155="Limited",$Q1155*0.25,0))))),2))</x:f>
      </x:c>
      <x:c r="S1155" s="55" t="n">
        <x:f>IF($D1155="",0,ROUND(IF(OR($P1155="Out",$P1155="Suspended"),$Q1155*$H1155,IF($P1155="Doubtful",$Q1155*$H1155*0.5,IF($P1155="Limited",$Q1155*$H1155*0.25,0))),2))</x:f>
        <x:v>0</x:v>
      </x:c>
      <x:c r="T1155" s="55" t="str"/>
      <x:c r="U1155" s="51" t="str"/>
    </x:row>
    <x:row r="1156">
      <x:c r="A1156" s="51" t="str">
        <x:v>Croatia</x:v>
      </x:c>
      <x:c r="B1156" s="51" t="str">
        <x:v>L</x:v>
      </x:c>
      <x:c r="C1156" s="51" t="n">
        <x:v>8</x:v>
      </x:c>
      <x:c r="D1156" s="71" t="str"/>
      <x:c r="E1156" s="51" t="str">
        <x:v>FB</x:v>
      </x:c>
      <x:c r="F1156" s="51" t="str">
        <x:v>Defence</x:v>
      </x:c>
      <x:c r="G1156" s="51" t="str">
        <x:v>Starter</x:v>
      </x:c>
      <x:c r="H1156" s="55" t="n">
        <x:v>1</x:v>
      </x:c>
      <x:c r="I1156" s="51" t="str"/>
      <x:c r="J1156" s="72" t="str"/>
      <x:c r="K1156" s="72" t="str"/>
      <x:c r="L1156" s="72" t="str"/>
      <x:c r="M1156" s="72" t="str"/>
      <x:c r="N1156" s="72" t="str"/>
      <x:c r="O1156" s="72" t="str"/>
      <x:c r="P1156" s="72" t="str">
        <x:v>Available</x:v>
      </x:c>
      <x:c r="Q1156" s="72" t="n">
        <x:v>0</x:v>
      </x:c>
      <x:c r="R1156" s="55" t="str">
        <x:f>IF($D1156="","",ROUND(MAX(0,MIN(100,0.35*$J1156+0.2*$K1156+0.15*$L1156+0.15*$M1156+0.1*$N1156+0.05*$O1156-IF(OR($P1156="Out",$P1156="Suspended"),$Q1156,IF($P1156="Doubtful",$Q1156*0.5,IF($P1156="Limited",$Q1156*0.25,0))))),2))</x:f>
      </x:c>
      <x:c r="S1156" s="55" t="n">
        <x:f>IF($D1156="",0,ROUND(IF(OR($P1156="Out",$P1156="Suspended"),$Q1156*$H1156,IF($P1156="Doubtful",$Q1156*$H1156*0.5,IF($P1156="Limited",$Q1156*$H1156*0.25,0))),2))</x:f>
        <x:v>0</x:v>
      </x:c>
      <x:c r="T1156" s="55" t="str"/>
      <x:c r="U1156" s="51" t="str"/>
    </x:row>
    <x:row r="1157">
      <x:c r="A1157" s="51" t="str">
        <x:v>Croatia</x:v>
      </x:c>
      <x:c r="B1157" s="51" t="str">
        <x:v>L</x:v>
      </x:c>
      <x:c r="C1157" s="51" t="n">
        <x:v>9</x:v>
      </x:c>
      <x:c r="D1157" s="71" t="str"/>
      <x:c r="E1157" s="51" t="str">
        <x:v>DM</x:v>
      </x:c>
      <x:c r="F1157" s="51" t="str">
        <x:v>Midfield</x:v>
      </x:c>
      <x:c r="G1157" s="51" t="str">
        <x:v>Starter</x:v>
      </x:c>
      <x:c r="H1157" s="55" t="n">
        <x:v>1</x:v>
      </x:c>
      <x:c r="I1157" s="51" t="str"/>
      <x:c r="J1157" s="72" t="str"/>
      <x:c r="K1157" s="72" t="str"/>
      <x:c r="L1157" s="72" t="str"/>
      <x:c r="M1157" s="72" t="str"/>
      <x:c r="N1157" s="72" t="str"/>
      <x:c r="O1157" s="72" t="str"/>
      <x:c r="P1157" s="72" t="str">
        <x:v>Available</x:v>
      </x:c>
      <x:c r="Q1157" s="72" t="n">
        <x:v>0</x:v>
      </x:c>
      <x:c r="R1157" s="55" t="str">
        <x:f>IF($D1157="","",ROUND(MAX(0,MIN(100,0.35*$J1157+0.2*$K1157+0.15*$L1157+0.15*$M1157+0.1*$N1157+0.05*$O1157-IF(OR($P1157="Out",$P1157="Suspended"),$Q1157,IF($P1157="Doubtful",$Q1157*0.5,IF($P1157="Limited",$Q1157*0.25,0))))),2))</x:f>
      </x:c>
      <x:c r="S1157" s="55" t="n">
        <x:f>IF($D1157="",0,ROUND(IF(OR($P1157="Out",$P1157="Suspended"),$Q1157*$H1157,IF($P1157="Doubtful",$Q1157*$H1157*0.5,IF($P1157="Limited",$Q1157*$H1157*0.25,0))),2))</x:f>
        <x:v>0</x:v>
      </x:c>
      <x:c r="T1157" s="55" t="str"/>
      <x:c r="U1157" s="51" t="str"/>
    </x:row>
    <x:row r="1158">
      <x:c r="A1158" s="51" t="str">
        <x:v>Croatia</x:v>
      </x:c>
      <x:c r="B1158" s="51" t="str">
        <x:v>L</x:v>
      </x:c>
      <x:c r="C1158" s="51" t="n">
        <x:v>10</x:v>
      </x:c>
      <x:c r="D1158" s="71" t="str"/>
      <x:c r="E1158" s="51" t="str">
        <x:v>DM</x:v>
      </x:c>
      <x:c r="F1158" s="51" t="str">
        <x:v>Midfield</x:v>
      </x:c>
      <x:c r="G1158" s="51" t="str">
        <x:v>Starter</x:v>
      </x:c>
      <x:c r="H1158" s="55" t="n">
        <x:v>1</x:v>
      </x:c>
      <x:c r="I1158" s="51" t="str"/>
      <x:c r="J1158" s="72" t="str"/>
      <x:c r="K1158" s="72" t="str"/>
      <x:c r="L1158" s="72" t="str"/>
      <x:c r="M1158" s="72" t="str"/>
      <x:c r="N1158" s="72" t="str"/>
      <x:c r="O1158" s="72" t="str"/>
      <x:c r="P1158" s="72" t="str">
        <x:v>Available</x:v>
      </x:c>
      <x:c r="Q1158" s="72" t="n">
        <x:v>0</x:v>
      </x:c>
      <x:c r="R1158" s="55" t="str">
        <x:f>IF($D1158="","",ROUND(MAX(0,MIN(100,0.35*$J1158+0.2*$K1158+0.15*$L1158+0.15*$M1158+0.1*$N1158+0.05*$O1158-IF(OR($P1158="Out",$P1158="Suspended"),$Q1158,IF($P1158="Doubtful",$Q1158*0.5,IF($P1158="Limited",$Q1158*0.25,0))))),2))</x:f>
      </x:c>
      <x:c r="S1158" s="55" t="n">
        <x:f>IF($D1158="",0,ROUND(IF(OR($P1158="Out",$P1158="Suspended"),$Q1158*$H1158,IF($P1158="Doubtful",$Q1158*$H1158*0.5,IF($P1158="Limited",$Q1158*$H1158*0.25,0))),2))</x:f>
        <x:v>0</x:v>
      </x:c>
      <x:c r="T1158" s="55" t="str"/>
      <x:c r="U1158" s="51" t="str"/>
    </x:row>
    <x:row r="1159">
      <x:c r="A1159" s="51" t="str">
        <x:v>Croatia</x:v>
      </x:c>
      <x:c r="B1159" s="51" t="str">
        <x:v>L</x:v>
      </x:c>
      <x:c r="C1159" s="51" t="n">
        <x:v>11</x:v>
      </x:c>
      <x:c r="D1159" s="71" t="str"/>
      <x:c r="E1159" s="51" t="str">
        <x:v>DM</x:v>
      </x:c>
      <x:c r="F1159" s="51" t="str">
        <x:v>Midfield</x:v>
      </x:c>
      <x:c r="G1159" s="51" t="str">
        <x:v>Starter</x:v>
      </x:c>
      <x:c r="H1159" s="55" t="n">
        <x:v>1</x:v>
      </x:c>
      <x:c r="I1159" s="51" t="str"/>
      <x:c r="J1159" s="72" t="str"/>
      <x:c r="K1159" s="72" t="str"/>
      <x:c r="L1159" s="72" t="str"/>
      <x:c r="M1159" s="72" t="str"/>
      <x:c r="N1159" s="72" t="str"/>
      <x:c r="O1159" s="72" t="str"/>
      <x:c r="P1159" s="72" t="str">
        <x:v>Available</x:v>
      </x:c>
      <x:c r="Q1159" s="72" t="n">
        <x:v>0</x:v>
      </x:c>
      <x:c r="R1159" s="55" t="str">
        <x:f>IF($D1159="","",ROUND(MAX(0,MIN(100,0.35*$J1159+0.2*$K1159+0.15*$L1159+0.15*$M1159+0.1*$N1159+0.05*$O1159-IF(OR($P1159="Out",$P1159="Suspended"),$Q1159,IF($P1159="Doubtful",$Q1159*0.5,IF($P1159="Limited",$Q1159*0.25,0))))),2))</x:f>
      </x:c>
      <x:c r="S1159" s="55" t="n">
        <x:f>IF($D1159="",0,ROUND(IF(OR($P1159="Out",$P1159="Suspended"),$Q1159*$H1159,IF($P1159="Doubtful",$Q1159*$H1159*0.5,IF($P1159="Limited",$Q1159*$H1159*0.25,0))),2))</x:f>
        <x:v>0</x:v>
      </x:c>
      <x:c r="T1159" s="55" t="str"/>
      <x:c r="U1159" s="51" t="str"/>
    </x:row>
    <x:row r="1160">
      <x:c r="A1160" s="51" t="str">
        <x:v>Croatia</x:v>
      </x:c>
      <x:c r="B1160" s="51" t="str">
        <x:v>L</x:v>
      </x:c>
      <x:c r="C1160" s="51" t="n">
        <x:v>12</x:v>
      </x:c>
      <x:c r="D1160" s="71" t="str"/>
      <x:c r="E1160" s="51" t="str">
        <x:v>CM</x:v>
      </x:c>
      <x:c r="F1160" s="51" t="str">
        <x:v>Midfield</x:v>
      </x:c>
      <x:c r="G1160" s="51" t="str">
        <x:v>Rotation</x:v>
      </x:c>
      <x:c r="H1160" s="55" t="n">
        <x:v>0.35</x:v>
      </x:c>
      <x:c r="I1160" s="51" t="str"/>
      <x:c r="J1160" s="72" t="str"/>
      <x:c r="K1160" s="72" t="str"/>
      <x:c r="L1160" s="72" t="str"/>
      <x:c r="M1160" s="72" t="str"/>
      <x:c r="N1160" s="72" t="str"/>
      <x:c r="O1160" s="72" t="str"/>
      <x:c r="P1160" s="72" t="str">
        <x:v>Available</x:v>
      </x:c>
      <x:c r="Q1160" s="72" t="n">
        <x:v>0</x:v>
      </x:c>
      <x:c r="R1160" s="55" t="str">
        <x:f>IF($D1160="","",ROUND(MAX(0,MIN(100,0.35*$J1160+0.2*$K1160+0.15*$L1160+0.15*$M1160+0.1*$N1160+0.05*$O1160-IF(OR($P1160="Out",$P1160="Suspended"),$Q1160,IF($P1160="Doubtful",$Q1160*0.5,IF($P1160="Limited",$Q1160*0.25,0))))),2))</x:f>
      </x:c>
      <x:c r="S1160" s="55" t="n">
        <x:f>IF($D1160="",0,ROUND(IF(OR($P1160="Out",$P1160="Suspended"),$Q1160*$H1160,IF($P1160="Doubtful",$Q1160*$H1160*0.5,IF($P1160="Limited",$Q1160*$H1160*0.25,0))),2))</x:f>
        <x:v>0</x:v>
      </x:c>
      <x:c r="T1160" s="55" t="str"/>
      <x:c r="U1160" s="51" t="str"/>
    </x:row>
    <x:row r="1161">
      <x:c r="A1161" s="51" t="str">
        <x:v>Croatia</x:v>
      </x:c>
      <x:c r="B1161" s="51" t="str">
        <x:v>L</x:v>
      </x:c>
      <x:c r="C1161" s="51" t="n">
        <x:v>13</x:v>
      </x:c>
      <x:c r="D1161" s="71" t="str"/>
      <x:c r="E1161" s="51" t="str">
        <x:v>CM</x:v>
      </x:c>
      <x:c r="F1161" s="51" t="str">
        <x:v>Midfield</x:v>
      </x:c>
      <x:c r="G1161" s="51" t="str">
        <x:v>Rotation</x:v>
      </x:c>
      <x:c r="H1161" s="55" t="n">
        <x:v>0.35</x:v>
      </x:c>
      <x:c r="I1161" s="51" t="str"/>
      <x:c r="J1161" s="72" t="str"/>
      <x:c r="K1161" s="72" t="str"/>
      <x:c r="L1161" s="72" t="str"/>
      <x:c r="M1161" s="72" t="str"/>
      <x:c r="N1161" s="72" t="str"/>
      <x:c r="O1161" s="72" t="str"/>
      <x:c r="P1161" s="72" t="str">
        <x:v>Available</x:v>
      </x:c>
      <x:c r="Q1161" s="72" t="n">
        <x:v>0</x:v>
      </x:c>
      <x:c r="R1161" s="55" t="str">
        <x:f>IF($D1161="","",ROUND(MAX(0,MIN(100,0.35*$J1161+0.2*$K1161+0.15*$L1161+0.15*$M1161+0.1*$N1161+0.05*$O1161-IF(OR($P1161="Out",$P1161="Suspended"),$Q1161,IF($P1161="Doubtful",$Q1161*0.5,IF($P1161="Limited",$Q1161*0.25,0))))),2))</x:f>
      </x:c>
      <x:c r="S1161" s="55" t="n">
        <x:f>IF($D1161="",0,ROUND(IF(OR($P1161="Out",$P1161="Suspended"),$Q1161*$H1161,IF($P1161="Doubtful",$Q1161*$H1161*0.5,IF($P1161="Limited",$Q1161*$H1161*0.25,0))),2))</x:f>
        <x:v>0</x:v>
      </x:c>
      <x:c r="T1161" s="55" t="str"/>
      <x:c r="U1161" s="51" t="str"/>
    </x:row>
    <x:row r="1162">
      <x:c r="A1162" s="51" t="str">
        <x:v>Croatia</x:v>
      </x:c>
      <x:c r="B1162" s="51" t="str">
        <x:v>L</x:v>
      </x:c>
      <x:c r="C1162" s="51" t="n">
        <x:v>14</x:v>
      </x:c>
      <x:c r="D1162" s="71" t="str"/>
      <x:c r="E1162" s="51" t="str">
        <x:v>CM</x:v>
      </x:c>
      <x:c r="F1162" s="51" t="str">
        <x:v>Midfield</x:v>
      </x:c>
      <x:c r="G1162" s="51" t="str">
        <x:v>Rotation</x:v>
      </x:c>
      <x:c r="H1162" s="55" t="n">
        <x:v>0.35</x:v>
      </x:c>
      <x:c r="I1162" s="51" t="str"/>
      <x:c r="J1162" s="72" t="str"/>
      <x:c r="K1162" s="72" t="str"/>
      <x:c r="L1162" s="72" t="str"/>
      <x:c r="M1162" s="72" t="str"/>
      <x:c r="N1162" s="72" t="str"/>
      <x:c r="O1162" s="72" t="str"/>
      <x:c r="P1162" s="72" t="str">
        <x:v>Available</x:v>
      </x:c>
      <x:c r="Q1162" s="72" t="n">
        <x:v>0</x:v>
      </x:c>
      <x:c r="R1162" s="55" t="str">
        <x:f>IF($D1162="","",ROUND(MAX(0,MIN(100,0.35*$J1162+0.2*$K1162+0.15*$L1162+0.15*$M1162+0.1*$N1162+0.05*$O1162-IF(OR($P1162="Out",$P1162="Suspended"),$Q1162,IF($P1162="Doubtful",$Q1162*0.5,IF($P1162="Limited",$Q1162*0.25,0))))),2))</x:f>
      </x:c>
      <x:c r="S1162" s="55" t="n">
        <x:f>IF($D1162="",0,ROUND(IF(OR($P1162="Out",$P1162="Suspended"),$Q1162*$H1162,IF($P1162="Doubtful",$Q1162*$H1162*0.5,IF($P1162="Limited",$Q1162*$H1162*0.25,0))),2))</x:f>
        <x:v>0</x:v>
      </x:c>
      <x:c r="T1162" s="55" t="str"/>
      <x:c r="U1162" s="51" t="str"/>
    </x:row>
    <x:row r="1163">
      <x:c r="A1163" s="51" t="str">
        <x:v>Croatia</x:v>
      </x:c>
      <x:c r="B1163" s="51" t="str">
        <x:v>L</x:v>
      </x:c>
      <x:c r="C1163" s="51" t="n">
        <x:v>15</x:v>
      </x:c>
      <x:c r="D1163" s="71" t="str"/>
      <x:c r="E1163" s="51" t="str">
        <x:v>CM</x:v>
      </x:c>
      <x:c r="F1163" s="51" t="str">
        <x:v>Midfield</x:v>
      </x:c>
      <x:c r="G1163" s="51" t="str">
        <x:v>Rotation</x:v>
      </x:c>
      <x:c r="H1163" s="55" t="n">
        <x:v>0.35</x:v>
      </x:c>
      <x:c r="I1163" s="51" t="str"/>
      <x:c r="J1163" s="72" t="str"/>
      <x:c r="K1163" s="72" t="str"/>
      <x:c r="L1163" s="72" t="str"/>
      <x:c r="M1163" s="72" t="str"/>
      <x:c r="N1163" s="72" t="str"/>
      <x:c r="O1163" s="72" t="str"/>
      <x:c r="P1163" s="72" t="str">
        <x:v>Available</x:v>
      </x:c>
      <x:c r="Q1163" s="72" t="n">
        <x:v>0</x:v>
      </x:c>
      <x:c r="R1163" s="55" t="str">
        <x:f>IF($D1163="","",ROUND(MAX(0,MIN(100,0.35*$J1163+0.2*$K1163+0.15*$L1163+0.15*$M1163+0.1*$N1163+0.05*$O1163-IF(OR($P1163="Out",$P1163="Suspended"),$Q1163,IF($P1163="Doubtful",$Q1163*0.5,IF($P1163="Limited",$Q1163*0.25,0))))),2))</x:f>
      </x:c>
      <x:c r="S1163" s="55" t="n">
        <x:f>IF($D1163="",0,ROUND(IF(OR($P1163="Out",$P1163="Suspended"),$Q1163*$H1163,IF($P1163="Doubtful",$Q1163*$H1163*0.5,IF($P1163="Limited",$Q1163*$H1163*0.25,0))),2))</x:f>
        <x:v>0</x:v>
      </x:c>
      <x:c r="T1163" s="55" t="str"/>
      <x:c r="U1163" s="51" t="str"/>
    </x:row>
    <x:row r="1164">
      <x:c r="A1164" s="51" t="str">
        <x:v>Croatia</x:v>
      </x:c>
      <x:c r="B1164" s="51" t="str">
        <x:v>L</x:v>
      </x:c>
      <x:c r="C1164" s="51" t="n">
        <x:v>16</x:v>
      </x:c>
      <x:c r="D1164" s="71" t="str"/>
      <x:c r="E1164" s="51" t="str">
        <x:v>AM</x:v>
      </x:c>
      <x:c r="F1164" s="51" t="str">
        <x:v>Attack</x:v>
      </x:c>
      <x:c r="G1164" s="51" t="str">
        <x:v>Rotation</x:v>
      </x:c>
      <x:c r="H1164" s="55" t="n">
        <x:v>0.35</x:v>
      </x:c>
      <x:c r="I1164" s="51" t="str"/>
      <x:c r="J1164" s="72" t="str"/>
      <x:c r="K1164" s="72" t="str"/>
      <x:c r="L1164" s="72" t="str"/>
      <x:c r="M1164" s="72" t="str"/>
      <x:c r="N1164" s="72" t="str"/>
      <x:c r="O1164" s="72" t="str"/>
      <x:c r="P1164" s="72" t="str">
        <x:v>Available</x:v>
      </x:c>
      <x:c r="Q1164" s="72" t="n">
        <x:v>0</x:v>
      </x:c>
      <x:c r="R1164" s="55" t="str">
        <x:f>IF($D1164="","",ROUND(MAX(0,MIN(100,0.35*$J1164+0.2*$K1164+0.15*$L1164+0.15*$M1164+0.1*$N1164+0.05*$O1164-IF(OR($P1164="Out",$P1164="Suspended"),$Q1164,IF($P1164="Doubtful",$Q1164*0.5,IF($P1164="Limited",$Q1164*0.25,0))))),2))</x:f>
      </x:c>
      <x:c r="S1164" s="55" t="n">
        <x:f>IF($D1164="",0,ROUND(IF(OR($P1164="Out",$P1164="Suspended"),$Q1164*$H1164,IF($P1164="Doubtful",$Q1164*$H1164*0.5,IF($P1164="Limited",$Q1164*$H1164*0.25,0))),2))</x:f>
        <x:v>0</x:v>
      </x:c>
      <x:c r="T1164" s="55" t="str"/>
      <x:c r="U1164" s="51" t="str"/>
    </x:row>
    <x:row r="1165">
      <x:c r="A1165" s="51" t="str">
        <x:v>Croatia</x:v>
      </x:c>
      <x:c r="B1165" s="51" t="str">
        <x:v>L</x:v>
      </x:c>
      <x:c r="C1165" s="51" t="n">
        <x:v>17</x:v>
      </x:c>
      <x:c r="D1165" s="71" t="str"/>
      <x:c r="E1165" s="51" t="str">
        <x:v>AM</x:v>
      </x:c>
      <x:c r="F1165" s="51" t="str">
        <x:v>Attack</x:v>
      </x:c>
      <x:c r="G1165" s="51" t="str">
        <x:v>Rotation</x:v>
      </x:c>
      <x:c r="H1165" s="55" t="n">
        <x:v>0.35</x:v>
      </x:c>
      <x:c r="I1165" s="51" t="str"/>
      <x:c r="J1165" s="72" t="str"/>
      <x:c r="K1165" s="72" t="str"/>
      <x:c r="L1165" s="72" t="str"/>
      <x:c r="M1165" s="72" t="str"/>
      <x:c r="N1165" s="72" t="str"/>
      <x:c r="O1165" s="72" t="str"/>
      <x:c r="P1165" s="72" t="str">
        <x:v>Available</x:v>
      </x:c>
      <x:c r="Q1165" s="72" t="n">
        <x:v>0</x:v>
      </x:c>
      <x:c r="R1165" s="55" t="str">
        <x:f>IF($D1165="","",ROUND(MAX(0,MIN(100,0.35*$J1165+0.2*$K1165+0.15*$L1165+0.15*$M1165+0.1*$N1165+0.05*$O1165-IF(OR($P1165="Out",$P1165="Suspended"),$Q1165,IF($P1165="Doubtful",$Q1165*0.5,IF($P1165="Limited",$Q1165*0.25,0))))),2))</x:f>
      </x:c>
      <x:c r="S1165" s="55" t="n">
        <x:f>IF($D1165="",0,ROUND(IF(OR($P1165="Out",$P1165="Suspended"),$Q1165*$H1165,IF($P1165="Doubtful",$Q1165*$H1165*0.5,IF($P1165="Limited",$Q1165*$H1165*0.25,0))),2))</x:f>
        <x:v>0</x:v>
      </x:c>
      <x:c r="T1165" s="55" t="str"/>
      <x:c r="U1165" s="51" t="str"/>
    </x:row>
    <x:row r="1166">
      <x:c r="A1166" s="51" t="str">
        <x:v>Croatia</x:v>
      </x:c>
      <x:c r="B1166" s="51" t="str">
        <x:v>L</x:v>
      </x:c>
      <x:c r="C1166" s="51" t="n">
        <x:v>18</x:v>
      </x:c>
      <x:c r="D1166" s="71" t="str"/>
      <x:c r="E1166" s="51" t="str">
        <x:v>AM</x:v>
      </x:c>
      <x:c r="F1166" s="51" t="str">
        <x:v>Attack</x:v>
      </x:c>
      <x:c r="G1166" s="51" t="str">
        <x:v>Rotation</x:v>
      </x:c>
      <x:c r="H1166" s="55" t="n">
        <x:v>0.35</x:v>
      </x:c>
      <x:c r="I1166" s="51" t="str"/>
      <x:c r="J1166" s="72" t="str"/>
      <x:c r="K1166" s="72" t="str"/>
      <x:c r="L1166" s="72" t="str"/>
      <x:c r="M1166" s="72" t="str"/>
      <x:c r="N1166" s="72" t="str"/>
      <x:c r="O1166" s="72" t="str"/>
      <x:c r="P1166" s="72" t="str">
        <x:v>Available</x:v>
      </x:c>
      <x:c r="Q1166" s="72" t="n">
        <x:v>0</x:v>
      </x:c>
      <x:c r="R1166" s="55" t="str">
        <x:f>IF($D1166="","",ROUND(MAX(0,MIN(100,0.35*$J1166+0.2*$K1166+0.15*$L1166+0.15*$M1166+0.1*$N1166+0.05*$O1166-IF(OR($P1166="Out",$P1166="Suspended"),$Q1166,IF($P1166="Doubtful",$Q1166*0.5,IF($P1166="Limited",$Q1166*0.25,0))))),2))</x:f>
      </x:c>
      <x:c r="S1166" s="55" t="n">
        <x:f>IF($D1166="",0,ROUND(IF(OR($P1166="Out",$P1166="Suspended"),$Q1166*$H1166,IF($P1166="Doubtful",$Q1166*$H1166*0.5,IF($P1166="Limited",$Q1166*$H1166*0.25,0))),2))</x:f>
        <x:v>0</x:v>
      </x:c>
      <x:c r="T1166" s="55" t="str"/>
      <x:c r="U1166" s="51" t="str"/>
    </x:row>
    <x:row r="1167">
      <x:c r="A1167" s="51" t="str">
        <x:v>Croatia</x:v>
      </x:c>
      <x:c r="B1167" s="51" t="str">
        <x:v>L</x:v>
      </x:c>
      <x:c r="C1167" s="51" t="n">
        <x:v>19</x:v>
      </x:c>
      <x:c r="D1167" s="71" t="str"/>
      <x:c r="E1167" s="51" t="str">
        <x:v>AM</x:v>
      </x:c>
      <x:c r="F1167" s="51" t="str">
        <x:v>Attack</x:v>
      </x:c>
      <x:c r="G1167" s="51" t="str">
        <x:v>Rotation</x:v>
      </x:c>
      <x:c r="H1167" s="55" t="n">
        <x:v>0.35</x:v>
      </x:c>
      <x:c r="I1167" s="51" t="str"/>
      <x:c r="J1167" s="72" t="str"/>
      <x:c r="K1167" s="72" t="str"/>
      <x:c r="L1167" s="72" t="str"/>
      <x:c r="M1167" s="72" t="str"/>
      <x:c r="N1167" s="72" t="str"/>
      <x:c r="O1167" s="72" t="str"/>
      <x:c r="P1167" s="72" t="str">
        <x:v>Available</x:v>
      </x:c>
      <x:c r="Q1167" s="72" t="n">
        <x:v>0</x:v>
      </x:c>
      <x:c r="R1167" s="55" t="str">
        <x:f>IF($D1167="","",ROUND(MAX(0,MIN(100,0.35*$J1167+0.2*$K1167+0.15*$L1167+0.15*$M1167+0.1*$N1167+0.05*$O1167-IF(OR($P1167="Out",$P1167="Suspended"),$Q1167,IF($P1167="Doubtful",$Q1167*0.5,IF($P1167="Limited",$Q1167*0.25,0))))),2))</x:f>
      </x:c>
      <x:c r="S1167" s="55" t="n">
        <x:f>IF($D1167="",0,ROUND(IF(OR($P1167="Out",$P1167="Suspended"),$Q1167*$H1167,IF($P1167="Doubtful",$Q1167*$H1167*0.5,IF($P1167="Limited",$Q1167*$H1167*0.25,0))),2))</x:f>
        <x:v>0</x:v>
      </x:c>
      <x:c r="T1167" s="55" t="str"/>
      <x:c r="U1167" s="51" t="str"/>
    </x:row>
    <x:row r="1168">
      <x:c r="A1168" s="51" t="str">
        <x:v>Croatia</x:v>
      </x:c>
      <x:c r="B1168" s="51" t="str">
        <x:v>L</x:v>
      </x:c>
      <x:c r="C1168" s="51" t="n">
        <x:v>20</x:v>
      </x:c>
      <x:c r="D1168" s="71" t="str"/>
      <x:c r="E1168" s="51" t="str">
        <x:v>Winger</x:v>
      </x:c>
      <x:c r="F1168" s="51" t="str">
        <x:v>Attack</x:v>
      </x:c>
      <x:c r="G1168" s="51" t="str">
        <x:v>Rotation</x:v>
      </x:c>
      <x:c r="H1168" s="55" t="n">
        <x:v>0.35</x:v>
      </x:c>
      <x:c r="I1168" s="51" t="str"/>
      <x:c r="J1168" s="72" t="str"/>
      <x:c r="K1168" s="72" t="str"/>
      <x:c r="L1168" s="72" t="str"/>
      <x:c r="M1168" s="72" t="str"/>
      <x:c r="N1168" s="72" t="str"/>
      <x:c r="O1168" s="72" t="str"/>
      <x:c r="P1168" s="72" t="str">
        <x:v>Available</x:v>
      </x:c>
      <x:c r="Q1168" s="72" t="n">
        <x:v>0</x:v>
      </x:c>
      <x:c r="R1168" s="55" t="str">
        <x:f>IF($D1168="","",ROUND(MAX(0,MIN(100,0.35*$J1168+0.2*$K1168+0.15*$L1168+0.15*$M1168+0.1*$N1168+0.05*$O1168-IF(OR($P1168="Out",$P1168="Suspended"),$Q1168,IF($P1168="Doubtful",$Q1168*0.5,IF($P1168="Limited",$Q1168*0.25,0))))),2))</x:f>
      </x:c>
      <x:c r="S1168" s="55" t="n">
        <x:f>IF($D1168="",0,ROUND(IF(OR($P1168="Out",$P1168="Suspended"),$Q1168*$H1168,IF($P1168="Doubtful",$Q1168*$H1168*0.5,IF($P1168="Limited",$Q1168*$H1168*0.25,0))),2))</x:f>
        <x:v>0</x:v>
      </x:c>
      <x:c r="T1168" s="55" t="str"/>
      <x:c r="U1168" s="51" t="str"/>
    </x:row>
    <x:row r="1169">
      <x:c r="A1169" s="51" t="str">
        <x:v>Croatia</x:v>
      </x:c>
      <x:c r="B1169" s="51" t="str">
        <x:v>L</x:v>
      </x:c>
      <x:c r="C1169" s="51" t="n">
        <x:v>21</x:v>
      </x:c>
      <x:c r="D1169" s="71" t="str"/>
      <x:c r="E1169" s="51" t="str">
        <x:v>Winger</x:v>
      </x:c>
      <x:c r="F1169" s="51" t="str">
        <x:v>Attack</x:v>
      </x:c>
      <x:c r="G1169" s="51" t="str">
        <x:v>Depth</x:v>
      </x:c>
      <x:c r="H1169" s="55" t="n">
        <x:v>0.1</x:v>
      </x:c>
      <x:c r="I1169" s="51" t="str"/>
      <x:c r="J1169" s="72" t="str"/>
      <x:c r="K1169" s="72" t="str"/>
      <x:c r="L1169" s="72" t="str"/>
      <x:c r="M1169" s="72" t="str"/>
      <x:c r="N1169" s="72" t="str"/>
      <x:c r="O1169" s="72" t="str"/>
      <x:c r="P1169" s="72" t="str">
        <x:v>Available</x:v>
      </x:c>
      <x:c r="Q1169" s="72" t="n">
        <x:v>0</x:v>
      </x:c>
      <x:c r="R1169" s="55" t="str">
        <x:f>IF($D1169="","",ROUND(MAX(0,MIN(100,0.35*$J1169+0.2*$K1169+0.15*$L1169+0.15*$M1169+0.1*$N1169+0.05*$O1169-IF(OR($P1169="Out",$P1169="Suspended"),$Q1169,IF($P1169="Doubtful",$Q1169*0.5,IF($P1169="Limited",$Q1169*0.25,0))))),2))</x:f>
      </x:c>
      <x:c r="S1169" s="55" t="n">
        <x:f>IF($D1169="",0,ROUND(IF(OR($P1169="Out",$P1169="Suspended"),$Q1169*$H1169,IF($P1169="Doubtful",$Q1169*$H1169*0.5,IF($P1169="Limited",$Q1169*$H1169*0.25,0))),2))</x:f>
        <x:v>0</x:v>
      </x:c>
      <x:c r="T1169" s="55" t="str"/>
      <x:c r="U1169" s="51" t="str"/>
    </x:row>
    <x:row r="1170">
      <x:c r="A1170" s="51" t="str">
        <x:v>Croatia</x:v>
      </x:c>
      <x:c r="B1170" s="51" t="str">
        <x:v>L</x:v>
      </x:c>
      <x:c r="C1170" s="51" t="n">
        <x:v>22</x:v>
      </x:c>
      <x:c r="D1170" s="71" t="str"/>
      <x:c r="E1170" s="51" t="str">
        <x:v>Winger</x:v>
      </x:c>
      <x:c r="F1170" s="51" t="str">
        <x:v>Attack</x:v>
      </x:c>
      <x:c r="G1170" s="51" t="str">
        <x:v>Depth</x:v>
      </x:c>
      <x:c r="H1170" s="55" t="n">
        <x:v>0.1</x:v>
      </x:c>
      <x:c r="I1170" s="51" t="str"/>
      <x:c r="J1170" s="72" t="str"/>
      <x:c r="K1170" s="72" t="str"/>
      <x:c r="L1170" s="72" t="str"/>
      <x:c r="M1170" s="72" t="str"/>
      <x:c r="N1170" s="72" t="str"/>
      <x:c r="O1170" s="72" t="str"/>
      <x:c r="P1170" s="72" t="str">
        <x:v>Available</x:v>
      </x:c>
      <x:c r="Q1170" s="72" t="n">
        <x:v>0</x:v>
      </x:c>
      <x:c r="R1170" s="55" t="str">
        <x:f>IF($D1170="","",ROUND(MAX(0,MIN(100,0.35*$J1170+0.2*$K1170+0.15*$L1170+0.15*$M1170+0.1*$N1170+0.05*$O1170-IF(OR($P1170="Out",$P1170="Suspended"),$Q1170,IF($P1170="Doubtful",$Q1170*0.5,IF($P1170="Limited",$Q1170*0.25,0))))),2))</x:f>
      </x:c>
      <x:c r="S1170" s="55" t="n">
        <x:f>IF($D1170="",0,ROUND(IF(OR($P1170="Out",$P1170="Suspended"),$Q1170*$H1170,IF($P1170="Doubtful",$Q1170*$H1170*0.5,IF($P1170="Limited",$Q1170*$H1170*0.25,0))),2))</x:f>
        <x:v>0</x:v>
      </x:c>
      <x:c r="T1170" s="55" t="str"/>
      <x:c r="U1170" s="51" t="str"/>
    </x:row>
    <x:row r="1171">
      <x:c r="A1171" s="51" t="str">
        <x:v>Croatia</x:v>
      </x:c>
      <x:c r="B1171" s="51" t="str">
        <x:v>L</x:v>
      </x:c>
      <x:c r="C1171" s="51" t="n">
        <x:v>23</x:v>
      </x:c>
      <x:c r="D1171" s="71" t="str"/>
      <x:c r="E1171" s="51" t="str">
        <x:v>Winger</x:v>
      </x:c>
      <x:c r="F1171" s="51" t="str">
        <x:v>Attack</x:v>
      </x:c>
      <x:c r="G1171" s="51" t="str">
        <x:v>Depth</x:v>
      </x:c>
      <x:c r="H1171" s="55" t="n">
        <x:v>0.1</x:v>
      </x:c>
      <x:c r="I1171" s="51" t="str"/>
      <x:c r="J1171" s="72" t="str"/>
      <x:c r="K1171" s="72" t="str"/>
      <x:c r="L1171" s="72" t="str"/>
      <x:c r="M1171" s="72" t="str"/>
      <x:c r="N1171" s="72" t="str"/>
      <x:c r="O1171" s="72" t="str"/>
      <x:c r="P1171" s="72" t="str">
        <x:v>Available</x:v>
      </x:c>
      <x:c r="Q1171" s="72" t="n">
        <x:v>0</x:v>
      </x:c>
      <x:c r="R1171" s="55" t="str">
        <x:f>IF($D1171="","",ROUND(MAX(0,MIN(100,0.35*$J1171+0.2*$K1171+0.15*$L1171+0.15*$M1171+0.1*$N1171+0.05*$O1171-IF(OR($P1171="Out",$P1171="Suspended"),$Q1171,IF($P1171="Doubtful",$Q1171*0.5,IF($P1171="Limited",$Q1171*0.25,0))))),2))</x:f>
      </x:c>
      <x:c r="S1171" s="55" t="n">
        <x:f>IF($D1171="",0,ROUND(IF(OR($P1171="Out",$P1171="Suspended"),$Q1171*$H1171,IF($P1171="Doubtful",$Q1171*$H1171*0.5,IF($P1171="Limited",$Q1171*$H1171*0.25,0))),2))</x:f>
        <x:v>0</x:v>
      </x:c>
      <x:c r="T1171" s="55" t="str"/>
      <x:c r="U1171" s="51" t="str"/>
    </x:row>
    <x:row r="1172">
      <x:c r="A1172" s="51" t="str">
        <x:v>Croatia</x:v>
      </x:c>
      <x:c r="B1172" s="51" t="str">
        <x:v>L</x:v>
      </x:c>
      <x:c r="C1172" s="51" t="n">
        <x:v>24</x:v>
      </x:c>
      <x:c r="D1172" s="71" t="str"/>
      <x:c r="E1172" s="51" t="str">
        <x:v>ST</x:v>
      </x:c>
      <x:c r="F1172" s="51" t="str">
        <x:v>Attack</x:v>
      </x:c>
      <x:c r="G1172" s="51" t="str">
        <x:v>Depth</x:v>
      </x:c>
      <x:c r="H1172" s="55" t="n">
        <x:v>0.1</x:v>
      </x:c>
      <x:c r="I1172" s="51" t="str"/>
      <x:c r="J1172" s="72" t="str"/>
      <x:c r="K1172" s="72" t="str"/>
      <x:c r="L1172" s="72" t="str"/>
      <x:c r="M1172" s="72" t="str"/>
      <x:c r="N1172" s="72" t="str"/>
      <x:c r="O1172" s="72" t="str"/>
      <x:c r="P1172" s="72" t="str">
        <x:v>Available</x:v>
      </x:c>
      <x:c r="Q1172" s="72" t="n">
        <x:v>0</x:v>
      </x:c>
      <x:c r="R1172" s="55" t="str">
        <x:f>IF($D1172="","",ROUND(MAX(0,MIN(100,0.35*$J1172+0.2*$K1172+0.15*$L1172+0.15*$M1172+0.1*$N1172+0.05*$O1172-IF(OR($P1172="Out",$P1172="Suspended"),$Q1172,IF($P1172="Doubtful",$Q1172*0.5,IF($P1172="Limited",$Q1172*0.25,0))))),2))</x:f>
      </x:c>
      <x:c r="S1172" s="55" t="n">
        <x:f>IF($D1172="",0,ROUND(IF(OR($P1172="Out",$P1172="Suspended"),$Q1172*$H1172,IF($P1172="Doubtful",$Q1172*$H1172*0.5,IF($P1172="Limited",$Q1172*$H1172*0.25,0))),2))</x:f>
        <x:v>0</x:v>
      </x:c>
      <x:c r="T1172" s="55" t="str"/>
      <x:c r="U1172" s="51" t="str"/>
    </x:row>
    <x:row r="1173">
      <x:c r="A1173" s="51" t="str">
        <x:v>Croatia</x:v>
      </x:c>
      <x:c r="B1173" s="51" t="str">
        <x:v>L</x:v>
      </x:c>
      <x:c r="C1173" s="51" t="n">
        <x:v>25</x:v>
      </x:c>
      <x:c r="D1173" s="71" t="str"/>
      <x:c r="E1173" s="51" t="str">
        <x:v>ST</x:v>
      </x:c>
      <x:c r="F1173" s="51" t="str">
        <x:v>Attack</x:v>
      </x:c>
      <x:c r="G1173" s="51" t="str">
        <x:v>Depth</x:v>
      </x:c>
      <x:c r="H1173" s="55" t="n">
        <x:v>0.1</x:v>
      </x:c>
      <x:c r="I1173" s="51" t="str"/>
      <x:c r="J1173" s="72" t="str"/>
      <x:c r="K1173" s="72" t="str"/>
      <x:c r="L1173" s="72" t="str"/>
      <x:c r="M1173" s="72" t="str"/>
      <x:c r="N1173" s="72" t="str"/>
      <x:c r="O1173" s="72" t="str"/>
      <x:c r="P1173" s="72" t="str">
        <x:v>Available</x:v>
      </x:c>
      <x:c r="Q1173" s="72" t="n">
        <x:v>0</x:v>
      </x:c>
      <x:c r="R1173" s="55" t="str">
        <x:f>IF($D1173="","",ROUND(MAX(0,MIN(100,0.35*$J1173+0.2*$K1173+0.15*$L1173+0.15*$M1173+0.1*$N1173+0.05*$O1173-IF(OR($P1173="Out",$P1173="Suspended"),$Q1173,IF($P1173="Doubtful",$Q1173*0.5,IF($P1173="Limited",$Q1173*0.25,0))))),2))</x:f>
      </x:c>
      <x:c r="S1173" s="55" t="n">
        <x:f>IF($D1173="",0,ROUND(IF(OR($P1173="Out",$P1173="Suspended"),$Q1173*$H1173,IF($P1173="Doubtful",$Q1173*$H1173*0.5,IF($P1173="Limited",$Q1173*$H1173*0.25,0))),2))</x:f>
        <x:v>0</x:v>
      </x:c>
      <x:c r="T1173" s="55" t="str"/>
      <x:c r="U1173" s="51" t="str"/>
    </x:row>
    <x:row r="1174">
      <x:c r="A1174" s="51" t="str">
        <x:v>Croatia</x:v>
      </x:c>
      <x:c r="B1174" s="51" t="str">
        <x:v>L</x:v>
      </x:c>
      <x:c r="C1174" s="51" t="n">
        <x:v>26</x:v>
      </x:c>
      <x:c r="D1174" s="71" t="str"/>
      <x:c r="E1174" s="51" t="str">
        <x:v>ST</x:v>
      </x:c>
      <x:c r="F1174" s="51" t="str">
        <x:v>Attack</x:v>
      </x:c>
      <x:c r="G1174" s="51" t="str">
        <x:v>Depth</x:v>
      </x:c>
      <x:c r="H1174" s="55" t="n">
        <x:v>0.1</x:v>
      </x:c>
      <x:c r="I1174" s="51" t="str"/>
      <x:c r="J1174" s="72" t="str"/>
      <x:c r="K1174" s="72" t="str"/>
      <x:c r="L1174" s="72" t="str"/>
      <x:c r="M1174" s="72" t="str"/>
      <x:c r="N1174" s="72" t="str"/>
      <x:c r="O1174" s="72" t="str"/>
      <x:c r="P1174" s="72" t="str">
        <x:v>Available</x:v>
      </x:c>
      <x:c r="Q1174" s="72" t="n">
        <x:v>0</x:v>
      </x:c>
      <x:c r="R1174" s="55" t="str">
        <x:f>IF($D1174="","",ROUND(MAX(0,MIN(100,0.35*$J1174+0.2*$K1174+0.15*$L1174+0.15*$M1174+0.1*$N1174+0.05*$O1174-IF(OR($P1174="Out",$P1174="Suspended"),$Q1174,IF($P1174="Doubtful",$Q1174*0.5,IF($P1174="Limited",$Q1174*0.25,0))))),2))</x:f>
      </x:c>
      <x:c r="S1174" s="55" t="n">
        <x:f>IF($D1174="",0,ROUND(IF(OR($P1174="Out",$P1174="Suspended"),$Q1174*$H1174,IF($P1174="Doubtful",$Q1174*$H1174*0.5,IF($P1174="Limited",$Q1174*$H1174*0.25,0))),2))</x:f>
        <x:v>0</x:v>
      </x:c>
      <x:c r="T1174" s="55" t="str"/>
      <x:c r="U1174" s="51" t="str"/>
    </x:row>
    <x:row r="1175">
      <x:c r="A1175" s="51" t="str">
        <x:v>England</x:v>
      </x:c>
      <x:c r="B1175" s="51" t="str">
        <x:v>L</x:v>
      </x:c>
      <x:c r="C1175" s="51" t="n">
        <x:v>1</x:v>
      </x:c>
      <x:c r="D1175" s="71" t="str"/>
      <x:c r="E1175" s="51" t="str">
        <x:v>GK</x:v>
      </x:c>
      <x:c r="F1175" s="51" t="str">
        <x:v>GK</x:v>
      </x:c>
      <x:c r="G1175" s="51" t="str">
        <x:v>Starter</x:v>
      </x:c>
      <x:c r="H1175" s="55" t="n">
        <x:v>1</x:v>
      </x:c>
      <x:c r="I1175" s="51" t="str"/>
      <x:c r="J1175" s="72" t="str"/>
      <x:c r="K1175" s="72" t="str"/>
      <x:c r="L1175" s="72" t="str"/>
      <x:c r="M1175" s="72" t="str"/>
      <x:c r="N1175" s="72" t="str"/>
      <x:c r="O1175" s="72" t="str"/>
      <x:c r="P1175" s="72" t="str">
        <x:v>Available</x:v>
      </x:c>
      <x:c r="Q1175" s="72" t="n">
        <x:v>0</x:v>
      </x:c>
      <x:c r="R1175" s="55" t="str">
        <x:f>IF($D1175="","",ROUND(MAX(0,MIN(100,0.35*$J1175+0.2*$K1175+0.15*$L1175+0.15*$M1175+0.1*$N1175+0.05*$O1175-IF(OR($P1175="Out",$P1175="Suspended"),$Q1175,IF($P1175="Doubtful",$Q1175*0.5,IF($P1175="Limited",$Q1175*0.25,0))))),2))</x:f>
      </x:c>
      <x:c r="S1175" s="55" t="n">
        <x:f>IF($D1175="",0,ROUND(IF(OR($P1175="Out",$P1175="Suspended"),$Q1175*$H1175,IF($P1175="Doubtful",$Q1175*$H1175*0.5,IF($P1175="Limited",$Q1175*$H1175*0.25,0))),2))</x:f>
        <x:v>0</x:v>
      </x:c>
      <x:c r="T1175" s="55" t="str"/>
      <x:c r="U1175" s="51" t="str"/>
    </x:row>
    <x:row r="1176">
      <x:c r="A1176" s="51" t="str">
        <x:v>England</x:v>
      </x:c>
      <x:c r="B1176" s="51" t="str">
        <x:v>L</x:v>
      </x:c>
      <x:c r="C1176" s="51" t="n">
        <x:v>2</x:v>
      </x:c>
      <x:c r="D1176" s="71" t="str"/>
      <x:c r="E1176" s="51" t="str">
        <x:v>GK</x:v>
      </x:c>
      <x:c r="F1176" s="51" t="str">
        <x:v>GK</x:v>
      </x:c>
      <x:c r="G1176" s="51" t="str">
        <x:v>Starter</x:v>
      </x:c>
      <x:c r="H1176" s="55" t="n">
        <x:v>1</x:v>
      </x:c>
      <x:c r="I1176" s="51" t="str"/>
      <x:c r="J1176" s="72" t="str"/>
      <x:c r="K1176" s="72" t="str"/>
      <x:c r="L1176" s="72" t="str"/>
      <x:c r="M1176" s="72" t="str"/>
      <x:c r="N1176" s="72" t="str"/>
      <x:c r="O1176" s="72" t="str"/>
      <x:c r="P1176" s="72" t="str">
        <x:v>Available</x:v>
      </x:c>
      <x:c r="Q1176" s="72" t="n">
        <x:v>0</x:v>
      </x:c>
      <x:c r="R1176" s="55" t="str">
        <x:f>IF($D1176="","",ROUND(MAX(0,MIN(100,0.35*$J1176+0.2*$K1176+0.15*$L1176+0.15*$M1176+0.1*$N1176+0.05*$O1176-IF(OR($P1176="Out",$P1176="Suspended"),$Q1176,IF($P1176="Doubtful",$Q1176*0.5,IF($P1176="Limited",$Q1176*0.25,0))))),2))</x:f>
      </x:c>
      <x:c r="S1176" s="55" t="n">
        <x:f>IF($D1176="",0,ROUND(IF(OR($P1176="Out",$P1176="Suspended"),$Q1176*$H1176,IF($P1176="Doubtful",$Q1176*$H1176*0.5,IF($P1176="Limited",$Q1176*$H1176*0.25,0))),2))</x:f>
        <x:v>0</x:v>
      </x:c>
      <x:c r="T1176" s="55" t="str"/>
      <x:c r="U1176" s="51" t="str"/>
    </x:row>
    <x:row r="1177">
      <x:c r="A1177" s="51" t="str">
        <x:v>England</x:v>
      </x:c>
      <x:c r="B1177" s="51" t="str">
        <x:v>L</x:v>
      </x:c>
      <x:c r="C1177" s="51" t="n">
        <x:v>3</x:v>
      </x:c>
      <x:c r="D1177" s="71" t="str"/>
      <x:c r="E1177" s="51" t="str">
        <x:v>GK</x:v>
      </x:c>
      <x:c r="F1177" s="51" t="str">
        <x:v>GK</x:v>
      </x:c>
      <x:c r="G1177" s="51" t="str">
        <x:v>Starter</x:v>
      </x:c>
      <x:c r="H1177" s="55" t="n">
        <x:v>1</x:v>
      </x:c>
      <x:c r="I1177" s="51" t="str"/>
      <x:c r="J1177" s="72" t="str"/>
      <x:c r="K1177" s="72" t="str"/>
      <x:c r="L1177" s="72" t="str"/>
      <x:c r="M1177" s="72" t="str"/>
      <x:c r="N1177" s="72" t="str"/>
      <x:c r="O1177" s="72" t="str"/>
      <x:c r="P1177" s="72" t="str">
        <x:v>Available</x:v>
      </x:c>
      <x:c r="Q1177" s="72" t="n">
        <x:v>0</x:v>
      </x:c>
      <x:c r="R1177" s="55" t="str">
        <x:f>IF($D1177="","",ROUND(MAX(0,MIN(100,0.35*$J1177+0.2*$K1177+0.15*$L1177+0.15*$M1177+0.1*$N1177+0.05*$O1177-IF(OR($P1177="Out",$P1177="Suspended"),$Q1177,IF($P1177="Doubtful",$Q1177*0.5,IF($P1177="Limited",$Q1177*0.25,0))))),2))</x:f>
      </x:c>
      <x:c r="S1177" s="55" t="n">
        <x:f>IF($D1177="",0,ROUND(IF(OR($P1177="Out",$P1177="Suspended"),$Q1177*$H1177,IF($P1177="Doubtful",$Q1177*$H1177*0.5,IF($P1177="Limited",$Q1177*$H1177*0.25,0))),2))</x:f>
        <x:v>0</x:v>
      </x:c>
      <x:c r="T1177" s="55" t="str"/>
      <x:c r="U1177" s="51" t="str"/>
    </x:row>
    <x:row r="1178">
      <x:c r="A1178" s="51" t="str">
        <x:v>England</x:v>
      </x:c>
      <x:c r="B1178" s="51" t="str">
        <x:v>L</x:v>
      </x:c>
      <x:c r="C1178" s="51" t="n">
        <x:v>4</x:v>
      </x:c>
      <x:c r="D1178" s="71" t="str"/>
      <x:c r="E1178" s="51" t="str">
        <x:v>CB</x:v>
      </x:c>
      <x:c r="F1178" s="51" t="str">
        <x:v>Defence</x:v>
      </x:c>
      <x:c r="G1178" s="51" t="str">
        <x:v>Starter</x:v>
      </x:c>
      <x:c r="H1178" s="55" t="n">
        <x:v>1</x:v>
      </x:c>
      <x:c r="I1178" s="51" t="str"/>
      <x:c r="J1178" s="72" t="str"/>
      <x:c r="K1178" s="72" t="str"/>
      <x:c r="L1178" s="72" t="str"/>
      <x:c r="M1178" s="72" t="str"/>
      <x:c r="N1178" s="72" t="str"/>
      <x:c r="O1178" s="72" t="str"/>
      <x:c r="P1178" s="72" t="str">
        <x:v>Available</x:v>
      </x:c>
      <x:c r="Q1178" s="72" t="n">
        <x:v>0</x:v>
      </x:c>
      <x:c r="R1178" s="55" t="str">
        <x:f>IF($D1178="","",ROUND(MAX(0,MIN(100,0.35*$J1178+0.2*$K1178+0.15*$L1178+0.15*$M1178+0.1*$N1178+0.05*$O1178-IF(OR($P1178="Out",$P1178="Suspended"),$Q1178,IF($P1178="Doubtful",$Q1178*0.5,IF($P1178="Limited",$Q1178*0.25,0))))),2))</x:f>
      </x:c>
      <x:c r="S1178" s="55" t="n">
        <x:f>IF($D1178="",0,ROUND(IF(OR($P1178="Out",$P1178="Suspended"),$Q1178*$H1178,IF($P1178="Doubtful",$Q1178*$H1178*0.5,IF($P1178="Limited",$Q1178*$H1178*0.25,0))),2))</x:f>
        <x:v>0</x:v>
      </x:c>
      <x:c r="T1178" s="55" t="str"/>
      <x:c r="U1178" s="51" t="str"/>
    </x:row>
    <x:row r="1179">
      <x:c r="A1179" s="51" t="str">
        <x:v>England</x:v>
      </x:c>
      <x:c r="B1179" s="51" t="str">
        <x:v>L</x:v>
      </x:c>
      <x:c r="C1179" s="51" t="n">
        <x:v>5</x:v>
      </x:c>
      <x:c r="D1179" s="71" t="str"/>
      <x:c r="E1179" s="51" t="str">
        <x:v>CB</x:v>
      </x:c>
      <x:c r="F1179" s="51" t="str">
        <x:v>Defence</x:v>
      </x:c>
      <x:c r="G1179" s="51" t="str">
        <x:v>Starter</x:v>
      </x:c>
      <x:c r="H1179" s="55" t="n">
        <x:v>1</x:v>
      </x:c>
      <x:c r="I1179" s="51" t="str"/>
      <x:c r="J1179" s="72" t="str"/>
      <x:c r="K1179" s="72" t="str"/>
      <x:c r="L1179" s="72" t="str"/>
      <x:c r="M1179" s="72" t="str"/>
      <x:c r="N1179" s="72" t="str"/>
      <x:c r="O1179" s="72" t="str"/>
      <x:c r="P1179" s="72" t="str">
        <x:v>Available</x:v>
      </x:c>
      <x:c r="Q1179" s="72" t="n">
        <x:v>0</x:v>
      </x:c>
      <x:c r="R1179" s="55" t="str">
        <x:f>IF($D1179="","",ROUND(MAX(0,MIN(100,0.35*$J1179+0.2*$K1179+0.15*$L1179+0.15*$M1179+0.1*$N1179+0.05*$O1179-IF(OR($P1179="Out",$P1179="Suspended"),$Q1179,IF($P1179="Doubtful",$Q1179*0.5,IF($P1179="Limited",$Q1179*0.25,0))))),2))</x:f>
      </x:c>
      <x:c r="S1179" s="55" t="n">
        <x:f>IF($D1179="",0,ROUND(IF(OR($P1179="Out",$P1179="Suspended"),$Q1179*$H1179,IF($P1179="Doubtful",$Q1179*$H1179*0.5,IF($P1179="Limited",$Q1179*$H1179*0.25,0))),2))</x:f>
        <x:v>0</x:v>
      </x:c>
      <x:c r="T1179" s="55" t="str"/>
      <x:c r="U1179" s="51" t="str"/>
    </x:row>
    <x:row r="1180">
      <x:c r="A1180" s="51" t="str">
        <x:v>England</x:v>
      </x:c>
      <x:c r="B1180" s="51" t="str">
        <x:v>L</x:v>
      </x:c>
      <x:c r="C1180" s="51" t="n">
        <x:v>6</x:v>
      </x:c>
      <x:c r="D1180" s="71" t="str"/>
      <x:c r="E1180" s="51" t="str">
        <x:v>CB</x:v>
      </x:c>
      <x:c r="F1180" s="51" t="str">
        <x:v>Defence</x:v>
      </x:c>
      <x:c r="G1180" s="51" t="str">
        <x:v>Starter</x:v>
      </x:c>
      <x:c r="H1180" s="55" t="n">
        <x:v>1</x:v>
      </x:c>
      <x:c r="I1180" s="51" t="str"/>
      <x:c r="J1180" s="72" t="str"/>
      <x:c r="K1180" s="72" t="str"/>
      <x:c r="L1180" s="72" t="str"/>
      <x:c r="M1180" s="72" t="str"/>
      <x:c r="N1180" s="72" t="str"/>
      <x:c r="O1180" s="72" t="str"/>
      <x:c r="P1180" s="72" t="str">
        <x:v>Available</x:v>
      </x:c>
      <x:c r="Q1180" s="72" t="n">
        <x:v>0</x:v>
      </x:c>
      <x:c r="R1180" s="55" t="str">
        <x:f>IF($D1180="","",ROUND(MAX(0,MIN(100,0.35*$J1180+0.2*$K1180+0.15*$L1180+0.15*$M1180+0.1*$N1180+0.05*$O1180-IF(OR($P1180="Out",$P1180="Suspended"),$Q1180,IF($P1180="Doubtful",$Q1180*0.5,IF($P1180="Limited",$Q1180*0.25,0))))),2))</x:f>
      </x:c>
      <x:c r="S1180" s="55" t="n">
        <x:f>IF($D1180="",0,ROUND(IF(OR($P1180="Out",$P1180="Suspended"),$Q1180*$H1180,IF($P1180="Doubtful",$Q1180*$H1180*0.5,IF($P1180="Limited",$Q1180*$H1180*0.25,0))),2))</x:f>
        <x:v>0</x:v>
      </x:c>
      <x:c r="T1180" s="55" t="str"/>
      <x:c r="U1180" s="51" t="str"/>
    </x:row>
    <x:row r="1181">
      <x:c r="A1181" s="51" t="str">
        <x:v>England</x:v>
      </x:c>
      <x:c r="B1181" s="51" t="str">
        <x:v>L</x:v>
      </x:c>
      <x:c r="C1181" s="51" t="n">
        <x:v>7</x:v>
      </x:c>
      <x:c r="D1181" s="71" t="str"/>
      <x:c r="E1181" s="51" t="str">
        <x:v>FB</x:v>
      </x:c>
      <x:c r="F1181" s="51" t="str">
        <x:v>Defence</x:v>
      </x:c>
      <x:c r="G1181" s="51" t="str">
        <x:v>Starter</x:v>
      </x:c>
      <x:c r="H1181" s="55" t="n">
        <x:v>1</x:v>
      </x:c>
      <x:c r="I1181" s="51" t="str"/>
      <x:c r="J1181" s="72" t="str"/>
      <x:c r="K1181" s="72" t="str"/>
      <x:c r="L1181" s="72" t="str"/>
      <x:c r="M1181" s="72" t="str"/>
      <x:c r="N1181" s="72" t="str"/>
      <x:c r="O1181" s="72" t="str"/>
      <x:c r="P1181" s="72" t="str">
        <x:v>Available</x:v>
      </x:c>
      <x:c r="Q1181" s="72" t="n">
        <x:v>0</x:v>
      </x:c>
      <x:c r="R1181" s="55" t="str">
        <x:f>IF($D1181="","",ROUND(MAX(0,MIN(100,0.35*$J1181+0.2*$K1181+0.15*$L1181+0.15*$M1181+0.1*$N1181+0.05*$O1181-IF(OR($P1181="Out",$P1181="Suspended"),$Q1181,IF($P1181="Doubtful",$Q1181*0.5,IF($P1181="Limited",$Q1181*0.25,0))))),2))</x:f>
      </x:c>
      <x:c r="S1181" s="55" t="n">
        <x:f>IF($D1181="",0,ROUND(IF(OR($P1181="Out",$P1181="Suspended"),$Q1181*$H1181,IF($P1181="Doubtful",$Q1181*$H1181*0.5,IF($P1181="Limited",$Q1181*$H1181*0.25,0))),2))</x:f>
        <x:v>0</x:v>
      </x:c>
      <x:c r="T1181" s="55" t="str"/>
      <x:c r="U1181" s="51" t="str"/>
    </x:row>
    <x:row r="1182">
      <x:c r="A1182" s="51" t="str">
        <x:v>England</x:v>
      </x:c>
      <x:c r="B1182" s="51" t="str">
        <x:v>L</x:v>
      </x:c>
      <x:c r="C1182" s="51" t="n">
        <x:v>8</x:v>
      </x:c>
      <x:c r="D1182" s="71" t="str"/>
      <x:c r="E1182" s="51" t="str">
        <x:v>FB</x:v>
      </x:c>
      <x:c r="F1182" s="51" t="str">
        <x:v>Defence</x:v>
      </x:c>
      <x:c r="G1182" s="51" t="str">
        <x:v>Starter</x:v>
      </x:c>
      <x:c r="H1182" s="55" t="n">
        <x:v>1</x:v>
      </x:c>
      <x:c r="I1182" s="51" t="str"/>
      <x:c r="J1182" s="72" t="str"/>
      <x:c r="K1182" s="72" t="str"/>
      <x:c r="L1182" s="72" t="str"/>
      <x:c r="M1182" s="72" t="str"/>
      <x:c r="N1182" s="72" t="str"/>
      <x:c r="O1182" s="72" t="str"/>
      <x:c r="P1182" s="72" t="str">
        <x:v>Available</x:v>
      </x:c>
      <x:c r="Q1182" s="72" t="n">
        <x:v>0</x:v>
      </x:c>
      <x:c r="R1182" s="55" t="str">
        <x:f>IF($D1182="","",ROUND(MAX(0,MIN(100,0.35*$J1182+0.2*$K1182+0.15*$L1182+0.15*$M1182+0.1*$N1182+0.05*$O1182-IF(OR($P1182="Out",$P1182="Suspended"),$Q1182,IF($P1182="Doubtful",$Q1182*0.5,IF($P1182="Limited",$Q1182*0.25,0))))),2))</x:f>
      </x:c>
      <x:c r="S1182" s="55" t="n">
        <x:f>IF($D1182="",0,ROUND(IF(OR($P1182="Out",$P1182="Suspended"),$Q1182*$H1182,IF($P1182="Doubtful",$Q1182*$H1182*0.5,IF($P1182="Limited",$Q1182*$H1182*0.25,0))),2))</x:f>
        <x:v>0</x:v>
      </x:c>
      <x:c r="T1182" s="55" t="str"/>
      <x:c r="U1182" s="51" t="str"/>
    </x:row>
    <x:row r="1183">
      <x:c r="A1183" s="51" t="str">
        <x:v>England</x:v>
      </x:c>
      <x:c r="B1183" s="51" t="str">
        <x:v>L</x:v>
      </x:c>
      <x:c r="C1183" s="51" t="n">
        <x:v>9</x:v>
      </x:c>
      <x:c r="D1183" s="71" t="str"/>
      <x:c r="E1183" s="51" t="str">
        <x:v>DM</x:v>
      </x:c>
      <x:c r="F1183" s="51" t="str">
        <x:v>Midfield</x:v>
      </x:c>
      <x:c r="G1183" s="51" t="str">
        <x:v>Starter</x:v>
      </x:c>
      <x:c r="H1183" s="55" t="n">
        <x:v>1</x:v>
      </x:c>
      <x:c r="I1183" s="51" t="str"/>
      <x:c r="J1183" s="72" t="str"/>
      <x:c r="K1183" s="72" t="str"/>
      <x:c r="L1183" s="72" t="str"/>
      <x:c r="M1183" s="72" t="str"/>
      <x:c r="N1183" s="72" t="str"/>
      <x:c r="O1183" s="72" t="str"/>
      <x:c r="P1183" s="72" t="str">
        <x:v>Available</x:v>
      </x:c>
      <x:c r="Q1183" s="72" t="n">
        <x:v>0</x:v>
      </x:c>
      <x:c r="R1183" s="55" t="str">
        <x:f>IF($D1183="","",ROUND(MAX(0,MIN(100,0.35*$J1183+0.2*$K1183+0.15*$L1183+0.15*$M1183+0.1*$N1183+0.05*$O1183-IF(OR($P1183="Out",$P1183="Suspended"),$Q1183,IF($P1183="Doubtful",$Q1183*0.5,IF($P1183="Limited",$Q1183*0.25,0))))),2))</x:f>
      </x:c>
      <x:c r="S1183" s="55" t="n">
        <x:f>IF($D1183="",0,ROUND(IF(OR($P1183="Out",$P1183="Suspended"),$Q1183*$H1183,IF($P1183="Doubtful",$Q1183*$H1183*0.5,IF($P1183="Limited",$Q1183*$H1183*0.25,0))),2))</x:f>
        <x:v>0</x:v>
      </x:c>
      <x:c r="T1183" s="55" t="str"/>
      <x:c r="U1183" s="51" t="str"/>
    </x:row>
    <x:row r="1184">
      <x:c r="A1184" s="51" t="str">
        <x:v>England</x:v>
      </x:c>
      <x:c r="B1184" s="51" t="str">
        <x:v>L</x:v>
      </x:c>
      <x:c r="C1184" s="51" t="n">
        <x:v>10</x:v>
      </x:c>
      <x:c r="D1184" s="71" t="str"/>
      <x:c r="E1184" s="51" t="str">
        <x:v>DM</x:v>
      </x:c>
      <x:c r="F1184" s="51" t="str">
        <x:v>Midfield</x:v>
      </x:c>
      <x:c r="G1184" s="51" t="str">
        <x:v>Starter</x:v>
      </x:c>
      <x:c r="H1184" s="55" t="n">
        <x:v>1</x:v>
      </x:c>
      <x:c r="I1184" s="51" t="str"/>
      <x:c r="J1184" s="72" t="str"/>
      <x:c r="K1184" s="72" t="str"/>
      <x:c r="L1184" s="72" t="str"/>
      <x:c r="M1184" s="72" t="str"/>
      <x:c r="N1184" s="72" t="str"/>
      <x:c r="O1184" s="72" t="str"/>
      <x:c r="P1184" s="72" t="str">
        <x:v>Available</x:v>
      </x:c>
      <x:c r="Q1184" s="72" t="n">
        <x:v>0</x:v>
      </x:c>
      <x:c r="R1184" s="55" t="str">
        <x:f>IF($D1184="","",ROUND(MAX(0,MIN(100,0.35*$J1184+0.2*$K1184+0.15*$L1184+0.15*$M1184+0.1*$N1184+0.05*$O1184-IF(OR($P1184="Out",$P1184="Suspended"),$Q1184,IF($P1184="Doubtful",$Q1184*0.5,IF($P1184="Limited",$Q1184*0.25,0))))),2))</x:f>
      </x:c>
      <x:c r="S1184" s="55" t="n">
        <x:f>IF($D1184="",0,ROUND(IF(OR($P1184="Out",$P1184="Suspended"),$Q1184*$H1184,IF($P1184="Doubtful",$Q1184*$H1184*0.5,IF($P1184="Limited",$Q1184*$H1184*0.25,0))),2))</x:f>
        <x:v>0</x:v>
      </x:c>
      <x:c r="T1184" s="55" t="str"/>
      <x:c r="U1184" s="51" t="str"/>
    </x:row>
    <x:row r="1185">
      <x:c r="A1185" s="51" t="str">
        <x:v>England</x:v>
      </x:c>
      <x:c r="B1185" s="51" t="str">
        <x:v>L</x:v>
      </x:c>
      <x:c r="C1185" s="51" t="n">
        <x:v>11</x:v>
      </x:c>
      <x:c r="D1185" s="71" t="str"/>
      <x:c r="E1185" s="51" t="str">
        <x:v>DM</x:v>
      </x:c>
      <x:c r="F1185" s="51" t="str">
        <x:v>Midfield</x:v>
      </x:c>
      <x:c r="G1185" s="51" t="str">
        <x:v>Starter</x:v>
      </x:c>
      <x:c r="H1185" s="55" t="n">
        <x:v>1</x:v>
      </x:c>
      <x:c r="I1185" s="51" t="str"/>
      <x:c r="J1185" s="72" t="str"/>
      <x:c r="K1185" s="72" t="str"/>
      <x:c r="L1185" s="72" t="str"/>
      <x:c r="M1185" s="72" t="str"/>
      <x:c r="N1185" s="72" t="str"/>
      <x:c r="O1185" s="72" t="str"/>
      <x:c r="P1185" s="72" t="str">
        <x:v>Available</x:v>
      </x:c>
      <x:c r="Q1185" s="72" t="n">
        <x:v>0</x:v>
      </x:c>
      <x:c r="R1185" s="55" t="str">
        <x:f>IF($D1185="","",ROUND(MAX(0,MIN(100,0.35*$J1185+0.2*$K1185+0.15*$L1185+0.15*$M1185+0.1*$N1185+0.05*$O1185-IF(OR($P1185="Out",$P1185="Suspended"),$Q1185,IF($P1185="Doubtful",$Q1185*0.5,IF($P1185="Limited",$Q1185*0.25,0))))),2))</x:f>
      </x:c>
      <x:c r="S1185" s="55" t="n">
        <x:f>IF($D1185="",0,ROUND(IF(OR($P1185="Out",$P1185="Suspended"),$Q1185*$H1185,IF($P1185="Doubtful",$Q1185*$H1185*0.5,IF($P1185="Limited",$Q1185*$H1185*0.25,0))),2))</x:f>
        <x:v>0</x:v>
      </x:c>
      <x:c r="T1185" s="55" t="str"/>
      <x:c r="U1185" s="51" t="str"/>
    </x:row>
    <x:row r="1186">
      <x:c r="A1186" s="51" t="str">
        <x:v>England</x:v>
      </x:c>
      <x:c r="B1186" s="51" t="str">
        <x:v>L</x:v>
      </x:c>
      <x:c r="C1186" s="51" t="n">
        <x:v>12</x:v>
      </x:c>
      <x:c r="D1186" s="71" t="str"/>
      <x:c r="E1186" s="51" t="str">
        <x:v>CM</x:v>
      </x:c>
      <x:c r="F1186" s="51" t="str">
        <x:v>Midfield</x:v>
      </x:c>
      <x:c r="G1186" s="51" t="str">
        <x:v>Rotation</x:v>
      </x:c>
      <x:c r="H1186" s="55" t="n">
        <x:v>0.35</x:v>
      </x:c>
      <x:c r="I1186" s="51" t="str"/>
      <x:c r="J1186" s="72" t="str"/>
      <x:c r="K1186" s="72" t="str"/>
      <x:c r="L1186" s="72" t="str"/>
      <x:c r="M1186" s="72" t="str"/>
      <x:c r="N1186" s="72" t="str"/>
      <x:c r="O1186" s="72" t="str"/>
      <x:c r="P1186" s="72" t="str">
        <x:v>Available</x:v>
      </x:c>
      <x:c r="Q1186" s="72" t="n">
        <x:v>0</x:v>
      </x:c>
      <x:c r="R1186" s="55" t="str">
        <x:f>IF($D1186="","",ROUND(MAX(0,MIN(100,0.35*$J1186+0.2*$K1186+0.15*$L1186+0.15*$M1186+0.1*$N1186+0.05*$O1186-IF(OR($P1186="Out",$P1186="Suspended"),$Q1186,IF($P1186="Doubtful",$Q1186*0.5,IF($P1186="Limited",$Q1186*0.25,0))))),2))</x:f>
      </x:c>
      <x:c r="S1186" s="55" t="n">
        <x:f>IF($D1186="",0,ROUND(IF(OR($P1186="Out",$P1186="Suspended"),$Q1186*$H1186,IF($P1186="Doubtful",$Q1186*$H1186*0.5,IF($P1186="Limited",$Q1186*$H1186*0.25,0))),2))</x:f>
        <x:v>0</x:v>
      </x:c>
      <x:c r="T1186" s="55" t="str"/>
      <x:c r="U1186" s="51" t="str"/>
    </x:row>
    <x:row r="1187">
      <x:c r="A1187" s="51" t="str">
        <x:v>England</x:v>
      </x:c>
      <x:c r="B1187" s="51" t="str">
        <x:v>L</x:v>
      </x:c>
      <x:c r="C1187" s="51" t="n">
        <x:v>13</x:v>
      </x:c>
      <x:c r="D1187" s="71" t="str"/>
      <x:c r="E1187" s="51" t="str">
        <x:v>CM</x:v>
      </x:c>
      <x:c r="F1187" s="51" t="str">
        <x:v>Midfield</x:v>
      </x:c>
      <x:c r="G1187" s="51" t="str">
        <x:v>Rotation</x:v>
      </x:c>
      <x:c r="H1187" s="55" t="n">
        <x:v>0.35</x:v>
      </x:c>
      <x:c r="I1187" s="51" t="str"/>
      <x:c r="J1187" s="72" t="str"/>
      <x:c r="K1187" s="72" t="str"/>
      <x:c r="L1187" s="72" t="str"/>
      <x:c r="M1187" s="72" t="str"/>
      <x:c r="N1187" s="72" t="str"/>
      <x:c r="O1187" s="72" t="str"/>
      <x:c r="P1187" s="72" t="str">
        <x:v>Available</x:v>
      </x:c>
      <x:c r="Q1187" s="72" t="n">
        <x:v>0</x:v>
      </x:c>
      <x:c r="R1187" s="55" t="str">
        <x:f>IF($D1187="","",ROUND(MAX(0,MIN(100,0.35*$J1187+0.2*$K1187+0.15*$L1187+0.15*$M1187+0.1*$N1187+0.05*$O1187-IF(OR($P1187="Out",$P1187="Suspended"),$Q1187,IF($P1187="Doubtful",$Q1187*0.5,IF($P1187="Limited",$Q1187*0.25,0))))),2))</x:f>
      </x:c>
      <x:c r="S1187" s="55" t="n">
        <x:f>IF($D1187="",0,ROUND(IF(OR($P1187="Out",$P1187="Suspended"),$Q1187*$H1187,IF($P1187="Doubtful",$Q1187*$H1187*0.5,IF($P1187="Limited",$Q1187*$H1187*0.25,0))),2))</x:f>
        <x:v>0</x:v>
      </x:c>
      <x:c r="T1187" s="55" t="str"/>
      <x:c r="U1187" s="51" t="str"/>
    </x:row>
    <x:row r="1188">
      <x:c r="A1188" s="51" t="str">
        <x:v>England</x:v>
      </x:c>
      <x:c r="B1188" s="51" t="str">
        <x:v>L</x:v>
      </x:c>
      <x:c r="C1188" s="51" t="n">
        <x:v>14</x:v>
      </x:c>
      <x:c r="D1188" s="71" t="str"/>
      <x:c r="E1188" s="51" t="str">
        <x:v>CM</x:v>
      </x:c>
      <x:c r="F1188" s="51" t="str">
        <x:v>Midfield</x:v>
      </x:c>
      <x:c r="G1188" s="51" t="str">
        <x:v>Rotation</x:v>
      </x:c>
      <x:c r="H1188" s="55" t="n">
        <x:v>0.35</x:v>
      </x:c>
      <x:c r="I1188" s="51" t="str"/>
      <x:c r="J1188" s="72" t="str"/>
      <x:c r="K1188" s="72" t="str"/>
      <x:c r="L1188" s="72" t="str"/>
      <x:c r="M1188" s="72" t="str"/>
      <x:c r="N1188" s="72" t="str"/>
      <x:c r="O1188" s="72" t="str"/>
      <x:c r="P1188" s="72" t="str">
        <x:v>Available</x:v>
      </x:c>
      <x:c r="Q1188" s="72" t="n">
        <x:v>0</x:v>
      </x:c>
      <x:c r="R1188" s="55" t="str">
        <x:f>IF($D1188="","",ROUND(MAX(0,MIN(100,0.35*$J1188+0.2*$K1188+0.15*$L1188+0.15*$M1188+0.1*$N1188+0.05*$O1188-IF(OR($P1188="Out",$P1188="Suspended"),$Q1188,IF($P1188="Doubtful",$Q1188*0.5,IF($P1188="Limited",$Q1188*0.25,0))))),2))</x:f>
      </x:c>
      <x:c r="S1188" s="55" t="n">
        <x:f>IF($D1188="",0,ROUND(IF(OR($P1188="Out",$P1188="Suspended"),$Q1188*$H1188,IF($P1188="Doubtful",$Q1188*$H1188*0.5,IF($P1188="Limited",$Q1188*$H1188*0.25,0))),2))</x:f>
        <x:v>0</x:v>
      </x:c>
      <x:c r="T1188" s="55" t="str"/>
      <x:c r="U1188" s="51" t="str"/>
    </x:row>
    <x:row r="1189">
      <x:c r="A1189" s="51" t="str">
        <x:v>England</x:v>
      </x:c>
      <x:c r="B1189" s="51" t="str">
        <x:v>L</x:v>
      </x:c>
      <x:c r="C1189" s="51" t="n">
        <x:v>15</x:v>
      </x:c>
      <x:c r="D1189" s="71" t="str"/>
      <x:c r="E1189" s="51" t="str">
        <x:v>CM</x:v>
      </x:c>
      <x:c r="F1189" s="51" t="str">
        <x:v>Midfield</x:v>
      </x:c>
      <x:c r="G1189" s="51" t="str">
        <x:v>Rotation</x:v>
      </x:c>
      <x:c r="H1189" s="55" t="n">
        <x:v>0.35</x:v>
      </x:c>
      <x:c r="I1189" s="51" t="str"/>
      <x:c r="J1189" s="72" t="str"/>
      <x:c r="K1189" s="72" t="str"/>
      <x:c r="L1189" s="72" t="str"/>
      <x:c r="M1189" s="72" t="str"/>
      <x:c r="N1189" s="72" t="str"/>
      <x:c r="O1189" s="72" t="str"/>
      <x:c r="P1189" s="72" t="str">
        <x:v>Available</x:v>
      </x:c>
      <x:c r="Q1189" s="72" t="n">
        <x:v>0</x:v>
      </x:c>
      <x:c r="R1189" s="55" t="str">
        <x:f>IF($D1189="","",ROUND(MAX(0,MIN(100,0.35*$J1189+0.2*$K1189+0.15*$L1189+0.15*$M1189+0.1*$N1189+0.05*$O1189-IF(OR($P1189="Out",$P1189="Suspended"),$Q1189,IF($P1189="Doubtful",$Q1189*0.5,IF($P1189="Limited",$Q1189*0.25,0))))),2))</x:f>
      </x:c>
      <x:c r="S1189" s="55" t="n">
        <x:f>IF($D1189="",0,ROUND(IF(OR($P1189="Out",$P1189="Suspended"),$Q1189*$H1189,IF($P1189="Doubtful",$Q1189*$H1189*0.5,IF($P1189="Limited",$Q1189*$H1189*0.25,0))),2))</x:f>
        <x:v>0</x:v>
      </x:c>
      <x:c r="T1189" s="55" t="str"/>
      <x:c r="U1189" s="51" t="str"/>
    </x:row>
    <x:row r="1190">
      <x:c r="A1190" s="51" t="str">
        <x:v>England</x:v>
      </x:c>
      <x:c r="B1190" s="51" t="str">
        <x:v>L</x:v>
      </x:c>
      <x:c r="C1190" s="51" t="n">
        <x:v>16</x:v>
      </x:c>
      <x:c r="D1190" s="71" t="str"/>
      <x:c r="E1190" s="51" t="str">
        <x:v>AM</x:v>
      </x:c>
      <x:c r="F1190" s="51" t="str">
        <x:v>Attack</x:v>
      </x:c>
      <x:c r="G1190" s="51" t="str">
        <x:v>Rotation</x:v>
      </x:c>
      <x:c r="H1190" s="55" t="n">
        <x:v>0.35</x:v>
      </x:c>
      <x:c r="I1190" s="51" t="str"/>
      <x:c r="J1190" s="72" t="str"/>
      <x:c r="K1190" s="72" t="str"/>
      <x:c r="L1190" s="72" t="str"/>
      <x:c r="M1190" s="72" t="str"/>
      <x:c r="N1190" s="72" t="str"/>
      <x:c r="O1190" s="72" t="str"/>
      <x:c r="P1190" s="72" t="str">
        <x:v>Available</x:v>
      </x:c>
      <x:c r="Q1190" s="72" t="n">
        <x:v>0</x:v>
      </x:c>
      <x:c r="R1190" s="55" t="str">
        <x:f>IF($D1190="","",ROUND(MAX(0,MIN(100,0.35*$J1190+0.2*$K1190+0.15*$L1190+0.15*$M1190+0.1*$N1190+0.05*$O1190-IF(OR($P1190="Out",$P1190="Suspended"),$Q1190,IF($P1190="Doubtful",$Q1190*0.5,IF($P1190="Limited",$Q1190*0.25,0))))),2))</x:f>
      </x:c>
      <x:c r="S1190" s="55" t="n">
        <x:f>IF($D1190="",0,ROUND(IF(OR($P1190="Out",$P1190="Suspended"),$Q1190*$H1190,IF($P1190="Doubtful",$Q1190*$H1190*0.5,IF($P1190="Limited",$Q1190*$H1190*0.25,0))),2))</x:f>
        <x:v>0</x:v>
      </x:c>
      <x:c r="T1190" s="55" t="str"/>
      <x:c r="U1190" s="51" t="str"/>
    </x:row>
    <x:row r="1191">
      <x:c r="A1191" s="51" t="str">
        <x:v>England</x:v>
      </x:c>
      <x:c r="B1191" s="51" t="str">
        <x:v>L</x:v>
      </x:c>
      <x:c r="C1191" s="51" t="n">
        <x:v>17</x:v>
      </x:c>
      <x:c r="D1191" s="71" t="str"/>
      <x:c r="E1191" s="51" t="str">
        <x:v>AM</x:v>
      </x:c>
      <x:c r="F1191" s="51" t="str">
        <x:v>Attack</x:v>
      </x:c>
      <x:c r="G1191" s="51" t="str">
        <x:v>Rotation</x:v>
      </x:c>
      <x:c r="H1191" s="55" t="n">
        <x:v>0.35</x:v>
      </x:c>
      <x:c r="I1191" s="51" t="str"/>
      <x:c r="J1191" s="72" t="str"/>
      <x:c r="K1191" s="72" t="str"/>
      <x:c r="L1191" s="72" t="str"/>
      <x:c r="M1191" s="72" t="str"/>
      <x:c r="N1191" s="72" t="str"/>
      <x:c r="O1191" s="72" t="str"/>
      <x:c r="P1191" s="72" t="str">
        <x:v>Available</x:v>
      </x:c>
      <x:c r="Q1191" s="72" t="n">
        <x:v>0</x:v>
      </x:c>
      <x:c r="R1191" s="55" t="str">
        <x:f>IF($D1191="","",ROUND(MAX(0,MIN(100,0.35*$J1191+0.2*$K1191+0.15*$L1191+0.15*$M1191+0.1*$N1191+0.05*$O1191-IF(OR($P1191="Out",$P1191="Suspended"),$Q1191,IF($P1191="Doubtful",$Q1191*0.5,IF($P1191="Limited",$Q1191*0.25,0))))),2))</x:f>
      </x:c>
      <x:c r="S1191" s="55" t="n">
        <x:f>IF($D1191="",0,ROUND(IF(OR($P1191="Out",$P1191="Suspended"),$Q1191*$H1191,IF($P1191="Doubtful",$Q1191*$H1191*0.5,IF($P1191="Limited",$Q1191*$H1191*0.25,0))),2))</x:f>
        <x:v>0</x:v>
      </x:c>
      <x:c r="T1191" s="55" t="str"/>
      <x:c r="U1191" s="51" t="str"/>
    </x:row>
    <x:row r="1192">
      <x:c r="A1192" s="51" t="str">
        <x:v>England</x:v>
      </x:c>
      <x:c r="B1192" s="51" t="str">
        <x:v>L</x:v>
      </x:c>
      <x:c r="C1192" s="51" t="n">
        <x:v>18</x:v>
      </x:c>
      <x:c r="D1192" s="71" t="str"/>
      <x:c r="E1192" s="51" t="str">
        <x:v>AM</x:v>
      </x:c>
      <x:c r="F1192" s="51" t="str">
        <x:v>Attack</x:v>
      </x:c>
      <x:c r="G1192" s="51" t="str">
        <x:v>Rotation</x:v>
      </x:c>
      <x:c r="H1192" s="55" t="n">
        <x:v>0.35</x:v>
      </x:c>
      <x:c r="I1192" s="51" t="str"/>
      <x:c r="J1192" s="72" t="str"/>
      <x:c r="K1192" s="72" t="str"/>
      <x:c r="L1192" s="72" t="str"/>
      <x:c r="M1192" s="72" t="str"/>
      <x:c r="N1192" s="72" t="str"/>
      <x:c r="O1192" s="72" t="str"/>
      <x:c r="P1192" s="72" t="str">
        <x:v>Available</x:v>
      </x:c>
      <x:c r="Q1192" s="72" t="n">
        <x:v>0</x:v>
      </x:c>
      <x:c r="R1192" s="55" t="str">
        <x:f>IF($D1192="","",ROUND(MAX(0,MIN(100,0.35*$J1192+0.2*$K1192+0.15*$L1192+0.15*$M1192+0.1*$N1192+0.05*$O1192-IF(OR($P1192="Out",$P1192="Suspended"),$Q1192,IF($P1192="Doubtful",$Q1192*0.5,IF($P1192="Limited",$Q1192*0.25,0))))),2))</x:f>
      </x:c>
      <x:c r="S1192" s="55" t="n">
        <x:f>IF($D1192="",0,ROUND(IF(OR($P1192="Out",$P1192="Suspended"),$Q1192*$H1192,IF($P1192="Doubtful",$Q1192*$H1192*0.5,IF($P1192="Limited",$Q1192*$H1192*0.25,0))),2))</x:f>
        <x:v>0</x:v>
      </x:c>
      <x:c r="T1192" s="55" t="str"/>
      <x:c r="U1192" s="51" t="str"/>
    </x:row>
    <x:row r="1193">
      <x:c r="A1193" s="51" t="str">
        <x:v>England</x:v>
      </x:c>
      <x:c r="B1193" s="51" t="str">
        <x:v>L</x:v>
      </x:c>
      <x:c r="C1193" s="51" t="n">
        <x:v>19</x:v>
      </x:c>
      <x:c r="D1193" s="71" t="str"/>
      <x:c r="E1193" s="51" t="str">
        <x:v>AM</x:v>
      </x:c>
      <x:c r="F1193" s="51" t="str">
        <x:v>Attack</x:v>
      </x:c>
      <x:c r="G1193" s="51" t="str">
        <x:v>Rotation</x:v>
      </x:c>
      <x:c r="H1193" s="55" t="n">
        <x:v>0.35</x:v>
      </x:c>
      <x:c r="I1193" s="51" t="str"/>
      <x:c r="J1193" s="72" t="str"/>
      <x:c r="K1193" s="72" t="str"/>
      <x:c r="L1193" s="72" t="str"/>
      <x:c r="M1193" s="72" t="str"/>
      <x:c r="N1193" s="72" t="str"/>
      <x:c r="O1193" s="72" t="str"/>
      <x:c r="P1193" s="72" t="str">
        <x:v>Available</x:v>
      </x:c>
      <x:c r="Q1193" s="72" t="n">
        <x:v>0</x:v>
      </x:c>
      <x:c r="R1193" s="55" t="str">
        <x:f>IF($D1193="","",ROUND(MAX(0,MIN(100,0.35*$J1193+0.2*$K1193+0.15*$L1193+0.15*$M1193+0.1*$N1193+0.05*$O1193-IF(OR($P1193="Out",$P1193="Suspended"),$Q1193,IF($P1193="Doubtful",$Q1193*0.5,IF($P1193="Limited",$Q1193*0.25,0))))),2))</x:f>
      </x:c>
      <x:c r="S1193" s="55" t="n">
        <x:f>IF($D1193="",0,ROUND(IF(OR($P1193="Out",$P1193="Suspended"),$Q1193*$H1193,IF($P1193="Doubtful",$Q1193*$H1193*0.5,IF($P1193="Limited",$Q1193*$H1193*0.25,0))),2))</x:f>
        <x:v>0</x:v>
      </x:c>
      <x:c r="T1193" s="55" t="str"/>
      <x:c r="U1193" s="51" t="str"/>
    </x:row>
    <x:row r="1194">
      <x:c r="A1194" s="51" t="str">
        <x:v>England</x:v>
      </x:c>
      <x:c r="B1194" s="51" t="str">
        <x:v>L</x:v>
      </x:c>
      <x:c r="C1194" s="51" t="n">
        <x:v>20</x:v>
      </x:c>
      <x:c r="D1194" s="71" t="str"/>
      <x:c r="E1194" s="51" t="str">
        <x:v>Winger</x:v>
      </x:c>
      <x:c r="F1194" s="51" t="str">
        <x:v>Attack</x:v>
      </x:c>
      <x:c r="G1194" s="51" t="str">
        <x:v>Rotation</x:v>
      </x:c>
      <x:c r="H1194" s="55" t="n">
        <x:v>0.35</x:v>
      </x:c>
      <x:c r="I1194" s="51" t="str"/>
      <x:c r="J1194" s="72" t="str"/>
      <x:c r="K1194" s="72" t="str"/>
      <x:c r="L1194" s="72" t="str"/>
      <x:c r="M1194" s="72" t="str"/>
      <x:c r="N1194" s="72" t="str"/>
      <x:c r="O1194" s="72" t="str"/>
      <x:c r="P1194" s="72" t="str">
        <x:v>Available</x:v>
      </x:c>
      <x:c r="Q1194" s="72" t="n">
        <x:v>0</x:v>
      </x:c>
      <x:c r="R1194" s="55" t="str">
        <x:f>IF($D1194="","",ROUND(MAX(0,MIN(100,0.35*$J1194+0.2*$K1194+0.15*$L1194+0.15*$M1194+0.1*$N1194+0.05*$O1194-IF(OR($P1194="Out",$P1194="Suspended"),$Q1194,IF($P1194="Doubtful",$Q1194*0.5,IF($P1194="Limited",$Q1194*0.25,0))))),2))</x:f>
      </x:c>
      <x:c r="S1194" s="55" t="n">
        <x:f>IF($D1194="",0,ROUND(IF(OR($P1194="Out",$P1194="Suspended"),$Q1194*$H1194,IF($P1194="Doubtful",$Q1194*$H1194*0.5,IF($P1194="Limited",$Q1194*$H1194*0.25,0))),2))</x:f>
        <x:v>0</x:v>
      </x:c>
      <x:c r="T1194" s="55" t="str"/>
      <x:c r="U1194" s="51" t="str"/>
    </x:row>
    <x:row r="1195">
      <x:c r="A1195" s="51" t="str">
        <x:v>England</x:v>
      </x:c>
      <x:c r="B1195" s="51" t="str">
        <x:v>L</x:v>
      </x:c>
      <x:c r="C1195" s="51" t="n">
        <x:v>21</x:v>
      </x:c>
      <x:c r="D1195" s="71" t="str"/>
      <x:c r="E1195" s="51" t="str">
        <x:v>Winger</x:v>
      </x:c>
      <x:c r="F1195" s="51" t="str">
        <x:v>Attack</x:v>
      </x:c>
      <x:c r="G1195" s="51" t="str">
        <x:v>Depth</x:v>
      </x:c>
      <x:c r="H1195" s="55" t="n">
        <x:v>0.1</x:v>
      </x:c>
      <x:c r="I1195" s="51" t="str"/>
      <x:c r="J1195" s="72" t="str"/>
      <x:c r="K1195" s="72" t="str"/>
      <x:c r="L1195" s="72" t="str"/>
      <x:c r="M1195" s="72" t="str"/>
      <x:c r="N1195" s="72" t="str"/>
      <x:c r="O1195" s="72" t="str"/>
      <x:c r="P1195" s="72" t="str">
        <x:v>Available</x:v>
      </x:c>
      <x:c r="Q1195" s="72" t="n">
        <x:v>0</x:v>
      </x:c>
      <x:c r="R1195" s="55" t="str">
        <x:f>IF($D1195="","",ROUND(MAX(0,MIN(100,0.35*$J1195+0.2*$K1195+0.15*$L1195+0.15*$M1195+0.1*$N1195+0.05*$O1195-IF(OR($P1195="Out",$P1195="Suspended"),$Q1195,IF($P1195="Doubtful",$Q1195*0.5,IF($P1195="Limited",$Q1195*0.25,0))))),2))</x:f>
      </x:c>
      <x:c r="S1195" s="55" t="n">
        <x:f>IF($D1195="",0,ROUND(IF(OR($P1195="Out",$P1195="Suspended"),$Q1195*$H1195,IF($P1195="Doubtful",$Q1195*$H1195*0.5,IF($P1195="Limited",$Q1195*$H1195*0.25,0))),2))</x:f>
        <x:v>0</x:v>
      </x:c>
      <x:c r="T1195" s="55" t="str"/>
      <x:c r="U1195" s="51" t="str"/>
    </x:row>
    <x:row r="1196">
      <x:c r="A1196" s="51" t="str">
        <x:v>England</x:v>
      </x:c>
      <x:c r="B1196" s="51" t="str">
        <x:v>L</x:v>
      </x:c>
      <x:c r="C1196" s="51" t="n">
        <x:v>22</x:v>
      </x:c>
      <x:c r="D1196" s="71" t="str"/>
      <x:c r="E1196" s="51" t="str">
        <x:v>Winger</x:v>
      </x:c>
      <x:c r="F1196" s="51" t="str">
        <x:v>Attack</x:v>
      </x:c>
      <x:c r="G1196" s="51" t="str">
        <x:v>Depth</x:v>
      </x:c>
      <x:c r="H1196" s="55" t="n">
        <x:v>0.1</x:v>
      </x:c>
      <x:c r="I1196" s="51" t="str"/>
      <x:c r="J1196" s="72" t="str"/>
      <x:c r="K1196" s="72" t="str"/>
      <x:c r="L1196" s="72" t="str"/>
      <x:c r="M1196" s="72" t="str"/>
      <x:c r="N1196" s="72" t="str"/>
      <x:c r="O1196" s="72" t="str"/>
      <x:c r="P1196" s="72" t="str">
        <x:v>Available</x:v>
      </x:c>
      <x:c r="Q1196" s="72" t="n">
        <x:v>0</x:v>
      </x:c>
      <x:c r="R1196" s="55" t="str">
        <x:f>IF($D1196="","",ROUND(MAX(0,MIN(100,0.35*$J1196+0.2*$K1196+0.15*$L1196+0.15*$M1196+0.1*$N1196+0.05*$O1196-IF(OR($P1196="Out",$P1196="Suspended"),$Q1196,IF($P1196="Doubtful",$Q1196*0.5,IF($P1196="Limited",$Q1196*0.25,0))))),2))</x:f>
      </x:c>
      <x:c r="S1196" s="55" t="n">
        <x:f>IF($D1196="",0,ROUND(IF(OR($P1196="Out",$P1196="Suspended"),$Q1196*$H1196,IF($P1196="Doubtful",$Q1196*$H1196*0.5,IF($P1196="Limited",$Q1196*$H1196*0.25,0))),2))</x:f>
        <x:v>0</x:v>
      </x:c>
      <x:c r="T1196" s="55" t="str"/>
      <x:c r="U1196" s="51" t="str"/>
    </x:row>
    <x:row r="1197">
      <x:c r="A1197" s="51" t="str">
        <x:v>England</x:v>
      </x:c>
      <x:c r="B1197" s="51" t="str">
        <x:v>L</x:v>
      </x:c>
      <x:c r="C1197" s="51" t="n">
        <x:v>23</x:v>
      </x:c>
      <x:c r="D1197" s="71" t="str"/>
      <x:c r="E1197" s="51" t="str">
        <x:v>Winger</x:v>
      </x:c>
      <x:c r="F1197" s="51" t="str">
        <x:v>Attack</x:v>
      </x:c>
      <x:c r="G1197" s="51" t="str">
        <x:v>Depth</x:v>
      </x:c>
      <x:c r="H1197" s="55" t="n">
        <x:v>0.1</x:v>
      </x:c>
      <x:c r="I1197" s="51" t="str"/>
      <x:c r="J1197" s="72" t="str"/>
      <x:c r="K1197" s="72" t="str"/>
      <x:c r="L1197" s="72" t="str"/>
      <x:c r="M1197" s="72" t="str"/>
      <x:c r="N1197" s="72" t="str"/>
      <x:c r="O1197" s="72" t="str"/>
      <x:c r="P1197" s="72" t="str">
        <x:v>Available</x:v>
      </x:c>
      <x:c r="Q1197" s="72" t="n">
        <x:v>0</x:v>
      </x:c>
      <x:c r="R1197" s="55" t="str">
        <x:f>IF($D1197="","",ROUND(MAX(0,MIN(100,0.35*$J1197+0.2*$K1197+0.15*$L1197+0.15*$M1197+0.1*$N1197+0.05*$O1197-IF(OR($P1197="Out",$P1197="Suspended"),$Q1197,IF($P1197="Doubtful",$Q1197*0.5,IF($P1197="Limited",$Q1197*0.25,0))))),2))</x:f>
      </x:c>
      <x:c r="S1197" s="55" t="n">
        <x:f>IF($D1197="",0,ROUND(IF(OR($P1197="Out",$P1197="Suspended"),$Q1197*$H1197,IF($P1197="Doubtful",$Q1197*$H1197*0.5,IF($P1197="Limited",$Q1197*$H1197*0.25,0))),2))</x:f>
        <x:v>0</x:v>
      </x:c>
      <x:c r="T1197" s="55" t="str"/>
      <x:c r="U1197" s="51" t="str"/>
    </x:row>
    <x:row r="1198">
      <x:c r="A1198" s="51" t="str">
        <x:v>England</x:v>
      </x:c>
      <x:c r="B1198" s="51" t="str">
        <x:v>L</x:v>
      </x:c>
      <x:c r="C1198" s="51" t="n">
        <x:v>24</x:v>
      </x:c>
      <x:c r="D1198" s="71" t="str"/>
      <x:c r="E1198" s="51" t="str">
        <x:v>ST</x:v>
      </x:c>
      <x:c r="F1198" s="51" t="str">
        <x:v>Attack</x:v>
      </x:c>
      <x:c r="G1198" s="51" t="str">
        <x:v>Depth</x:v>
      </x:c>
      <x:c r="H1198" s="55" t="n">
        <x:v>0.1</x:v>
      </x:c>
      <x:c r="I1198" s="51" t="str"/>
      <x:c r="J1198" s="72" t="str"/>
      <x:c r="K1198" s="72" t="str"/>
      <x:c r="L1198" s="72" t="str"/>
      <x:c r="M1198" s="72" t="str"/>
      <x:c r="N1198" s="72" t="str"/>
      <x:c r="O1198" s="72" t="str"/>
      <x:c r="P1198" s="72" t="str">
        <x:v>Available</x:v>
      </x:c>
      <x:c r="Q1198" s="72" t="n">
        <x:v>0</x:v>
      </x:c>
      <x:c r="R1198" s="55" t="str">
        <x:f>IF($D1198="","",ROUND(MAX(0,MIN(100,0.35*$J1198+0.2*$K1198+0.15*$L1198+0.15*$M1198+0.1*$N1198+0.05*$O1198-IF(OR($P1198="Out",$P1198="Suspended"),$Q1198,IF($P1198="Doubtful",$Q1198*0.5,IF($P1198="Limited",$Q1198*0.25,0))))),2))</x:f>
      </x:c>
      <x:c r="S1198" s="55" t="n">
        <x:f>IF($D1198="",0,ROUND(IF(OR($P1198="Out",$P1198="Suspended"),$Q1198*$H1198,IF($P1198="Doubtful",$Q1198*$H1198*0.5,IF($P1198="Limited",$Q1198*$H1198*0.25,0))),2))</x:f>
        <x:v>0</x:v>
      </x:c>
      <x:c r="T1198" s="55" t="str"/>
      <x:c r="U1198" s="51" t="str"/>
    </x:row>
    <x:row r="1199">
      <x:c r="A1199" s="51" t="str">
        <x:v>England</x:v>
      </x:c>
      <x:c r="B1199" s="51" t="str">
        <x:v>L</x:v>
      </x:c>
      <x:c r="C1199" s="51" t="n">
        <x:v>25</x:v>
      </x:c>
      <x:c r="D1199" s="71" t="str"/>
      <x:c r="E1199" s="51" t="str">
        <x:v>ST</x:v>
      </x:c>
      <x:c r="F1199" s="51" t="str">
        <x:v>Attack</x:v>
      </x:c>
      <x:c r="G1199" s="51" t="str">
        <x:v>Depth</x:v>
      </x:c>
      <x:c r="H1199" s="55" t="n">
        <x:v>0.1</x:v>
      </x:c>
      <x:c r="I1199" s="51" t="str"/>
      <x:c r="J1199" s="72" t="str"/>
      <x:c r="K1199" s="72" t="str"/>
      <x:c r="L1199" s="72" t="str"/>
      <x:c r="M1199" s="72" t="str"/>
      <x:c r="N1199" s="72" t="str"/>
      <x:c r="O1199" s="72" t="str"/>
      <x:c r="P1199" s="72" t="str">
        <x:v>Available</x:v>
      </x:c>
      <x:c r="Q1199" s="72" t="n">
        <x:v>0</x:v>
      </x:c>
      <x:c r="R1199" s="55" t="str">
        <x:f>IF($D1199="","",ROUND(MAX(0,MIN(100,0.35*$J1199+0.2*$K1199+0.15*$L1199+0.15*$M1199+0.1*$N1199+0.05*$O1199-IF(OR($P1199="Out",$P1199="Suspended"),$Q1199,IF($P1199="Doubtful",$Q1199*0.5,IF($P1199="Limited",$Q1199*0.25,0))))),2))</x:f>
      </x:c>
      <x:c r="S1199" s="55" t="n">
        <x:f>IF($D1199="",0,ROUND(IF(OR($P1199="Out",$P1199="Suspended"),$Q1199*$H1199,IF($P1199="Doubtful",$Q1199*$H1199*0.5,IF($P1199="Limited",$Q1199*$H1199*0.25,0))),2))</x:f>
        <x:v>0</x:v>
      </x:c>
      <x:c r="T1199" s="55" t="str"/>
      <x:c r="U1199" s="51" t="str"/>
    </x:row>
    <x:row r="1200">
      <x:c r="A1200" s="51" t="str">
        <x:v>England</x:v>
      </x:c>
      <x:c r="B1200" s="51" t="str">
        <x:v>L</x:v>
      </x:c>
      <x:c r="C1200" s="51" t="n">
        <x:v>26</x:v>
      </x:c>
      <x:c r="D1200" s="71" t="str"/>
      <x:c r="E1200" s="51" t="str">
        <x:v>ST</x:v>
      </x:c>
      <x:c r="F1200" s="51" t="str">
        <x:v>Attack</x:v>
      </x:c>
      <x:c r="G1200" s="51" t="str">
        <x:v>Depth</x:v>
      </x:c>
      <x:c r="H1200" s="55" t="n">
        <x:v>0.1</x:v>
      </x:c>
      <x:c r="I1200" s="51" t="str"/>
      <x:c r="J1200" s="72" t="str"/>
      <x:c r="K1200" s="72" t="str"/>
      <x:c r="L1200" s="72" t="str"/>
      <x:c r="M1200" s="72" t="str"/>
      <x:c r="N1200" s="72" t="str"/>
      <x:c r="O1200" s="72" t="str"/>
      <x:c r="P1200" s="72" t="str">
        <x:v>Available</x:v>
      </x:c>
      <x:c r="Q1200" s="72" t="n">
        <x:v>0</x:v>
      </x:c>
      <x:c r="R1200" s="55" t="str">
        <x:f>IF($D1200="","",ROUND(MAX(0,MIN(100,0.35*$J1200+0.2*$K1200+0.15*$L1200+0.15*$M1200+0.1*$N1200+0.05*$O1200-IF(OR($P1200="Out",$P1200="Suspended"),$Q1200,IF($P1200="Doubtful",$Q1200*0.5,IF($P1200="Limited",$Q1200*0.25,0))))),2))</x:f>
      </x:c>
      <x:c r="S1200" s="55" t="n">
        <x:f>IF($D1200="",0,ROUND(IF(OR($P1200="Out",$P1200="Suspended"),$Q1200*$H1200,IF($P1200="Doubtful",$Q1200*$H1200*0.5,IF($P1200="Limited",$Q1200*$H1200*0.25,0))),2))</x:f>
        <x:v>0</x:v>
      </x:c>
      <x:c r="T1200" s="55" t="str"/>
      <x:c r="U1200" s="51" t="str"/>
    </x:row>
    <x:row r="1201">
      <x:c r="A1201" s="51" t="str">
        <x:v>Ghana</x:v>
      </x:c>
      <x:c r="B1201" s="51" t="str">
        <x:v>L</x:v>
      </x:c>
      <x:c r="C1201" s="51" t="n">
        <x:v>1</x:v>
      </x:c>
      <x:c r="D1201" s="71" t="str"/>
      <x:c r="E1201" s="51" t="str">
        <x:v>GK</x:v>
      </x:c>
      <x:c r="F1201" s="51" t="str">
        <x:v>GK</x:v>
      </x:c>
      <x:c r="G1201" s="51" t="str">
        <x:v>Starter</x:v>
      </x:c>
      <x:c r="H1201" s="55" t="n">
        <x:v>1</x:v>
      </x:c>
      <x:c r="I1201" s="51" t="str"/>
      <x:c r="J1201" s="72" t="str"/>
      <x:c r="K1201" s="72" t="str"/>
      <x:c r="L1201" s="72" t="str"/>
      <x:c r="M1201" s="72" t="str"/>
      <x:c r="N1201" s="72" t="str"/>
      <x:c r="O1201" s="72" t="str"/>
      <x:c r="P1201" s="72" t="str">
        <x:v>Available</x:v>
      </x:c>
      <x:c r="Q1201" s="72" t="n">
        <x:v>0</x:v>
      </x:c>
      <x:c r="R1201" s="55" t="str">
        <x:f>IF($D1201="","",ROUND(MAX(0,MIN(100,0.35*$J1201+0.2*$K1201+0.15*$L1201+0.15*$M1201+0.1*$N1201+0.05*$O1201-IF(OR($P1201="Out",$P1201="Suspended"),$Q1201,IF($P1201="Doubtful",$Q1201*0.5,IF($P1201="Limited",$Q1201*0.25,0))))),2))</x:f>
      </x:c>
      <x:c r="S1201" s="55" t="n">
        <x:f>IF($D1201="",0,ROUND(IF(OR($P1201="Out",$P1201="Suspended"),$Q1201*$H1201,IF($P1201="Doubtful",$Q1201*$H1201*0.5,IF($P1201="Limited",$Q1201*$H1201*0.25,0))),2))</x:f>
        <x:v>0</x:v>
      </x:c>
      <x:c r="T1201" s="55" t="str"/>
      <x:c r="U1201" s="51" t="str"/>
    </x:row>
    <x:row r="1202">
      <x:c r="A1202" s="51" t="str">
        <x:v>Ghana</x:v>
      </x:c>
      <x:c r="B1202" s="51" t="str">
        <x:v>L</x:v>
      </x:c>
      <x:c r="C1202" s="51" t="n">
        <x:v>2</x:v>
      </x:c>
      <x:c r="D1202" s="71" t="str"/>
      <x:c r="E1202" s="51" t="str">
        <x:v>GK</x:v>
      </x:c>
      <x:c r="F1202" s="51" t="str">
        <x:v>GK</x:v>
      </x:c>
      <x:c r="G1202" s="51" t="str">
        <x:v>Starter</x:v>
      </x:c>
      <x:c r="H1202" s="55" t="n">
        <x:v>1</x:v>
      </x:c>
      <x:c r="I1202" s="51" t="str"/>
      <x:c r="J1202" s="72" t="str"/>
      <x:c r="K1202" s="72" t="str"/>
      <x:c r="L1202" s="72" t="str"/>
      <x:c r="M1202" s="72" t="str"/>
      <x:c r="N1202" s="72" t="str"/>
      <x:c r="O1202" s="72" t="str"/>
      <x:c r="P1202" s="72" t="str">
        <x:v>Available</x:v>
      </x:c>
      <x:c r="Q1202" s="72" t="n">
        <x:v>0</x:v>
      </x:c>
      <x:c r="R1202" s="55" t="str">
        <x:f>IF($D1202="","",ROUND(MAX(0,MIN(100,0.35*$J1202+0.2*$K1202+0.15*$L1202+0.15*$M1202+0.1*$N1202+0.05*$O1202-IF(OR($P1202="Out",$P1202="Suspended"),$Q1202,IF($P1202="Doubtful",$Q1202*0.5,IF($P1202="Limited",$Q1202*0.25,0))))),2))</x:f>
      </x:c>
      <x:c r="S1202" s="55" t="n">
        <x:f>IF($D1202="",0,ROUND(IF(OR($P1202="Out",$P1202="Suspended"),$Q1202*$H1202,IF($P1202="Doubtful",$Q1202*$H1202*0.5,IF($P1202="Limited",$Q1202*$H1202*0.25,0))),2))</x:f>
        <x:v>0</x:v>
      </x:c>
      <x:c r="T1202" s="55" t="str"/>
      <x:c r="U1202" s="51" t="str"/>
    </x:row>
    <x:row r="1203">
      <x:c r="A1203" s="51" t="str">
        <x:v>Ghana</x:v>
      </x:c>
      <x:c r="B1203" s="51" t="str">
        <x:v>L</x:v>
      </x:c>
      <x:c r="C1203" s="51" t="n">
        <x:v>3</x:v>
      </x:c>
      <x:c r="D1203" s="71" t="str"/>
      <x:c r="E1203" s="51" t="str">
        <x:v>GK</x:v>
      </x:c>
      <x:c r="F1203" s="51" t="str">
        <x:v>GK</x:v>
      </x:c>
      <x:c r="G1203" s="51" t="str">
        <x:v>Starter</x:v>
      </x:c>
      <x:c r="H1203" s="55" t="n">
        <x:v>1</x:v>
      </x:c>
      <x:c r="I1203" s="51" t="str"/>
      <x:c r="J1203" s="72" t="str"/>
      <x:c r="K1203" s="72" t="str"/>
      <x:c r="L1203" s="72" t="str"/>
      <x:c r="M1203" s="72" t="str"/>
      <x:c r="N1203" s="72" t="str"/>
      <x:c r="O1203" s="72" t="str"/>
      <x:c r="P1203" s="72" t="str">
        <x:v>Available</x:v>
      </x:c>
      <x:c r="Q1203" s="72" t="n">
        <x:v>0</x:v>
      </x:c>
      <x:c r="R1203" s="55" t="str">
        <x:f>IF($D1203="","",ROUND(MAX(0,MIN(100,0.35*$J1203+0.2*$K1203+0.15*$L1203+0.15*$M1203+0.1*$N1203+0.05*$O1203-IF(OR($P1203="Out",$P1203="Suspended"),$Q1203,IF($P1203="Doubtful",$Q1203*0.5,IF($P1203="Limited",$Q1203*0.25,0))))),2))</x:f>
      </x:c>
      <x:c r="S1203" s="55" t="n">
        <x:f>IF($D1203="",0,ROUND(IF(OR($P1203="Out",$P1203="Suspended"),$Q1203*$H1203,IF($P1203="Doubtful",$Q1203*$H1203*0.5,IF($P1203="Limited",$Q1203*$H1203*0.25,0))),2))</x:f>
        <x:v>0</x:v>
      </x:c>
      <x:c r="T1203" s="55" t="str"/>
      <x:c r="U1203" s="51" t="str"/>
    </x:row>
    <x:row r="1204">
      <x:c r="A1204" s="51" t="str">
        <x:v>Ghana</x:v>
      </x:c>
      <x:c r="B1204" s="51" t="str">
        <x:v>L</x:v>
      </x:c>
      <x:c r="C1204" s="51" t="n">
        <x:v>4</x:v>
      </x:c>
      <x:c r="D1204" s="71" t="str"/>
      <x:c r="E1204" s="51" t="str">
        <x:v>CB</x:v>
      </x:c>
      <x:c r="F1204" s="51" t="str">
        <x:v>Defence</x:v>
      </x:c>
      <x:c r="G1204" s="51" t="str">
        <x:v>Starter</x:v>
      </x:c>
      <x:c r="H1204" s="55" t="n">
        <x:v>1</x:v>
      </x:c>
      <x:c r="I1204" s="51" t="str"/>
      <x:c r="J1204" s="72" t="str"/>
      <x:c r="K1204" s="72" t="str"/>
      <x:c r="L1204" s="72" t="str"/>
      <x:c r="M1204" s="72" t="str"/>
      <x:c r="N1204" s="72" t="str"/>
      <x:c r="O1204" s="72" t="str"/>
      <x:c r="P1204" s="72" t="str">
        <x:v>Available</x:v>
      </x:c>
      <x:c r="Q1204" s="72" t="n">
        <x:v>0</x:v>
      </x:c>
      <x:c r="R1204" s="55" t="str">
        <x:f>IF($D1204="","",ROUND(MAX(0,MIN(100,0.35*$J1204+0.2*$K1204+0.15*$L1204+0.15*$M1204+0.1*$N1204+0.05*$O1204-IF(OR($P1204="Out",$P1204="Suspended"),$Q1204,IF($P1204="Doubtful",$Q1204*0.5,IF($P1204="Limited",$Q1204*0.25,0))))),2))</x:f>
      </x:c>
      <x:c r="S1204" s="55" t="n">
        <x:f>IF($D1204="",0,ROUND(IF(OR($P1204="Out",$P1204="Suspended"),$Q1204*$H1204,IF($P1204="Doubtful",$Q1204*$H1204*0.5,IF($P1204="Limited",$Q1204*$H1204*0.25,0))),2))</x:f>
        <x:v>0</x:v>
      </x:c>
      <x:c r="T1204" s="55" t="str"/>
      <x:c r="U1204" s="51" t="str"/>
    </x:row>
    <x:row r="1205">
      <x:c r="A1205" s="51" t="str">
        <x:v>Ghana</x:v>
      </x:c>
      <x:c r="B1205" s="51" t="str">
        <x:v>L</x:v>
      </x:c>
      <x:c r="C1205" s="51" t="n">
        <x:v>5</x:v>
      </x:c>
      <x:c r="D1205" s="71" t="str"/>
      <x:c r="E1205" s="51" t="str">
        <x:v>CB</x:v>
      </x:c>
      <x:c r="F1205" s="51" t="str">
        <x:v>Defence</x:v>
      </x:c>
      <x:c r="G1205" s="51" t="str">
        <x:v>Starter</x:v>
      </x:c>
      <x:c r="H1205" s="55" t="n">
        <x:v>1</x:v>
      </x:c>
      <x:c r="I1205" s="51" t="str"/>
      <x:c r="J1205" s="72" t="str"/>
      <x:c r="K1205" s="72" t="str"/>
      <x:c r="L1205" s="72" t="str"/>
      <x:c r="M1205" s="72" t="str"/>
      <x:c r="N1205" s="72" t="str"/>
      <x:c r="O1205" s="72" t="str"/>
      <x:c r="P1205" s="72" t="str">
        <x:v>Available</x:v>
      </x:c>
      <x:c r="Q1205" s="72" t="n">
        <x:v>0</x:v>
      </x:c>
      <x:c r="R1205" s="55" t="str">
        <x:f>IF($D1205="","",ROUND(MAX(0,MIN(100,0.35*$J1205+0.2*$K1205+0.15*$L1205+0.15*$M1205+0.1*$N1205+0.05*$O1205-IF(OR($P1205="Out",$P1205="Suspended"),$Q1205,IF($P1205="Doubtful",$Q1205*0.5,IF($P1205="Limited",$Q1205*0.25,0))))),2))</x:f>
      </x:c>
      <x:c r="S1205" s="55" t="n">
        <x:f>IF($D1205="",0,ROUND(IF(OR($P1205="Out",$P1205="Suspended"),$Q1205*$H1205,IF($P1205="Doubtful",$Q1205*$H1205*0.5,IF($P1205="Limited",$Q1205*$H1205*0.25,0))),2))</x:f>
        <x:v>0</x:v>
      </x:c>
      <x:c r="T1205" s="55" t="str"/>
      <x:c r="U1205" s="51" t="str"/>
    </x:row>
    <x:row r="1206">
      <x:c r="A1206" s="51" t="str">
        <x:v>Ghana</x:v>
      </x:c>
      <x:c r="B1206" s="51" t="str">
        <x:v>L</x:v>
      </x:c>
      <x:c r="C1206" s="51" t="n">
        <x:v>6</x:v>
      </x:c>
      <x:c r="D1206" s="71" t="str"/>
      <x:c r="E1206" s="51" t="str">
        <x:v>CB</x:v>
      </x:c>
      <x:c r="F1206" s="51" t="str">
        <x:v>Defence</x:v>
      </x:c>
      <x:c r="G1206" s="51" t="str">
        <x:v>Starter</x:v>
      </x:c>
      <x:c r="H1206" s="55" t="n">
        <x:v>1</x:v>
      </x:c>
      <x:c r="I1206" s="51" t="str"/>
      <x:c r="J1206" s="72" t="str"/>
      <x:c r="K1206" s="72" t="str"/>
      <x:c r="L1206" s="72" t="str"/>
      <x:c r="M1206" s="72" t="str"/>
      <x:c r="N1206" s="72" t="str"/>
      <x:c r="O1206" s="72" t="str"/>
      <x:c r="P1206" s="72" t="str">
        <x:v>Available</x:v>
      </x:c>
      <x:c r="Q1206" s="72" t="n">
        <x:v>0</x:v>
      </x:c>
      <x:c r="R1206" s="55" t="str">
        <x:f>IF($D1206="","",ROUND(MAX(0,MIN(100,0.35*$J1206+0.2*$K1206+0.15*$L1206+0.15*$M1206+0.1*$N1206+0.05*$O1206-IF(OR($P1206="Out",$P1206="Suspended"),$Q1206,IF($P1206="Doubtful",$Q1206*0.5,IF($P1206="Limited",$Q1206*0.25,0))))),2))</x:f>
      </x:c>
      <x:c r="S1206" s="55" t="n">
        <x:f>IF($D1206="",0,ROUND(IF(OR($P1206="Out",$P1206="Suspended"),$Q1206*$H1206,IF($P1206="Doubtful",$Q1206*$H1206*0.5,IF($P1206="Limited",$Q1206*$H1206*0.25,0))),2))</x:f>
        <x:v>0</x:v>
      </x:c>
      <x:c r="T1206" s="55" t="str"/>
      <x:c r="U1206" s="51" t="str"/>
    </x:row>
    <x:row r="1207">
      <x:c r="A1207" s="51" t="str">
        <x:v>Ghana</x:v>
      </x:c>
      <x:c r="B1207" s="51" t="str">
        <x:v>L</x:v>
      </x:c>
      <x:c r="C1207" s="51" t="n">
        <x:v>7</x:v>
      </x:c>
      <x:c r="D1207" s="71" t="str"/>
      <x:c r="E1207" s="51" t="str">
        <x:v>FB</x:v>
      </x:c>
      <x:c r="F1207" s="51" t="str">
        <x:v>Defence</x:v>
      </x:c>
      <x:c r="G1207" s="51" t="str">
        <x:v>Starter</x:v>
      </x:c>
      <x:c r="H1207" s="55" t="n">
        <x:v>1</x:v>
      </x:c>
      <x:c r="I1207" s="51" t="str"/>
      <x:c r="J1207" s="72" t="str"/>
      <x:c r="K1207" s="72" t="str"/>
      <x:c r="L1207" s="72" t="str"/>
      <x:c r="M1207" s="72" t="str"/>
      <x:c r="N1207" s="72" t="str"/>
      <x:c r="O1207" s="72" t="str"/>
      <x:c r="P1207" s="72" t="str">
        <x:v>Available</x:v>
      </x:c>
      <x:c r="Q1207" s="72" t="n">
        <x:v>0</x:v>
      </x:c>
      <x:c r="R1207" s="55" t="str">
        <x:f>IF($D1207="","",ROUND(MAX(0,MIN(100,0.35*$J1207+0.2*$K1207+0.15*$L1207+0.15*$M1207+0.1*$N1207+0.05*$O1207-IF(OR($P1207="Out",$P1207="Suspended"),$Q1207,IF($P1207="Doubtful",$Q1207*0.5,IF($P1207="Limited",$Q1207*0.25,0))))),2))</x:f>
      </x:c>
      <x:c r="S1207" s="55" t="n">
        <x:f>IF($D1207="",0,ROUND(IF(OR($P1207="Out",$P1207="Suspended"),$Q1207*$H1207,IF($P1207="Doubtful",$Q1207*$H1207*0.5,IF($P1207="Limited",$Q1207*$H1207*0.25,0))),2))</x:f>
        <x:v>0</x:v>
      </x:c>
      <x:c r="T1207" s="55" t="str"/>
      <x:c r="U1207" s="51" t="str"/>
    </x:row>
    <x:row r="1208">
      <x:c r="A1208" s="51" t="str">
        <x:v>Ghana</x:v>
      </x:c>
      <x:c r="B1208" s="51" t="str">
        <x:v>L</x:v>
      </x:c>
      <x:c r="C1208" s="51" t="n">
        <x:v>8</x:v>
      </x:c>
      <x:c r="D1208" s="71" t="str"/>
      <x:c r="E1208" s="51" t="str">
        <x:v>FB</x:v>
      </x:c>
      <x:c r="F1208" s="51" t="str">
        <x:v>Defence</x:v>
      </x:c>
      <x:c r="G1208" s="51" t="str">
        <x:v>Starter</x:v>
      </x:c>
      <x:c r="H1208" s="55" t="n">
        <x:v>1</x:v>
      </x:c>
      <x:c r="I1208" s="51" t="str"/>
      <x:c r="J1208" s="72" t="str"/>
      <x:c r="K1208" s="72" t="str"/>
      <x:c r="L1208" s="72" t="str"/>
      <x:c r="M1208" s="72" t="str"/>
      <x:c r="N1208" s="72" t="str"/>
      <x:c r="O1208" s="72" t="str"/>
      <x:c r="P1208" s="72" t="str">
        <x:v>Available</x:v>
      </x:c>
      <x:c r="Q1208" s="72" t="n">
        <x:v>0</x:v>
      </x:c>
      <x:c r="R1208" s="55" t="str">
        <x:f>IF($D1208="","",ROUND(MAX(0,MIN(100,0.35*$J1208+0.2*$K1208+0.15*$L1208+0.15*$M1208+0.1*$N1208+0.05*$O1208-IF(OR($P1208="Out",$P1208="Suspended"),$Q1208,IF($P1208="Doubtful",$Q1208*0.5,IF($P1208="Limited",$Q1208*0.25,0))))),2))</x:f>
      </x:c>
      <x:c r="S1208" s="55" t="n">
        <x:f>IF($D1208="",0,ROUND(IF(OR($P1208="Out",$P1208="Suspended"),$Q1208*$H1208,IF($P1208="Doubtful",$Q1208*$H1208*0.5,IF($P1208="Limited",$Q1208*$H1208*0.25,0))),2))</x:f>
        <x:v>0</x:v>
      </x:c>
      <x:c r="T1208" s="55" t="str"/>
      <x:c r="U1208" s="51" t="str"/>
    </x:row>
    <x:row r="1209">
      <x:c r="A1209" s="51" t="str">
        <x:v>Ghana</x:v>
      </x:c>
      <x:c r="B1209" s="51" t="str">
        <x:v>L</x:v>
      </x:c>
      <x:c r="C1209" s="51" t="n">
        <x:v>9</x:v>
      </x:c>
      <x:c r="D1209" s="71" t="str"/>
      <x:c r="E1209" s="51" t="str">
        <x:v>DM</x:v>
      </x:c>
      <x:c r="F1209" s="51" t="str">
        <x:v>Midfield</x:v>
      </x:c>
      <x:c r="G1209" s="51" t="str">
        <x:v>Starter</x:v>
      </x:c>
      <x:c r="H1209" s="55" t="n">
        <x:v>1</x:v>
      </x:c>
      <x:c r="I1209" s="51" t="str"/>
      <x:c r="J1209" s="72" t="str"/>
      <x:c r="K1209" s="72" t="str"/>
      <x:c r="L1209" s="72" t="str"/>
      <x:c r="M1209" s="72" t="str"/>
      <x:c r="N1209" s="72" t="str"/>
      <x:c r="O1209" s="72" t="str"/>
      <x:c r="P1209" s="72" t="str">
        <x:v>Available</x:v>
      </x:c>
      <x:c r="Q1209" s="72" t="n">
        <x:v>0</x:v>
      </x:c>
      <x:c r="R1209" s="55" t="str">
        <x:f>IF($D1209="","",ROUND(MAX(0,MIN(100,0.35*$J1209+0.2*$K1209+0.15*$L1209+0.15*$M1209+0.1*$N1209+0.05*$O1209-IF(OR($P1209="Out",$P1209="Suspended"),$Q1209,IF($P1209="Doubtful",$Q1209*0.5,IF($P1209="Limited",$Q1209*0.25,0))))),2))</x:f>
      </x:c>
      <x:c r="S1209" s="55" t="n">
        <x:f>IF($D1209="",0,ROUND(IF(OR($P1209="Out",$P1209="Suspended"),$Q1209*$H1209,IF($P1209="Doubtful",$Q1209*$H1209*0.5,IF($P1209="Limited",$Q1209*$H1209*0.25,0))),2))</x:f>
        <x:v>0</x:v>
      </x:c>
      <x:c r="T1209" s="55" t="str"/>
      <x:c r="U1209" s="51" t="str"/>
    </x:row>
    <x:row r="1210">
      <x:c r="A1210" s="51" t="str">
        <x:v>Ghana</x:v>
      </x:c>
      <x:c r="B1210" s="51" t="str">
        <x:v>L</x:v>
      </x:c>
      <x:c r="C1210" s="51" t="n">
        <x:v>10</x:v>
      </x:c>
      <x:c r="D1210" s="71" t="str"/>
      <x:c r="E1210" s="51" t="str">
        <x:v>DM</x:v>
      </x:c>
      <x:c r="F1210" s="51" t="str">
        <x:v>Midfield</x:v>
      </x:c>
      <x:c r="G1210" s="51" t="str">
        <x:v>Starter</x:v>
      </x:c>
      <x:c r="H1210" s="55" t="n">
        <x:v>1</x:v>
      </x:c>
      <x:c r="I1210" s="51" t="str"/>
      <x:c r="J1210" s="72" t="str"/>
      <x:c r="K1210" s="72" t="str"/>
      <x:c r="L1210" s="72" t="str"/>
      <x:c r="M1210" s="72" t="str"/>
      <x:c r="N1210" s="72" t="str"/>
      <x:c r="O1210" s="72" t="str"/>
      <x:c r="P1210" s="72" t="str">
        <x:v>Available</x:v>
      </x:c>
      <x:c r="Q1210" s="72" t="n">
        <x:v>0</x:v>
      </x:c>
      <x:c r="R1210" s="55" t="str">
        <x:f>IF($D1210="","",ROUND(MAX(0,MIN(100,0.35*$J1210+0.2*$K1210+0.15*$L1210+0.15*$M1210+0.1*$N1210+0.05*$O1210-IF(OR($P1210="Out",$P1210="Suspended"),$Q1210,IF($P1210="Doubtful",$Q1210*0.5,IF($P1210="Limited",$Q1210*0.25,0))))),2))</x:f>
      </x:c>
      <x:c r="S1210" s="55" t="n">
        <x:f>IF($D1210="",0,ROUND(IF(OR($P1210="Out",$P1210="Suspended"),$Q1210*$H1210,IF($P1210="Doubtful",$Q1210*$H1210*0.5,IF($P1210="Limited",$Q1210*$H1210*0.25,0))),2))</x:f>
        <x:v>0</x:v>
      </x:c>
      <x:c r="T1210" s="55" t="str"/>
      <x:c r="U1210" s="51" t="str"/>
    </x:row>
    <x:row r="1211">
      <x:c r="A1211" s="51" t="str">
        <x:v>Ghana</x:v>
      </x:c>
      <x:c r="B1211" s="51" t="str">
        <x:v>L</x:v>
      </x:c>
      <x:c r="C1211" s="51" t="n">
        <x:v>11</x:v>
      </x:c>
      <x:c r="D1211" s="71" t="str"/>
      <x:c r="E1211" s="51" t="str">
        <x:v>DM</x:v>
      </x:c>
      <x:c r="F1211" s="51" t="str">
        <x:v>Midfield</x:v>
      </x:c>
      <x:c r="G1211" s="51" t="str">
        <x:v>Starter</x:v>
      </x:c>
      <x:c r="H1211" s="55" t="n">
        <x:v>1</x:v>
      </x:c>
      <x:c r="I1211" s="51" t="str"/>
      <x:c r="J1211" s="72" t="str"/>
      <x:c r="K1211" s="72" t="str"/>
      <x:c r="L1211" s="72" t="str"/>
      <x:c r="M1211" s="72" t="str"/>
      <x:c r="N1211" s="72" t="str"/>
      <x:c r="O1211" s="72" t="str"/>
      <x:c r="P1211" s="72" t="str">
        <x:v>Available</x:v>
      </x:c>
      <x:c r="Q1211" s="72" t="n">
        <x:v>0</x:v>
      </x:c>
      <x:c r="R1211" s="55" t="str">
        <x:f>IF($D1211="","",ROUND(MAX(0,MIN(100,0.35*$J1211+0.2*$K1211+0.15*$L1211+0.15*$M1211+0.1*$N1211+0.05*$O1211-IF(OR($P1211="Out",$P1211="Suspended"),$Q1211,IF($P1211="Doubtful",$Q1211*0.5,IF($P1211="Limited",$Q1211*0.25,0))))),2))</x:f>
      </x:c>
      <x:c r="S1211" s="55" t="n">
        <x:f>IF($D1211="",0,ROUND(IF(OR($P1211="Out",$P1211="Suspended"),$Q1211*$H1211,IF($P1211="Doubtful",$Q1211*$H1211*0.5,IF($P1211="Limited",$Q1211*$H1211*0.25,0))),2))</x:f>
        <x:v>0</x:v>
      </x:c>
      <x:c r="T1211" s="55" t="str"/>
      <x:c r="U1211" s="51" t="str"/>
    </x:row>
    <x:row r="1212">
      <x:c r="A1212" s="51" t="str">
        <x:v>Ghana</x:v>
      </x:c>
      <x:c r="B1212" s="51" t="str">
        <x:v>L</x:v>
      </x:c>
      <x:c r="C1212" s="51" t="n">
        <x:v>12</x:v>
      </x:c>
      <x:c r="D1212" s="71" t="str"/>
      <x:c r="E1212" s="51" t="str">
        <x:v>CM</x:v>
      </x:c>
      <x:c r="F1212" s="51" t="str">
        <x:v>Midfield</x:v>
      </x:c>
      <x:c r="G1212" s="51" t="str">
        <x:v>Rotation</x:v>
      </x:c>
      <x:c r="H1212" s="55" t="n">
        <x:v>0.35</x:v>
      </x:c>
      <x:c r="I1212" s="51" t="str"/>
      <x:c r="J1212" s="72" t="str"/>
      <x:c r="K1212" s="72" t="str"/>
      <x:c r="L1212" s="72" t="str"/>
      <x:c r="M1212" s="72" t="str"/>
      <x:c r="N1212" s="72" t="str"/>
      <x:c r="O1212" s="72" t="str"/>
      <x:c r="P1212" s="72" t="str">
        <x:v>Available</x:v>
      </x:c>
      <x:c r="Q1212" s="72" t="n">
        <x:v>0</x:v>
      </x:c>
      <x:c r="R1212" s="55" t="str">
        <x:f>IF($D1212="","",ROUND(MAX(0,MIN(100,0.35*$J1212+0.2*$K1212+0.15*$L1212+0.15*$M1212+0.1*$N1212+0.05*$O1212-IF(OR($P1212="Out",$P1212="Suspended"),$Q1212,IF($P1212="Doubtful",$Q1212*0.5,IF($P1212="Limited",$Q1212*0.25,0))))),2))</x:f>
      </x:c>
      <x:c r="S1212" s="55" t="n">
        <x:f>IF($D1212="",0,ROUND(IF(OR($P1212="Out",$P1212="Suspended"),$Q1212*$H1212,IF($P1212="Doubtful",$Q1212*$H1212*0.5,IF($P1212="Limited",$Q1212*$H1212*0.25,0))),2))</x:f>
        <x:v>0</x:v>
      </x:c>
      <x:c r="T1212" s="55" t="str"/>
      <x:c r="U1212" s="51" t="str"/>
    </x:row>
    <x:row r="1213">
      <x:c r="A1213" s="51" t="str">
        <x:v>Ghana</x:v>
      </x:c>
      <x:c r="B1213" s="51" t="str">
        <x:v>L</x:v>
      </x:c>
      <x:c r="C1213" s="51" t="n">
        <x:v>13</x:v>
      </x:c>
      <x:c r="D1213" s="71" t="str"/>
      <x:c r="E1213" s="51" t="str">
        <x:v>CM</x:v>
      </x:c>
      <x:c r="F1213" s="51" t="str">
        <x:v>Midfield</x:v>
      </x:c>
      <x:c r="G1213" s="51" t="str">
        <x:v>Rotation</x:v>
      </x:c>
      <x:c r="H1213" s="55" t="n">
        <x:v>0.35</x:v>
      </x:c>
      <x:c r="I1213" s="51" t="str"/>
      <x:c r="J1213" s="72" t="str"/>
      <x:c r="K1213" s="72" t="str"/>
      <x:c r="L1213" s="72" t="str"/>
      <x:c r="M1213" s="72" t="str"/>
      <x:c r="N1213" s="72" t="str"/>
      <x:c r="O1213" s="72" t="str"/>
      <x:c r="P1213" s="72" t="str">
        <x:v>Available</x:v>
      </x:c>
      <x:c r="Q1213" s="72" t="n">
        <x:v>0</x:v>
      </x:c>
      <x:c r="R1213" s="55" t="str">
        <x:f>IF($D1213="","",ROUND(MAX(0,MIN(100,0.35*$J1213+0.2*$K1213+0.15*$L1213+0.15*$M1213+0.1*$N1213+0.05*$O1213-IF(OR($P1213="Out",$P1213="Suspended"),$Q1213,IF($P1213="Doubtful",$Q1213*0.5,IF($P1213="Limited",$Q1213*0.25,0))))),2))</x:f>
      </x:c>
      <x:c r="S1213" s="55" t="n">
        <x:f>IF($D1213="",0,ROUND(IF(OR($P1213="Out",$P1213="Suspended"),$Q1213*$H1213,IF($P1213="Doubtful",$Q1213*$H1213*0.5,IF($P1213="Limited",$Q1213*$H1213*0.25,0))),2))</x:f>
        <x:v>0</x:v>
      </x:c>
      <x:c r="T1213" s="55" t="str"/>
      <x:c r="U1213" s="51" t="str"/>
    </x:row>
    <x:row r="1214">
      <x:c r="A1214" s="51" t="str">
        <x:v>Ghana</x:v>
      </x:c>
      <x:c r="B1214" s="51" t="str">
        <x:v>L</x:v>
      </x:c>
      <x:c r="C1214" s="51" t="n">
        <x:v>14</x:v>
      </x:c>
      <x:c r="D1214" s="71" t="str"/>
      <x:c r="E1214" s="51" t="str">
        <x:v>CM</x:v>
      </x:c>
      <x:c r="F1214" s="51" t="str">
        <x:v>Midfield</x:v>
      </x:c>
      <x:c r="G1214" s="51" t="str">
        <x:v>Rotation</x:v>
      </x:c>
      <x:c r="H1214" s="55" t="n">
        <x:v>0.35</x:v>
      </x:c>
      <x:c r="I1214" s="51" t="str"/>
      <x:c r="J1214" s="72" t="str"/>
      <x:c r="K1214" s="72" t="str"/>
      <x:c r="L1214" s="72" t="str"/>
      <x:c r="M1214" s="72" t="str"/>
      <x:c r="N1214" s="72" t="str"/>
      <x:c r="O1214" s="72" t="str"/>
      <x:c r="P1214" s="72" t="str">
        <x:v>Available</x:v>
      </x:c>
      <x:c r="Q1214" s="72" t="n">
        <x:v>0</x:v>
      </x:c>
      <x:c r="R1214" s="55" t="str">
        <x:f>IF($D1214="","",ROUND(MAX(0,MIN(100,0.35*$J1214+0.2*$K1214+0.15*$L1214+0.15*$M1214+0.1*$N1214+0.05*$O1214-IF(OR($P1214="Out",$P1214="Suspended"),$Q1214,IF($P1214="Doubtful",$Q1214*0.5,IF($P1214="Limited",$Q1214*0.25,0))))),2))</x:f>
      </x:c>
      <x:c r="S1214" s="55" t="n">
        <x:f>IF($D1214="",0,ROUND(IF(OR($P1214="Out",$P1214="Suspended"),$Q1214*$H1214,IF($P1214="Doubtful",$Q1214*$H1214*0.5,IF($P1214="Limited",$Q1214*$H1214*0.25,0))),2))</x:f>
        <x:v>0</x:v>
      </x:c>
      <x:c r="T1214" s="55" t="str"/>
      <x:c r="U1214" s="51" t="str"/>
    </x:row>
    <x:row r="1215">
      <x:c r="A1215" s="51" t="str">
        <x:v>Ghana</x:v>
      </x:c>
      <x:c r="B1215" s="51" t="str">
        <x:v>L</x:v>
      </x:c>
      <x:c r="C1215" s="51" t="n">
        <x:v>15</x:v>
      </x:c>
      <x:c r="D1215" s="71" t="str"/>
      <x:c r="E1215" s="51" t="str">
        <x:v>CM</x:v>
      </x:c>
      <x:c r="F1215" s="51" t="str">
        <x:v>Midfield</x:v>
      </x:c>
      <x:c r="G1215" s="51" t="str">
        <x:v>Rotation</x:v>
      </x:c>
      <x:c r="H1215" s="55" t="n">
        <x:v>0.35</x:v>
      </x:c>
      <x:c r="I1215" s="51" t="str"/>
      <x:c r="J1215" s="72" t="str"/>
      <x:c r="K1215" s="72" t="str"/>
      <x:c r="L1215" s="72" t="str"/>
      <x:c r="M1215" s="72" t="str"/>
      <x:c r="N1215" s="72" t="str"/>
      <x:c r="O1215" s="72" t="str"/>
      <x:c r="P1215" s="72" t="str">
        <x:v>Available</x:v>
      </x:c>
      <x:c r="Q1215" s="72" t="n">
        <x:v>0</x:v>
      </x:c>
      <x:c r="R1215" s="55" t="str">
        <x:f>IF($D1215="","",ROUND(MAX(0,MIN(100,0.35*$J1215+0.2*$K1215+0.15*$L1215+0.15*$M1215+0.1*$N1215+0.05*$O1215-IF(OR($P1215="Out",$P1215="Suspended"),$Q1215,IF($P1215="Doubtful",$Q1215*0.5,IF($P1215="Limited",$Q1215*0.25,0))))),2))</x:f>
      </x:c>
      <x:c r="S1215" s="55" t="n">
        <x:f>IF($D1215="",0,ROUND(IF(OR($P1215="Out",$P1215="Suspended"),$Q1215*$H1215,IF($P1215="Doubtful",$Q1215*$H1215*0.5,IF($P1215="Limited",$Q1215*$H1215*0.25,0))),2))</x:f>
        <x:v>0</x:v>
      </x:c>
      <x:c r="T1215" s="55" t="str"/>
      <x:c r="U1215" s="51" t="str"/>
    </x:row>
    <x:row r="1216">
      <x:c r="A1216" s="51" t="str">
        <x:v>Ghana</x:v>
      </x:c>
      <x:c r="B1216" s="51" t="str">
        <x:v>L</x:v>
      </x:c>
      <x:c r="C1216" s="51" t="n">
        <x:v>16</x:v>
      </x:c>
      <x:c r="D1216" s="71" t="str"/>
      <x:c r="E1216" s="51" t="str">
        <x:v>AM</x:v>
      </x:c>
      <x:c r="F1216" s="51" t="str">
        <x:v>Attack</x:v>
      </x:c>
      <x:c r="G1216" s="51" t="str">
        <x:v>Rotation</x:v>
      </x:c>
      <x:c r="H1216" s="55" t="n">
        <x:v>0.35</x:v>
      </x:c>
      <x:c r="I1216" s="51" t="str"/>
      <x:c r="J1216" s="72" t="str"/>
      <x:c r="K1216" s="72" t="str"/>
      <x:c r="L1216" s="72" t="str"/>
      <x:c r="M1216" s="72" t="str"/>
      <x:c r="N1216" s="72" t="str"/>
      <x:c r="O1216" s="72" t="str"/>
      <x:c r="P1216" s="72" t="str">
        <x:v>Available</x:v>
      </x:c>
      <x:c r="Q1216" s="72" t="n">
        <x:v>0</x:v>
      </x:c>
      <x:c r="R1216" s="55" t="str">
        <x:f>IF($D1216="","",ROUND(MAX(0,MIN(100,0.35*$J1216+0.2*$K1216+0.15*$L1216+0.15*$M1216+0.1*$N1216+0.05*$O1216-IF(OR($P1216="Out",$P1216="Suspended"),$Q1216,IF($P1216="Doubtful",$Q1216*0.5,IF($P1216="Limited",$Q1216*0.25,0))))),2))</x:f>
      </x:c>
      <x:c r="S1216" s="55" t="n">
        <x:f>IF($D1216="",0,ROUND(IF(OR($P1216="Out",$P1216="Suspended"),$Q1216*$H1216,IF($P1216="Doubtful",$Q1216*$H1216*0.5,IF($P1216="Limited",$Q1216*$H1216*0.25,0))),2))</x:f>
        <x:v>0</x:v>
      </x:c>
      <x:c r="T1216" s="55" t="str"/>
      <x:c r="U1216" s="51" t="str"/>
    </x:row>
    <x:row r="1217">
      <x:c r="A1217" s="51" t="str">
        <x:v>Ghana</x:v>
      </x:c>
      <x:c r="B1217" s="51" t="str">
        <x:v>L</x:v>
      </x:c>
      <x:c r="C1217" s="51" t="n">
        <x:v>17</x:v>
      </x:c>
      <x:c r="D1217" s="71" t="str"/>
      <x:c r="E1217" s="51" t="str">
        <x:v>AM</x:v>
      </x:c>
      <x:c r="F1217" s="51" t="str">
        <x:v>Attack</x:v>
      </x:c>
      <x:c r="G1217" s="51" t="str">
        <x:v>Rotation</x:v>
      </x:c>
      <x:c r="H1217" s="55" t="n">
        <x:v>0.35</x:v>
      </x:c>
      <x:c r="I1217" s="51" t="str"/>
      <x:c r="J1217" s="72" t="str"/>
      <x:c r="K1217" s="72" t="str"/>
      <x:c r="L1217" s="72" t="str"/>
      <x:c r="M1217" s="72" t="str"/>
      <x:c r="N1217" s="72" t="str"/>
      <x:c r="O1217" s="72" t="str"/>
      <x:c r="P1217" s="72" t="str">
        <x:v>Available</x:v>
      </x:c>
      <x:c r="Q1217" s="72" t="n">
        <x:v>0</x:v>
      </x:c>
      <x:c r="R1217" s="55" t="str">
        <x:f>IF($D1217="","",ROUND(MAX(0,MIN(100,0.35*$J1217+0.2*$K1217+0.15*$L1217+0.15*$M1217+0.1*$N1217+0.05*$O1217-IF(OR($P1217="Out",$P1217="Suspended"),$Q1217,IF($P1217="Doubtful",$Q1217*0.5,IF($P1217="Limited",$Q1217*0.25,0))))),2))</x:f>
      </x:c>
      <x:c r="S1217" s="55" t="n">
        <x:f>IF($D1217="",0,ROUND(IF(OR($P1217="Out",$P1217="Suspended"),$Q1217*$H1217,IF($P1217="Doubtful",$Q1217*$H1217*0.5,IF($P1217="Limited",$Q1217*$H1217*0.25,0))),2))</x:f>
        <x:v>0</x:v>
      </x:c>
      <x:c r="T1217" s="55" t="str"/>
      <x:c r="U1217" s="51" t="str"/>
    </x:row>
    <x:row r="1218">
      <x:c r="A1218" s="51" t="str">
        <x:v>Ghana</x:v>
      </x:c>
      <x:c r="B1218" s="51" t="str">
        <x:v>L</x:v>
      </x:c>
      <x:c r="C1218" s="51" t="n">
        <x:v>18</x:v>
      </x:c>
      <x:c r="D1218" s="71" t="str"/>
      <x:c r="E1218" s="51" t="str">
        <x:v>AM</x:v>
      </x:c>
      <x:c r="F1218" s="51" t="str">
        <x:v>Attack</x:v>
      </x:c>
      <x:c r="G1218" s="51" t="str">
        <x:v>Rotation</x:v>
      </x:c>
      <x:c r="H1218" s="55" t="n">
        <x:v>0.35</x:v>
      </x:c>
      <x:c r="I1218" s="51" t="str"/>
      <x:c r="J1218" s="72" t="str"/>
      <x:c r="K1218" s="72" t="str"/>
      <x:c r="L1218" s="72" t="str"/>
      <x:c r="M1218" s="72" t="str"/>
      <x:c r="N1218" s="72" t="str"/>
      <x:c r="O1218" s="72" t="str"/>
      <x:c r="P1218" s="72" t="str">
        <x:v>Available</x:v>
      </x:c>
      <x:c r="Q1218" s="72" t="n">
        <x:v>0</x:v>
      </x:c>
      <x:c r="R1218" s="55" t="str">
        <x:f>IF($D1218="","",ROUND(MAX(0,MIN(100,0.35*$J1218+0.2*$K1218+0.15*$L1218+0.15*$M1218+0.1*$N1218+0.05*$O1218-IF(OR($P1218="Out",$P1218="Suspended"),$Q1218,IF($P1218="Doubtful",$Q1218*0.5,IF($P1218="Limited",$Q1218*0.25,0))))),2))</x:f>
      </x:c>
      <x:c r="S1218" s="55" t="n">
        <x:f>IF($D1218="",0,ROUND(IF(OR($P1218="Out",$P1218="Suspended"),$Q1218*$H1218,IF($P1218="Doubtful",$Q1218*$H1218*0.5,IF($P1218="Limited",$Q1218*$H1218*0.25,0))),2))</x:f>
        <x:v>0</x:v>
      </x:c>
      <x:c r="T1218" s="55" t="str"/>
      <x:c r="U1218" s="51" t="str"/>
    </x:row>
    <x:row r="1219">
      <x:c r="A1219" s="51" t="str">
        <x:v>Ghana</x:v>
      </x:c>
      <x:c r="B1219" s="51" t="str">
        <x:v>L</x:v>
      </x:c>
      <x:c r="C1219" s="51" t="n">
        <x:v>19</x:v>
      </x:c>
      <x:c r="D1219" s="71" t="str"/>
      <x:c r="E1219" s="51" t="str">
        <x:v>AM</x:v>
      </x:c>
      <x:c r="F1219" s="51" t="str">
        <x:v>Attack</x:v>
      </x:c>
      <x:c r="G1219" s="51" t="str">
        <x:v>Rotation</x:v>
      </x:c>
      <x:c r="H1219" s="55" t="n">
        <x:v>0.35</x:v>
      </x:c>
      <x:c r="I1219" s="51" t="str"/>
      <x:c r="J1219" s="72" t="str"/>
      <x:c r="K1219" s="72" t="str"/>
      <x:c r="L1219" s="72" t="str"/>
      <x:c r="M1219" s="72" t="str"/>
      <x:c r="N1219" s="72" t="str"/>
      <x:c r="O1219" s="72" t="str"/>
      <x:c r="P1219" s="72" t="str">
        <x:v>Available</x:v>
      </x:c>
      <x:c r="Q1219" s="72" t="n">
        <x:v>0</x:v>
      </x:c>
      <x:c r="R1219" s="55" t="str">
        <x:f>IF($D1219="","",ROUND(MAX(0,MIN(100,0.35*$J1219+0.2*$K1219+0.15*$L1219+0.15*$M1219+0.1*$N1219+0.05*$O1219-IF(OR($P1219="Out",$P1219="Suspended"),$Q1219,IF($P1219="Doubtful",$Q1219*0.5,IF($P1219="Limited",$Q1219*0.25,0))))),2))</x:f>
      </x:c>
      <x:c r="S1219" s="55" t="n">
        <x:f>IF($D1219="",0,ROUND(IF(OR($P1219="Out",$P1219="Suspended"),$Q1219*$H1219,IF($P1219="Doubtful",$Q1219*$H1219*0.5,IF($P1219="Limited",$Q1219*$H1219*0.25,0))),2))</x:f>
        <x:v>0</x:v>
      </x:c>
      <x:c r="T1219" s="55" t="str"/>
      <x:c r="U1219" s="51" t="str"/>
    </x:row>
    <x:row r="1220">
      <x:c r="A1220" s="51" t="str">
        <x:v>Ghana</x:v>
      </x:c>
      <x:c r="B1220" s="51" t="str">
        <x:v>L</x:v>
      </x:c>
      <x:c r="C1220" s="51" t="n">
        <x:v>20</x:v>
      </x:c>
      <x:c r="D1220" s="71" t="str"/>
      <x:c r="E1220" s="51" t="str">
        <x:v>Winger</x:v>
      </x:c>
      <x:c r="F1220" s="51" t="str">
        <x:v>Attack</x:v>
      </x:c>
      <x:c r="G1220" s="51" t="str">
        <x:v>Rotation</x:v>
      </x:c>
      <x:c r="H1220" s="55" t="n">
        <x:v>0.35</x:v>
      </x:c>
      <x:c r="I1220" s="51" t="str"/>
      <x:c r="J1220" s="72" t="str"/>
      <x:c r="K1220" s="72" t="str"/>
      <x:c r="L1220" s="72" t="str"/>
      <x:c r="M1220" s="72" t="str"/>
      <x:c r="N1220" s="72" t="str"/>
      <x:c r="O1220" s="72" t="str"/>
      <x:c r="P1220" s="72" t="str">
        <x:v>Available</x:v>
      </x:c>
      <x:c r="Q1220" s="72" t="n">
        <x:v>0</x:v>
      </x:c>
      <x:c r="R1220" s="55" t="str">
        <x:f>IF($D1220="","",ROUND(MAX(0,MIN(100,0.35*$J1220+0.2*$K1220+0.15*$L1220+0.15*$M1220+0.1*$N1220+0.05*$O1220-IF(OR($P1220="Out",$P1220="Suspended"),$Q1220,IF($P1220="Doubtful",$Q1220*0.5,IF($P1220="Limited",$Q1220*0.25,0))))),2))</x:f>
      </x:c>
      <x:c r="S1220" s="55" t="n">
        <x:f>IF($D1220="",0,ROUND(IF(OR($P1220="Out",$P1220="Suspended"),$Q1220*$H1220,IF($P1220="Doubtful",$Q1220*$H1220*0.5,IF($P1220="Limited",$Q1220*$H1220*0.25,0))),2))</x:f>
        <x:v>0</x:v>
      </x:c>
      <x:c r="T1220" s="55" t="str"/>
      <x:c r="U1220" s="51" t="str"/>
    </x:row>
    <x:row r="1221">
      <x:c r="A1221" s="51" t="str">
        <x:v>Ghana</x:v>
      </x:c>
      <x:c r="B1221" s="51" t="str">
        <x:v>L</x:v>
      </x:c>
      <x:c r="C1221" s="51" t="n">
        <x:v>21</x:v>
      </x:c>
      <x:c r="D1221" s="71" t="str"/>
      <x:c r="E1221" s="51" t="str">
        <x:v>Winger</x:v>
      </x:c>
      <x:c r="F1221" s="51" t="str">
        <x:v>Attack</x:v>
      </x:c>
      <x:c r="G1221" s="51" t="str">
        <x:v>Depth</x:v>
      </x:c>
      <x:c r="H1221" s="55" t="n">
        <x:v>0.1</x:v>
      </x:c>
      <x:c r="I1221" s="51" t="str"/>
      <x:c r="J1221" s="72" t="str"/>
      <x:c r="K1221" s="72" t="str"/>
      <x:c r="L1221" s="72" t="str"/>
      <x:c r="M1221" s="72" t="str"/>
      <x:c r="N1221" s="72" t="str"/>
      <x:c r="O1221" s="72" t="str"/>
      <x:c r="P1221" s="72" t="str">
        <x:v>Available</x:v>
      </x:c>
      <x:c r="Q1221" s="72" t="n">
        <x:v>0</x:v>
      </x:c>
      <x:c r="R1221" s="55" t="str">
        <x:f>IF($D1221="","",ROUND(MAX(0,MIN(100,0.35*$J1221+0.2*$K1221+0.15*$L1221+0.15*$M1221+0.1*$N1221+0.05*$O1221-IF(OR($P1221="Out",$P1221="Suspended"),$Q1221,IF($P1221="Doubtful",$Q1221*0.5,IF($P1221="Limited",$Q1221*0.25,0))))),2))</x:f>
      </x:c>
      <x:c r="S1221" s="55" t="n">
        <x:f>IF($D1221="",0,ROUND(IF(OR($P1221="Out",$P1221="Suspended"),$Q1221*$H1221,IF($P1221="Doubtful",$Q1221*$H1221*0.5,IF($P1221="Limited",$Q1221*$H1221*0.25,0))),2))</x:f>
        <x:v>0</x:v>
      </x:c>
      <x:c r="T1221" s="55" t="str"/>
      <x:c r="U1221" s="51" t="str"/>
    </x:row>
    <x:row r="1222">
      <x:c r="A1222" s="51" t="str">
        <x:v>Ghana</x:v>
      </x:c>
      <x:c r="B1222" s="51" t="str">
        <x:v>L</x:v>
      </x:c>
      <x:c r="C1222" s="51" t="n">
        <x:v>22</x:v>
      </x:c>
      <x:c r="D1222" s="71" t="str"/>
      <x:c r="E1222" s="51" t="str">
        <x:v>Winger</x:v>
      </x:c>
      <x:c r="F1222" s="51" t="str">
        <x:v>Attack</x:v>
      </x:c>
      <x:c r="G1222" s="51" t="str">
        <x:v>Depth</x:v>
      </x:c>
      <x:c r="H1222" s="55" t="n">
        <x:v>0.1</x:v>
      </x:c>
      <x:c r="I1222" s="51" t="str"/>
      <x:c r="J1222" s="72" t="str"/>
      <x:c r="K1222" s="72" t="str"/>
      <x:c r="L1222" s="72" t="str"/>
      <x:c r="M1222" s="72" t="str"/>
      <x:c r="N1222" s="72" t="str"/>
      <x:c r="O1222" s="72" t="str"/>
      <x:c r="P1222" s="72" t="str">
        <x:v>Available</x:v>
      </x:c>
      <x:c r="Q1222" s="72" t="n">
        <x:v>0</x:v>
      </x:c>
      <x:c r="R1222" s="55" t="str">
        <x:f>IF($D1222="","",ROUND(MAX(0,MIN(100,0.35*$J1222+0.2*$K1222+0.15*$L1222+0.15*$M1222+0.1*$N1222+0.05*$O1222-IF(OR($P1222="Out",$P1222="Suspended"),$Q1222,IF($P1222="Doubtful",$Q1222*0.5,IF($P1222="Limited",$Q1222*0.25,0))))),2))</x:f>
      </x:c>
      <x:c r="S1222" s="55" t="n">
        <x:f>IF($D1222="",0,ROUND(IF(OR($P1222="Out",$P1222="Suspended"),$Q1222*$H1222,IF($P1222="Doubtful",$Q1222*$H1222*0.5,IF($P1222="Limited",$Q1222*$H1222*0.25,0))),2))</x:f>
        <x:v>0</x:v>
      </x:c>
      <x:c r="T1222" s="55" t="str"/>
      <x:c r="U1222" s="51" t="str"/>
    </x:row>
    <x:row r="1223">
      <x:c r="A1223" s="51" t="str">
        <x:v>Ghana</x:v>
      </x:c>
      <x:c r="B1223" s="51" t="str">
        <x:v>L</x:v>
      </x:c>
      <x:c r="C1223" s="51" t="n">
        <x:v>23</x:v>
      </x:c>
      <x:c r="D1223" s="71" t="str"/>
      <x:c r="E1223" s="51" t="str">
        <x:v>Winger</x:v>
      </x:c>
      <x:c r="F1223" s="51" t="str">
        <x:v>Attack</x:v>
      </x:c>
      <x:c r="G1223" s="51" t="str">
        <x:v>Depth</x:v>
      </x:c>
      <x:c r="H1223" s="55" t="n">
        <x:v>0.1</x:v>
      </x:c>
      <x:c r="I1223" s="51" t="str"/>
      <x:c r="J1223" s="72" t="str"/>
      <x:c r="K1223" s="72" t="str"/>
      <x:c r="L1223" s="72" t="str"/>
      <x:c r="M1223" s="72" t="str"/>
      <x:c r="N1223" s="72" t="str"/>
      <x:c r="O1223" s="72" t="str"/>
      <x:c r="P1223" s="72" t="str">
        <x:v>Available</x:v>
      </x:c>
      <x:c r="Q1223" s="72" t="n">
        <x:v>0</x:v>
      </x:c>
      <x:c r="R1223" s="55" t="str">
        <x:f>IF($D1223="","",ROUND(MAX(0,MIN(100,0.35*$J1223+0.2*$K1223+0.15*$L1223+0.15*$M1223+0.1*$N1223+0.05*$O1223-IF(OR($P1223="Out",$P1223="Suspended"),$Q1223,IF($P1223="Doubtful",$Q1223*0.5,IF($P1223="Limited",$Q1223*0.25,0))))),2))</x:f>
      </x:c>
      <x:c r="S1223" s="55" t="n">
        <x:f>IF($D1223="",0,ROUND(IF(OR($P1223="Out",$P1223="Suspended"),$Q1223*$H1223,IF($P1223="Doubtful",$Q1223*$H1223*0.5,IF($P1223="Limited",$Q1223*$H1223*0.25,0))),2))</x:f>
        <x:v>0</x:v>
      </x:c>
      <x:c r="T1223" s="55" t="str"/>
      <x:c r="U1223" s="51" t="str"/>
    </x:row>
    <x:row r="1224">
      <x:c r="A1224" s="51" t="str">
        <x:v>Ghana</x:v>
      </x:c>
      <x:c r="B1224" s="51" t="str">
        <x:v>L</x:v>
      </x:c>
      <x:c r="C1224" s="51" t="n">
        <x:v>24</x:v>
      </x:c>
      <x:c r="D1224" s="71" t="str"/>
      <x:c r="E1224" s="51" t="str">
        <x:v>ST</x:v>
      </x:c>
      <x:c r="F1224" s="51" t="str">
        <x:v>Attack</x:v>
      </x:c>
      <x:c r="G1224" s="51" t="str">
        <x:v>Depth</x:v>
      </x:c>
      <x:c r="H1224" s="55" t="n">
        <x:v>0.1</x:v>
      </x:c>
      <x:c r="I1224" s="51" t="str"/>
      <x:c r="J1224" s="72" t="str"/>
      <x:c r="K1224" s="72" t="str"/>
      <x:c r="L1224" s="72" t="str"/>
      <x:c r="M1224" s="72" t="str"/>
      <x:c r="N1224" s="72" t="str"/>
      <x:c r="O1224" s="72" t="str"/>
      <x:c r="P1224" s="72" t="str">
        <x:v>Available</x:v>
      </x:c>
      <x:c r="Q1224" s="72" t="n">
        <x:v>0</x:v>
      </x:c>
      <x:c r="R1224" s="55" t="str">
        <x:f>IF($D1224="","",ROUND(MAX(0,MIN(100,0.35*$J1224+0.2*$K1224+0.15*$L1224+0.15*$M1224+0.1*$N1224+0.05*$O1224-IF(OR($P1224="Out",$P1224="Suspended"),$Q1224,IF($P1224="Doubtful",$Q1224*0.5,IF($P1224="Limited",$Q1224*0.25,0))))),2))</x:f>
      </x:c>
      <x:c r="S1224" s="55" t="n">
        <x:f>IF($D1224="",0,ROUND(IF(OR($P1224="Out",$P1224="Suspended"),$Q1224*$H1224,IF($P1224="Doubtful",$Q1224*$H1224*0.5,IF($P1224="Limited",$Q1224*$H1224*0.25,0))),2))</x:f>
        <x:v>0</x:v>
      </x:c>
      <x:c r="T1224" s="55" t="str"/>
      <x:c r="U1224" s="51" t="str"/>
    </x:row>
    <x:row r="1225">
      <x:c r="A1225" s="51" t="str">
        <x:v>Ghana</x:v>
      </x:c>
      <x:c r="B1225" s="51" t="str">
        <x:v>L</x:v>
      </x:c>
      <x:c r="C1225" s="51" t="n">
        <x:v>25</x:v>
      </x:c>
      <x:c r="D1225" s="71" t="str"/>
      <x:c r="E1225" s="51" t="str">
        <x:v>ST</x:v>
      </x:c>
      <x:c r="F1225" s="51" t="str">
        <x:v>Attack</x:v>
      </x:c>
      <x:c r="G1225" s="51" t="str">
        <x:v>Depth</x:v>
      </x:c>
      <x:c r="H1225" s="55" t="n">
        <x:v>0.1</x:v>
      </x:c>
      <x:c r="I1225" s="51" t="str"/>
      <x:c r="J1225" s="72" t="str"/>
      <x:c r="K1225" s="72" t="str"/>
      <x:c r="L1225" s="72" t="str"/>
      <x:c r="M1225" s="72" t="str"/>
      <x:c r="N1225" s="72" t="str"/>
      <x:c r="O1225" s="72" t="str"/>
      <x:c r="P1225" s="72" t="str">
        <x:v>Available</x:v>
      </x:c>
      <x:c r="Q1225" s="72" t="n">
        <x:v>0</x:v>
      </x:c>
      <x:c r="R1225" s="55" t="str">
        <x:f>IF($D1225="","",ROUND(MAX(0,MIN(100,0.35*$J1225+0.2*$K1225+0.15*$L1225+0.15*$M1225+0.1*$N1225+0.05*$O1225-IF(OR($P1225="Out",$P1225="Suspended"),$Q1225,IF($P1225="Doubtful",$Q1225*0.5,IF($P1225="Limited",$Q1225*0.25,0))))),2))</x:f>
      </x:c>
      <x:c r="S1225" s="55" t="n">
        <x:f>IF($D1225="",0,ROUND(IF(OR($P1225="Out",$P1225="Suspended"),$Q1225*$H1225,IF($P1225="Doubtful",$Q1225*$H1225*0.5,IF($P1225="Limited",$Q1225*$H1225*0.25,0))),2))</x:f>
        <x:v>0</x:v>
      </x:c>
      <x:c r="T1225" s="55" t="str"/>
      <x:c r="U1225" s="51" t="str"/>
    </x:row>
    <x:row r="1226">
      <x:c r="A1226" s="51" t="str">
        <x:v>Ghana</x:v>
      </x:c>
      <x:c r="B1226" s="51" t="str">
        <x:v>L</x:v>
      </x:c>
      <x:c r="C1226" s="51" t="n">
        <x:v>26</x:v>
      </x:c>
      <x:c r="D1226" s="71" t="str"/>
      <x:c r="E1226" s="51" t="str">
        <x:v>ST</x:v>
      </x:c>
      <x:c r="F1226" s="51" t="str">
        <x:v>Attack</x:v>
      </x:c>
      <x:c r="G1226" s="51" t="str">
        <x:v>Depth</x:v>
      </x:c>
      <x:c r="H1226" s="55" t="n">
        <x:v>0.1</x:v>
      </x:c>
      <x:c r="I1226" s="51" t="str"/>
      <x:c r="J1226" s="72" t="str"/>
      <x:c r="K1226" s="72" t="str"/>
      <x:c r="L1226" s="72" t="str"/>
      <x:c r="M1226" s="72" t="str"/>
      <x:c r="N1226" s="72" t="str"/>
      <x:c r="O1226" s="72" t="str"/>
      <x:c r="P1226" s="72" t="str">
        <x:v>Available</x:v>
      </x:c>
      <x:c r="Q1226" s="72" t="n">
        <x:v>0</x:v>
      </x:c>
      <x:c r="R1226" s="55" t="str">
        <x:f>IF($D1226="","",ROUND(MAX(0,MIN(100,0.35*$J1226+0.2*$K1226+0.15*$L1226+0.15*$M1226+0.1*$N1226+0.05*$O1226-IF(OR($P1226="Out",$P1226="Suspended"),$Q1226,IF($P1226="Doubtful",$Q1226*0.5,IF($P1226="Limited",$Q1226*0.25,0))))),2))</x:f>
      </x:c>
      <x:c r="S1226" s="55" t="n">
        <x:f>IF($D1226="",0,ROUND(IF(OR($P1226="Out",$P1226="Suspended"),$Q1226*$H1226,IF($P1226="Doubtful",$Q1226*$H1226*0.5,IF($P1226="Limited",$Q1226*$H1226*0.25,0))),2))</x:f>
        <x:v>0</x:v>
      </x:c>
      <x:c r="T1226" s="55" t="str"/>
      <x:c r="U1226" s="51" t="str"/>
    </x:row>
    <x:row r="1227">
      <x:c r="A1227" s="51" t="str">
        <x:v>Panama</x:v>
      </x:c>
      <x:c r="B1227" s="51" t="str">
        <x:v>L</x:v>
      </x:c>
      <x:c r="C1227" s="51" t="n">
        <x:v>1</x:v>
      </x:c>
      <x:c r="D1227" s="71" t="str"/>
      <x:c r="E1227" s="51" t="str">
        <x:v>GK</x:v>
      </x:c>
      <x:c r="F1227" s="51" t="str">
        <x:v>GK</x:v>
      </x:c>
      <x:c r="G1227" s="51" t="str">
        <x:v>Starter</x:v>
      </x:c>
      <x:c r="H1227" s="55" t="n">
        <x:v>1</x:v>
      </x:c>
      <x:c r="I1227" s="51" t="str"/>
      <x:c r="J1227" s="72" t="str"/>
      <x:c r="K1227" s="72" t="str"/>
      <x:c r="L1227" s="72" t="str"/>
      <x:c r="M1227" s="72" t="str"/>
      <x:c r="N1227" s="72" t="str"/>
      <x:c r="O1227" s="72" t="str"/>
      <x:c r="P1227" s="72" t="str">
        <x:v>Available</x:v>
      </x:c>
      <x:c r="Q1227" s="72" t="n">
        <x:v>0</x:v>
      </x:c>
      <x:c r="R1227" s="55" t="str">
        <x:f>IF($D1227="","",ROUND(MAX(0,MIN(100,0.35*$J1227+0.2*$K1227+0.15*$L1227+0.15*$M1227+0.1*$N1227+0.05*$O1227-IF(OR($P1227="Out",$P1227="Suspended"),$Q1227,IF($P1227="Doubtful",$Q1227*0.5,IF($P1227="Limited",$Q1227*0.25,0))))),2))</x:f>
      </x:c>
      <x:c r="S1227" s="55" t="n">
        <x:f>IF($D1227="",0,ROUND(IF(OR($P1227="Out",$P1227="Suspended"),$Q1227*$H1227,IF($P1227="Doubtful",$Q1227*$H1227*0.5,IF($P1227="Limited",$Q1227*$H1227*0.25,0))),2))</x:f>
        <x:v>0</x:v>
      </x:c>
      <x:c r="T1227" s="55" t="str"/>
      <x:c r="U1227" s="51" t="str"/>
    </x:row>
    <x:row r="1228">
      <x:c r="A1228" s="51" t="str">
        <x:v>Panama</x:v>
      </x:c>
      <x:c r="B1228" s="51" t="str">
        <x:v>L</x:v>
      </x:c>
      <x:c r="C1228" s="51" t="n">
        <x:v>2</x:v>
      </x:c>
      <x:c r="D1228" s="71" t="str"/>
      <x:c r="E1228" s="51" t="str">
        <x:v>GK</x:v>
      </x:c>
      <x:c r="F1228" s="51" t="str">
        <x:v>GK</x:v>
      </x:c>
      <x:c r="G1228" s="51" t="str">
        <x:v>Starter</x:v>
      </x:c>
      <x:c r="H1228" s="55" t="n">
        <x:v>1</x:v>
      </x:c>
      <x:c r="I1228" s="51" t="str"/>
      <x:c r="J1228" s="72" t="str"/>
      <x:c r="K1228" s="72" t="str"/>
      <x:c r="L1228" s="72" t="str"/>
      <x:c r="M1228" s="72" t="str"/>
      <x:c r="N1228" s="72" t="str"/>
      <x:c r="O1228" s="72" t="str"/>
      <x:c r="P1228" s="72" t="str">
        <x:v>Available</x:v>
      </x:c>
      <x:c r="Q1228" s="72" t="n">
        <x:v>0</x:v>
      </x:c>
      <x:c r="R1228" s="55" t="str">
        <x:f>IF($D1228="","",ROUND(MAX(0,MIN(100,0.35*$J1228+0.2*$K1228+0.15*$L1228+0.15*$M1228+0.1*$N1228+0.05*$O1228-IF(OR($P1228="Out",$P1228="Suspended"),$Q1228,IF($P1228="Doubtful",$Q1228*0.5,IF($P1228="Limited",$Q1228*0.25,0))))),2))</x:f>
      </x:c>
      <x:c r="S1228" s="55" t="n">
        <x:f>IF($D1228="",0,ROUND(IF(OR($P1228="Out",$P1228="Suspended"),$Q1228*$H1228,IF($P1228="Doubtful",$Q1228*$H1228*0.5,IF($P1228="Limited",$Q1228*$H1228*0.25,0))),2))</x:f>
        <x:v>0</x:v>
      </x:c>
      <x:c r="T1228" s="55" t="str"/>
      <x:c r="U1228" s="51" t="str"/>
    </x:row>
    <x:row r="1229">
      <x:c r="A1229" s="51" t="str">
        <x:v>Panama</x:v>
      </x:c>
      <x:c r="B1229" s="51" t="str">
        <x:v>L</x:v>
      </x:c>
      <x:c r="C1229" s="51" t="n">
        <x:v>3</x:v>
      </x:c>
      <x:c r="D1229" s="71" t="str"/>
      <x:c r="E1229" s="51" t="str">
        <x:v>GK</x:v>
      </x:c>
      <x:c r="F1229" s="51" t="str">
        <x:v>GK</x:v>
      </x:c>
      <x:c r="G1229" s="51" t="str">
        <x:v>Starter</x:v>
      </x:c>
      <x:c r="H1229" s="55" t="n">
        <x:v>1</x:v>
      </x:c>
      <x:c r="I1229" s="51" t="str"/>
      <x:c r="J1229" s="72" t="str"/>
      <x:c r="K1229" s="72" t="str"/>
      <x:c r="L1229" s="72" t="str"/>
      <x:c r="M1229" s="72" t="str"/>
      <x:c r="N1229" s="72" t="str"/>
      <x:c r="O1229" s="72" t="str"/>
      <x:c r="P1229" s="72" t="str">
        <x:v>Available</x:v>
      </x:c>
      <x:c r="Q1229" s="72" t="n">
        <x:v>0</x:v>
      </x:c>
      <x:c r="R1229" s="55" t="str">
        <x:f>IF($D1229="","",ROUND(MAX(0,MIN(100,0.35*$J1229+0.2*$K1229+0.15*$L1229+0.15*$M1229+0.1*$N1229+0.05*$O1229-IF(OR($P1229="Out",$P1229="Suspended"),$Q1229,IF($P1229="Doubtful",$Q1229*0.5,IF($P1229="Limited",$Q1229*0.25,0))))),2))</x:f>
      </x:c>
      <x:c r="S1229" s="55" t="n">
        <x:f>IF($D1229="",0,ROUND(IF(OR($P1229="Out",$P1229="Suspended"),$Q1229*$H1229,IF($P1229="Doubtful",$Q1229*$H1229*0.5,IF($P1229="Limited",$Q1229*$H1229*0.25,0))),2))</x:f>
        <x:v>0</x:v>
      </x:c>
      <x:c r="T1229" s="55" t="str"/>
      <x:c r="U1229" s="51" t="str"/>
    </x:row>
    <x:row r="1230">
      <x:c r="A1230" s="51" t="str">
        <x:v>Panama</x:v>
      </x:c>
      <x:c r="B1230" s="51" t="str">
        <x:v>L</x:v>
      </x:c>
      <x:c r="C1230" s="51" t="n">
        <x:v>4</x:v>
      </x:c>
      <x:c r="D1230" s="71" t="str"/>
      <x:c r="E1230" s="51" t="str">
        <x:v>CB</x:v>
      </x:c>
      <x:c r="F1230" s="51" t="str">
        <x:v>Defence</x:v>
      </x:c>
      <x:c r="G1230" s="51" t="str">
        <x:v>Starter</x:v>
      </x:c>
      <x:c r="H1230" s="55" t="n">
        <x:v>1</x:v>
      </x:c>
      <x:c r="I1230" s="51" t="str"/>
      <x:c r="J1230" s="72" t="str"/>
      <x:c r="K1230" s="72" t="str"/>
      <x:c r="L1230" s="72" t="str"/>
      <x:c r="M1230" s="72" t="str"/>
      <x:c r="N1230" s="72" t="str"/>
      <x:c r="O1230" s="72" t="str"/>
      <x:c r="P1230" s="72" t="str">
        <x:v>Available</x:v>
      </x:c>
      <x:c r="Q1230" s="72" t="n">
        <x:v>0</x:v>
      </x:c>
      <x:c r="R1230" s="55" t="str">
        <x:f>IF($D1230="","",ROUND(MAX(0,MIN(100,0.35*$J1230+0.2*$K1230+0.15*$L1230+0.15*$M1230+0.1*$N1230+0.05*$O1230-IF(OR($P1230="Out",$P1230="Suspended"),$Q1230,IF($P1230="Doubtful",$Q1230*0.5,IF($P1230="Limited",$Q1230*0.25,0))))),2))</x:f>
      </x:c>
      <x:c r="S1230" s="55" t="n">
        <x:f>IF($D1230="",0,ROUND(IF(OR($P1230="Out",$P1230="Suspended"),$Q1230*$H1230,IF($P1230="Doubtful",$Q1230*$H1230*0.5,IF($P1230="Limited",$Q1230*$H1230*0.25,0))),2))</x:f>
        <x:v>0</x:v>
      </x:c>
      <x:c r="T1230" s="55" t="str"/>
      <x:c r="U1230" s="51" t="str"/>
    </x:row>
    <x:row r="1231">
      <x:c r="A1231" s="51" t="str">
        <x:v>Panama</x:v>
      </x:c>
      <x:c r="B1231" s="51" t="str">
        <x:v>L</x:v>
      </x:c>
      <x:c r="C1231" s="51" t="n">
        <x:v>5</x:v>
      </x:c>
      <x:c r="D1231" s="71" t="str"/>
      <x:c r="E1231" s="51" t="str">
        <x:v>CB</x:v>
      </x:c>
      <x:c r="F1231" s="51" t="str">
        <x:v>Defence</x:v>
      </x:c>
      <x:c r="G1231" s="51" t="str">
        <x:v>Starter</x:v>
      </x:c>
      <x:c r="H1231" s="55" t="n">
        <x:v>1</x:v>
      </x:c>
      <x:c r="I1231" s="51" t="str"/>
      <x:c r="J1231" s="72" t="str"/>
      <x:c r="K1231" s="72" t="str"/>
      <x:c r="L1231" s="72" t="str"/>
      <x:c r="M1231" s="72" t="str"/>
      <x:c r="N1231" s="72" t="str"/>
      <x:c r="O1231" s="72" t="str"/>
      <x:c r="P1231" s="72" t="str">
        <x:v>Available</x:v>
      </x:c>
      <x:c r="Q1231" s="72" t="n">
        <x:v>0</x:v>
      </x:c>
      <x:c r="R1231" s="55" t="str">
        <x:f>IF($D1231="","",ROUND(MAX(0,MIN(100,0.35*$J1231+0.2*$K1231+0.15*$L1231+0.15*$M1231+0.1*$N1231+0.05*$O1231-IF(OR($P1231="Out",$P1231="Suspended"),$Q1231,IF($P1231="Doubtful",$Q1231*0.5,IF($P1231="Limited",$Q1231*0.25,0))))),2))</x:f>
      </x:c>
      <x:c r="S1231" s="55" t="n">
        <x:f>IF($D1231="",0,ROUND(IF(OR($P1231="Out",$P1231="Suspended"),$Q1231*$H1231,IF($P1231="Doubtful",$Q1231*$H1231*0.5,IF($P1231="Limited",$Q1231*$H1231*0.25,0))),2))</x:f>
        <x:v>0</x:v>
      </x:c>
      <x:c r="T1231" s="55" t="str"/>
      <x:c r="U1231" s="51" t="str"/>
    </x:row>
    <x:row r="1232">
      <x:c r="A1232" s="51" t="str">
        <x:v>Panama</x:v>
      </x:c>
      <x:c r="B1232" s="51" t="str">
        <x:v>L</x:v>
      </x:c>
      <x:c r="C1232" s="51" t="n">
        <x:v>6</x:v>
      </x:c>
      <x:c r="D1232" s="71" t="str"/>
      <x:c r="E1232" s="51" t="str">
        <x:v>CB</x:v>
      </x:c>
      <x:c r="F1232" s="51" t="str">
        <x:v>Defence</x:v>
      </x:c>
      <x:c r="G1232" s="51" t="str">
        <x:v>Starter</x:v>
      </x:c>
      <x:c r="H1232" s="55" t="n">
        <x:v>1</x:v>
      </x:c>
      <x:c r="I1232" s="51" t="str"/>
      <x:c r="J1232" s="72" t="str"/>
      <x:c r="K1232" s="72" t="str"/>
      <x:c r="L1232" s="72" t="str"/>
      <x:c r="M1232" s="72" t="str"/>
      <x:c r="N1232" s="72" t="str"/>
      <x:c r="O1232" s="72" t="str"/>
      <x:c r="P1232" s="72" t="str">
        <x:v>Available</x:v>
      </x:c>
      <x:c r="Q1232" s="72" t="n">
        <x:v>0</x:v>
      </x:c>
      <x:c r="R1232" s="55" t="str">
        <x:f>IF($D1232="","",ROUND(MAX(0,MIN(100,0.35*$J1232+0.2*$K1232+0.15*$L1232+0.15*$M1232+0.1*$N1232+0.05*$O1232-IF(OR($P1232="Out",$P1232="Suspended"),$Q1232,IF($P1232="Doubtful",$Q1232*0.5,IF($P1232="Limited",$Q1232*0.25,0))))),2))</x:f>
      </x:c>
      <x:c r="S1232" s="55" t="n">
        <x:f>IF($D1232="",0,ROUND(IF(OR($P1232="Out",$P1232="Suspended"),$Q1232*$H1232,IF($P1232="Doubtful",$Q1232*$H1232*0.5,IF($P1232="Limited",$Q1232*$H1232*0.25,0))),2))</x:f>
        <x:v>0</x:v>
      </x:c>
      <x:c r="T1232" s="55" t="str"/>
      <x:c r="U1232" s="51" t="str"/>
    </x:row>
    <x:row r="1233">
      <x:c r="A1233" s="51" t="str">
        <x:v>Panama</x:v>
      </x:c>
      <x:c r="B1233" s="51" t="str">
        <x:v>L</x:v>
      </x:c>
      <x:c r="C1233" s="51" t="n">
        <x:v>7</x:v>
      </x:c>
      <x:c r="D1233" s="71" t="str"/>
      <x:c r="E1233" s="51" t="str">
        <x:v>FB</x:v>
      </x:c>
      <x:c r="F1233" s="51" t="str">
        <x:v>Defence</x:v>
      </x:c>
      <x:c r="G1233" s="51" t="str">
        <x:v>Starter</x:v>
      </x:c>
      <x:c r="H1233" s="55" t="n">
        <x:v>1</x:v>
      </x:c>
      <x:c r="I1233" s="51" t="str"/>
      <x:c r="J1233" s="72" t="str"/>
      <x:c r="K1233" s="72" t="str"/>
      <x:c r="L1233" s="72" t="str"/>
      <x:c r="M1233" s="72" t="str"/>
      <x:c r="N1233" s="72" t="str"/>
      <x:c r="O1233" s="72" t="str"/>
      <x:c r="P1233" s="72" t="str">
        <x:v>Available</x:v>
      </x:c>
      <x:c r="Q1233" s="72" t="n">
        <x:v>0</x:v>
      </x:c>
      <x:c r="R1233" s="55" t="str">
        <x:f>IF($D1233="","",ROUND(MAX(0,MIN(100,0.35*$J1233+0.2*$K1233+0.15*$L1233+0.15*$M1233+0.1*$N1233+0.05*$O1233-IF(OR($P1233="Out",$P1233="Suspended"),$Q1233,IF($P1233="Doubtful",$Q1233*0.5,IF($P1233="Limited",$Q1233*0.25,0))))),2))</x:f>
      </x:c>
      <x:c r="S1233" s="55" t="n">
        <x:f>IF($D1233="",0,ROUND(IF(OR($P1233="Out",$P1233="Suspended"),$Q1233*$H1233,IF($P1233="Doubtful",$Q1233*$H1233*0.5,IF($P1233="Limited",$Q1233*$H1233*0.25,0))),2))</x:f>
        <x:v>0</x:v>
      </x:c>
      <x:c r="T1233" s="55" t="str"/>
      <x:c r="U1233" s="51" t="str"/>
    </x:row>
    <x:row r="1234">
      <x:c r="A1234" s="51" t="str">
        <x:v>Panama</x:v>
      </x:c>
      <x:c r="B1234" s="51" t="str">
        <x:v>L</x:v>
      </x:c>
      <x:c r="C1234" s="51" t="n">
        <x:v>8</x:v>
      </x:c>
      <x:c r="D1234" s="71" t="str"/>
      <x:c r="E1234" s="51" t="str">
        <x:v>FB</x:v>
      </x:c>
      <x:c r="F1234" s="51" t="str">
        <x:v>Defence</x:v>
      </x:c>
      <x:c r="G1234" s="51" t="str">
        <x:v>Starter</x:v>
      </x:c>
      <x:c r="H1234" s="55" t="n">
        <x:v>1</x:v>
      </x:c>
      <x:c r="I1234" s="51" t="str"/>
      <x:c r="J1234" s="72" t="str"/>
      <x:c r="K1234" s="72" t="str"/>
      <x:c r="L1234" s="72" t="str"/>
      <x:c r="M1234" s="72" t="str"/>
      <x:c r="N1234" s="72" t="str"/>
      <x:c r="O1234" s="72" t="str"/>
      <x:c r="P1234" s="72" t="str">
        <x:v>Available</x:v>
      </x:c>
      <x:c r="Q1234" s="72" t="n">
        <x:v>0</x:v>
      </x:c>
      <x:c r="R1234" s="55" t="str">
        <x:f>IF($D1234="","",ROUND(MAX(0,MIN(100,0.35*$J1234+0.2*$K1234+0.15*$L1234+0.15*$M1234+0.1*$N1234+0.05*$O1234-IF(OR($P1234="Out",$P1234="Suspended"),$Q1234,IF($P1234="Doubtful",$Q1234*0.5,IF($P1234="Limited",$Q1234*0.25,0))))),2))</x:f>
      </x:c>
      <x:c r="S1234" s="55" t="n">
        <x:f>IF($D1234="",0,ROUND(IF(OR($P1234="Out",$P1234="Suspended"),$Q1234*$H1234,IF($P1234="Doubtful",$Q1234*$H1234*0.5,IF($P1234="Limited",$Q1234*$H1234*0.25,0))),2))</x:f>
        <x:v>0</x:v>
      </x:c>
      <x:c r="T1234" s="55" t="str"/>
      <x:c r="U1234" s="51" t="str"/>
    </x:row>
    <x:row r="1235">
      <x:c r="A1235" s="51" t="str">
        <x:v>Panama</x:v>
      </x:c>
      <x:c r="B1235" s="51" t="str">
        <x:v>L</x:v>
      </x:c>
      <x:c r="C1235" s="51" t="n">
        <x:v>9</x:v>
      </x:c>
      <x:c r="D1235" s="71" t="str"/>
      <x:c r="E1235" s="51" t="str">
        <x:v>DM</x:v>
      </x:c>
      <x:c r="F1235" s="51" t="str">
        <x:v>Midfield</x:v>
      </x:c>
      <x:c r="G1235" s="51" t="str">
        <x:v>Starter</x:v>
      </x:c>
      <x:c r="H1235" s="55" t="n">
        <x:v>1</x:v>
      </x:c>
      <x:c r="I1235" s="51" t="str"/>
      <x:c r="J1235" s="72" t="str"/>
      <x:c r="K1235" s="72" t="str"/>
      <x:c r="L1235" s="72" t="str"/>
      <x:c r="M1235" s="72" t="str"/>
      <x:c r="N1235" s="72" t="str"/>
      <x:c r="O1235" s="72" t="str"/>
      <x:c r="P1235" s="72" t="str">
        <x:v>Available</x:v>
      </x:c>
      <x:c r="Q1235" s="72" t="n">
        <x:v>0</x:v>
      </x:c>
      <x:c r="R1235" s="55" t="str">
        <x:f>IF($D1235="","",ROUND(MAX(0,MIN(100,0.35*$J1235+0.2*$K1235+0.15*$L1235+0.15*$M1235+0.1*$N1235+0.05*$O1235-IF(OR($P1235="Out",$P1235="Suspended"),$Q1235,IF($P1235="Doubtful",$Q1235*0.5,IF($P1235="Limited",$Q1235*0.25,0))))),2))</x:f>
      </x:c>
      <x:c r="S1235" s="55" t="n">
        <x:f>IF($D1235="",0,ROUND(IF(OR($P1235="Out",$P1235="Suspended"),$Q1235*$H1235,IF($P1235="Doubtful",$Q1235*$H1235*0.5,IF($P1235="Limited",$Q1235*$H1235*0.25,0))),2))</x:f>
        <x:v>0</x:v>
      </x:c>
      <x:c r="T1235" s="55" t="str"/>
      <x:c r="U1235" s="51" t="str"/>
    </x:row>
    <x:row r="1236">
      <x:c r="A1236" s="51" t="str">
        <x:v>Panama</x:v>
      </x:c>
      <x:c r="B1236" s="51" t="str">
        <x:v>L</x:v>
      </x:c>
      <x:c r="C1236" s="51" t="n">
        <x:v>10</x:v>
      </x:c>
      <x:c r="D1236" s="71" t="str"/>
      <x:c r="E1236" s="51" t="str">
        <x:v>DM</x:v>
      </x:c>
      <x:c r="F1236" s="51" t="str">
        <x:v>Midfield</x:v>
      </x:c>
      <x:c r="G1236" s="51" t="str">
        <x:v>Starter</x:v>
      </x:c>
      <x:c r="H1236" s="55" t="n">
        <x:v>1</x:v>
      </x:c>
      <x:c r="I1236" s="51" t="str"/>
      <x:c r="J1236" s="72" t="str"/>
      <x:c r="K1236" s="72" t="str"/>
      <x:c r="L1236" s="72" t="str"/>
      <x:c r="M1236" s="72" t="str"/>
      <x:c r="N1236" s="72" t="str"/>
      <x:c r="O1236" s="72" t="str"/>
      <x:c r="P1236" s="72" t="str">
        <x:v>Available</x:v>
      </x:c>
      <x:c r="Q1236" s="72" t="n">
        <x:v>0</x:v>
      </x:c>
      <x:c r="R1236" s="55" t="str">
        <x:f>IF($D1236="","",ROUND(MAX(0,MIN(100,0.35*$J1236+0.2*$K1236+0.15*$L1236+0.15*$M1236+0.1*$N1236+0.05*$O1236-IF(OR($P1236="Out",$P1236="Suspended"),$Q1236,IF($P1236="Doubtful",$Q1236*0.5,IF($P1236="Limited",$Q1236*0.25,0))))),2))</x:f>
      </x:c>
      <x:c r="S1236" s="55" t="n">
        <x:f>IF($D1236="",0,ROUND(IF(OR($P1236="Out",$P1236="Suspended"),$Q1236*$H1236,IF($P1236="Doubtful",$Q1236*$H1236*0.5,IF($P1236="Limited",$Q1236*$H1236*0.25,0))),2))</x:f>
        <x:v>0</x:v>
      </x:c>
      <x:c r="T1236" s="55" t="str"/>
      <x:c r="U1236" s="51" t="str"/>
    </x:row>
    <x:row r="1237">
      <x:c r="A1237" s="51" t="str">
        <x:v>Panama</x:v>
      </x:c>
      <x:c r="B1237" s="51" t="str">
        <x:v>L</x:v>
      </x:c>
      <x:c r="C1237" s="51" t="n">
        <x:v>11</x:v>
      </x:c>
      <x:c r="D1237" s="71" t="str"/>
      <x:c r="E1237" s="51" t="str">
        <x:v>DM</x:v>
      </x:c>
      <x:c r="F1237" s="51" t="str">
        <x:v>Midfield</x:v>
      </x:c>
      <x:c r="G1237" s="51" t="str">
        <x:v>Starter</x:v>
      </x:c>
      <x:c r="H1237" s="55" t="n">
        <x:v>1</x:v>
      </x:c>
      <x:c r="I1237" s="51" t="str"/>
      <x:c r="J1237" s="72" t="str"/>
      <x:c r="K1237" s="72" t="str"/>
      <x:c r="L1237" s="72" t="str"/>
      <x:c r="M1237" s="72" t="str"/>
      <x:c r="N1237" s="72" t="str"/>
      <x:c r="O1237" s="72" t="str"/>
      <x:c r="P1237" s="72" t="str">
        <x:v>Available</x:v>
      </x:c>
      <x:c r="Q1237" s="72" t="n">
        <x:v>0</x:v>
      </x:c>
      <x:c r="R1237" s="55" t="str">
        <x:f>IF($D1237="","",ROUND(MAX(0,MIN(100,0.35*$J1237+0.2*$K1237+0.15*$L1237+0.15*$M1237+0.1*$N1237+0.05*$O1237-IF(OR($P1237="Out",$P1237="Suspended"),$Q1237,IF($P1237="Doubtful",$Q1237*0.5,IF($P1237="Limited",$Q1237*0.25,0))))),2))</x:f>
      </x:c>
      <x:c r="S1237" s="55" t="n">
        <x:f>IF($D1237="",0,ROUND(IF(OR($P1237="Out",$P1237="Suspended"),$Q1237*$H1237,IF($P1237="Doubtful",$Q1237*$H1237*0.5,IF($P1237="Limited",$Q1237*$H1237*0.25,0))),2))</x:f>
        <x:v>0</x:v>
      </x:c>
      <x:c r="T1237" s="55" t="str"/>
      <x:c r="U1237" s="51" t="str"/>
    </x:row>
    <x:row r="1238">
      <x:c r="A1238" s="51" t="str">
        <x:v>Panama</x:v>
      </x:c>
      <x:c r="B1238" s="51" t="str">
        <x:v>L</x:v>
      </x:c>
      <x:c r="C1238" s="51" t="n">
        <x:v>12</x:v>
      </x:c>
      <x:c r="D1238" s="71" t="str"/>
      <x:c r="E1238" s="51" t="str">
        <x:v>CM</x:v>
      </x:c>
      <x:c r="F1238" s="51" t="str">
        <x:v>Midfield</x:v>
      </x:c>
      <x:c r="G1238" s="51" t="str">
        <x:v>Rotation</x:v>
      </x:c>
      <x:c r="H1238" s="55" t="n">
        <x:v>0.35</x:v>
      </x:c>
      <x:c r="I1238" s="51" t="str"/>
      <x:c r="J1238" s="72" t="str"/>
      <x:c r="K1238" s="72" t="str"/>
      <x:c r="L1238" s="72" t="str"/>
      <x:c r="M1238" s="72" t="str"/>
      <x:c r="N1238" s="72" t="str"/>
      <x:c r="O1238" s="72" t="str"/>
      <x:c r="P1238" s="72" t="str">
        <x:v>Available</x:v>
      </x:c>
      <x:c r="Q1238" s="72" t="n">
        <x:v>0</x:v>
      </x:c>
      <x:c r="R1238" s="55" t="str">
        <x:f>IF($D1238="","",ROUND(MAX(0,MIN(100,0.35*$J1238+0.2*$K1238+0.15*$L1238+0.15*$M1238+0.1*$N1238+0.05*$O1238-IF(OR($P1238="Out",$P1238="Suspended"),$Q1238,IF($P1238="Doubtful",$Q1238*0.5,IF($P1238="Limited",$Q1238*0.25,0))))),2))</x:f>
      </x:c>
      <x:c r="S1238" s="55" t="n">
        <x:f>IF($D1238="",0,ROUND(IF(OR($P1238="Out",$P1238="Suspended"),$Q1238*$H1238,IF($P1238="Doubtful",$Q1238*$H1238*0.5,IF($P1238="Limited",$Q1238*$H1238*0.25,0))),2))</x:f>
        <x:v>0</x:v>
      </x:c>
      <x:c r="T1238" s="55" t="str"/>
      <x:c r="U1238" s="51" t="str"/>
    </x:row>
    <x:row r="1239">
      <x:c r="A1239" s="51" t="str">
        <x:v>Panama</x:v>
      </x:c>
      <x:c r="B1239" s="51" t="str">
        <x:v>L</x:v>
      </x:c>
      <x:c r="C1239" s="51" t="n">
        <x:v>13</x:v>
      </x:c>
      <x:c r="D1239" s="71" t="str"/>
      <x:c r="E1239" s="51" t="str">
        <x:v>CM</x:v>
      </x:c>
      <x:c r="F1239" s="51" t="str">
        <x:v>Midfield</x:v>
      </x:c>
      <x:c r="G1239" s="51" t="str">
        <x:v>Rotation</x:v>
      </x:c>
      <x:c r="H1239" s="55" t="n">
        <x:v>0.35</x:v>
      </x:c>
      <x:c r="I1239" s="51" t="str"/>
      <x:c r="J1239" s="72" t="str"/>
      <x:c r="K1239" s="72" t="str"/>
      <x:c r="L1239" s="72" t="str"/>
      <x:c r="M1239" s="72" t="str"/>
      <x:c r="N1239" s="72" t="str"/>
      <x:c r="O1239" s="72" t="str"/>
      <x:c r="P1239" s="72" t="str">
        <x:v>Available</x:v>
      </x:c>
      <x:c r="Q1239" s="72" t="n">
        <x:v>0</x:v>
      </x:c>
      <x:c r="R1239" s="55" t="str">
        <x:f>IF($D1239="","",ROUND(MAX(0,MIN(100,0.35*$J1239+0.2*$K1239+0.15*$L1239+0.15*$M1239+0.1*$N1239+0.05*$O1239-IF(OR($P1239="Out",$P1239="Suspended"),$Q1239,IF($P1239="Doubtful",$Q1239*0.5,IF($P1239="Limited",$Q1239*0.25,0))))),2))</x:f>
      </x:c>
      <x:c r="S1239" s="55" t="n">
        <x:f>IF($D1239="",0,ROUND(IF(OR($P1239="Out",$P1239="Suspended"),$Q1239*$H1239,IF($P1239="Doubtful",$Q1239*$H1239*0.5,IF($P1239="Limited",$Q1239*$H1239*0.25,0))),2))</x:f>
        <x:v>0</x:v>
      </x:c>
      <x:c r="T1239" s="55" t="str"/>
      <x:c r="U1239" s="51" t="str"/>
    </x:row>
    <x:row r="1240">
      <x:c r="A1240" s="51" t="str">
        <x:v>Panama</x:v>
      </x:c>
      <x:c r="B1240" s="51" t="str">
        <x:v>L</x:v>
      </x:c>
      <x:c r="C1240" s="51" t="n">
        <x:v>14</x:v>
      </x:c>
      <x:c r="D1240" s="71" t="str"/>
      <x:c r="E1240" s="51" t="str">
        <x:v>CM</x:v>
      </x:c>
      <x:c r="F1240" s="51" t="str">
        <x:v>Midfield</x:v>
      </x:c>
      <x:c r="G1240" s="51" t="str">
        <x:v>Rotation</x:v>
      </x:c>
      <x:c r="H1240" s="55" t="n">
        <x:v>0.35</x:v>
      </x:c>
      <x:c r="I1240" s="51" t="str"/>
      <x:c r="J1240" s="72" t="str"/>
      <x:c r="K1240" s="72" t="str"/>
      <x:c r="L1240" s="72" t="str"/>
      <x:c r="M1240" s="72" t="str"/>
      <x:c r="N1240" s="72" t="str"/>
      <x:c r="O1240" s="72" t="str"/>
      <x:c r="P1240" s="72" t="str">
        <x:v>Available</x:v>
      </x:c>
      <x:c r="Q1240" s="72" t="n">
        <x:v>0</x:v>
      </x:c>
      <x:c r="R1240" s="55" t="str">
        <x:f>IF($D1240="","",ROUND(MAX(0,MIN(100,0.35*$J1240+0.2*$K1240+0.15*$L1240+0.15*$M1240+0.1*$N1240+0.05*$O1240-IF(OR($P1240="Out",$P1240="Suspended"),$Q1240,IF($P1240="Doubtful",$Q1240*0.5,IF($P1240="Limited",$Q1240*0.25,0))))),2))</x:f>
      </x:c>
      <x:c r="S1240" s="55" t="n">
        <x:f>IF($D1240="",0,ROUND(IF(OR($P1240="Out",$P1240="Suspended"),$Q1240*$H1240,IF($P1240="Doubtful",$Q1240*$H1240*0.5,IF($P1240="Limited",$Q1240*$H1240*0.25,0))),2))</x:f>
        <x:v>0</x:v>
      </x:c>
      <x:c r="T1240" s="55" t="str"/>
      <x:c r="U1240" s="51" t="str"/>
    </x:row>
    <x:row r="1241">
      <x:c r="A1241" s="51" t="str">
        <x:v>Panama</x:v>
      </x:c>
      <x:c r="B1241" s="51" t="str">
        <x:v>L</x:v>
      </x:c>
      <x:c r="C1241" s="51" t="n">
        <x:v>15</x:v>
      </x:c>
      <x:c r="D1241" s="71" t="str"/>
      <x:c r="E1241" s="51" t="str">
        <x:v>CM</x:v>
      </x:c>
      <x:c r="F1241" s="51" t="str">
        <x:v>Midfield</x:v>
      </x:c>
      <x:c r="G1241" s="51" t="str">
        <x:v>Rotation</x:v>
      </x:c>
      <x:c r="H1241" s="55" t="n">
        <x:v>0.35</x:v>
      </x:c>
      <x:c r="I1241" s="51" t="str"/>
      <x:c r="J1241" s="72" t="str"/>
      <x:c r="K1241" s="72" t="str"/>
      <x:c r="L1241" s="72" t="str"/>
      <x:c r="M1241" s="72" t="str"/>
      <x:c r="N1241" s="72" t="str"/>
      <x:c r="O1241" s="72" t="str"/>
      <x:c r="P1241" s="72" t="str">
        <x:v>Available</x:v>
      </x:c>
      <x:c r="Q1241" s="72" t="n">
        <x:v>0</x:v>
      </x:c>
      <x:c r="R1241" s="55" t="str">
        <x:f>IF($D1241="","",ROUND(MAX(0,MIN(100,0.35*$J1241+0.2*$K1241+0.15*$L1241+0.15*$M1241+0.1*$N1241+0.05*$O1241-IF(OR($P1241="Out",$P1241="Suspended"),$Q1241,IF($P1241="Doubtful",$Q1241*0.5,IF($P1241="Limited",$Q1241*0.25,0))))),2))</x:f>
      </x:c>
      <x:c r="S1241" s="55" t="n">
        <x:f>IF($D1241="",0,ROUND(IF(OR($P1241="Out",$P1241="Suspended"),$Q1241*$H1241,IF($P1241="Doubtful",$Q1241*$H1241*0.5,IF($P1241="Limited",$Q1241*$H1241*0.25,0))),2))</x:f>
        <x:v>0</x:v>
      </x:c>
      <x:c r="T1241" s="55" t="str"/>
      <x:c r="U1241" s="51" t="str"/>
    </x:row>
    <x:row r="1242">
      <x:c r="A1242" s="51" t="str">
        <x:v>Panama</x:v>
      </x:c>
      <x:c r="B1242" s="51" t="str">
        <x:v>L</x:v>
      </x:c>
      <x:c r="C1242" s="51" t="n">
        <x:v>16</x:v>
      </x:c>
      <x:c r="D1242" s="71" t="str"/>
      <x:c r="E1242" s="51" t="str">
        <x:v>AM</x:v>
      </x:c>
      <x:c r="F1242" s="51" t="str">
        <x:v>Attack</x:v>
      </x:c>
      <x:c r="G1242" s="51" t="str">
        <x:v>Rotation</x:v>
      </x:c>
      <x:c r="H1242" s="55" t="n">
        <x:v>0.35</x:v>
      </x:c>
      <x:c r="I1242" s="51" t="str"/>
      <x:c r="J1242" s="72" t="str"/>
      <x:c r="K1242" s="72" t="str"/>
      <x:c r="L1242" s="72" t="str"/>
      <x:c r="M1242" s="72" t="str"/>
      <x:c r="N1242" s="72" t="str"/>
      <x:c r="O1242" s="72" t="str"/>
      <x:c r="P1242" s="72" t="str">
        <x:v>Available</x:v>
      </x:c>
      <x:c r="Q1242" s="72" t="n">
        <x:v>0</x:v>
      </x:c>
      <x:c r="R1242" s="55" t="str">
        <x:f>IF($D1242="","",ROUND(MAX(0,MIN(100,0.35*$J1242+0.2*$K1242+0.15*$L1242+0.15*$M1242+0.1*$N1242+0.05*$O1242-IF(OR($P1242="Out",$P1242="Suspended"),$Q1242,IF($P1242="Doubtful",$Q1242*0.5,IF($P1242="Limited",$Q1242*0.25,0))))),2))</x:f>
      </x:c>
      <x:c r="S1242" s="55" t="n">
        <x:f>IF($D1242="",0,ROUND(IF(OR($P1242="Out",$P1242="Suspended"),$Q1242*$H1242,IF($P1242="Doubtful",$Q1242*$H1242*0.5,IF($P1242="Limited",$Q1242*$H1242*0.25,0))),2))</x:f>
        <x:v>0</x:v>
      </x:c>
      <x:c r="T1242" s="55" t="str"/>
      <x:c r="U1242" s="51" t="str"/>
    </x:row>
    <x:row r="1243">
      <x:c r="A1243" s="51" t="str">
        <x:v>Panama</x:v>
      </x:c>
      <x:c r="B1243" s="51" t="str">
        <x:v>L</x:v>
      </x:c>
      <x:c r="C1243" s="51" t="n">
        <x:v>17</x:v>
      </x:c>
      <x:c r="D1243" s="71" t="str"/>
      <x:c r="E1243" s="51" t="str">
        <x:v>AM</x:v>
      </x:c>
      <x:c r="F1243" s="51" t="str">
        <x:v>Attack</x:v>
      </x:c>
      <x:c r="G1243" s="51" t="str">
        <x:v>Rotation</x:v>
      </x:c>
      <x:c r="H1243" s="55" t="n">
        <x:v>0.35</x:v>
      </x:c>
      <x:c r="I1243" s="51" t="str"/>
      <x:c r="J1243" s="72" t="str"/>
      <x:c r="K1243" s="72" t="str"/>
      <x:c r="L1243" s="72" t="str"/>
      <x:c r="M1243" s="72" t="str"/>
      <x:c r="N1243" s="72" t="str"/>
      <x:c r="O1243" s="72" t="str"/>
      <x:c r="P1243" s="72" t="str">
        <x:v>Available</x:v>
      </x:c>
      <x:c r="Q1243" s="72" t="n">
        <x:v>0</x:v>
      </x:c>
      <x:c r="R1243" s="55" t="str">
        <x:f>IF($D1243="","",ROUND(MAX(0,MIN(100,0.35*$J1243+0.2*$K1243+0.15*$L1243+0.15*$M1243+0.1*$N1243+0.05*$O1243-IF(OR($P1243="Out",$P1243="Suspended"),$Q1243,IF($P1243="Doubtful",$Q1243*0.5,IF($P1243="Limited",$Q1243*0.25,0))))),2))</x:f>
      </x:c>
      <x:c r="S1243" s="55" t="n">
        <x:f>IF($D1243="",0,ROUND(IF(OR($P1243="Out",$P1243="Suspended"),$Q1243*$H1243,IF($P1243="Doubtful",$Q1243*$H1243*0.5,IF($P1243="Limited",$Q1243*$H1243*0.25,0))),2))</x:f>
        <x:v>0</x:v>
      </x:c>
      <x:c r="T1243" s="55" t="str"/>
      <x:c r="U1243" s="51" t="str"/>
    </x:row>
    <x:row r="1244">
      <x:c r="A1244" s="51" t="str">
        <x:v>Panama</x:v>
      </x:c>
      <x:c r="B1244" s="51" t="str">
        <x:v>L</x:v>
      </x:c>
      <x:c r="C1244" s="51" t="n">
        <x:v>18</x:v>
      </x:c>
      <x:c r="D1244" s="71" t="str"/>
      <x:c r="E1244" s="51" t="str">
        <x:v>AM</x:v>
      </x:c>
      <x:c r="F1244" s="51" t="str">
        <x:v>Attack</x:v>
      </x:c>
      <x:c r="G1244" s="51" t="str">
        <x:v>Rotation</x:v>
      </x:c>
      <x:c r="H1244" s="55" t="n">
        <x:v>0.35</x:v>
      </x:c>
      <x:c r="I1244" s="51" t="str"/>
      <x:c r="J1244" s="72" t="str"/>
      <x:c r="K1244" s="72" t="str"/>
      <x:c r="L1244" s="72" t="str"/>
      <x:c r="M1244" s="72" t="str"/>
      <x:c r="N1244" s="72" t="str"/>
      <x:c r="O1244" s="72" t="str"/>
      <x:c r="P1244" s="72" t="str">
        <x:v>Available</x:v>
      </x:c>
      <x:c r="Q1244" s="72" t="n">
        <x:v>0</x:v>
      </x:c>
      <x:c r="R1244" s="55" t="str">
        <x:f>IF($D1244="","",ROUND(MAX(0,MIN(100,0.35*$J1244+0.2*$K1244+0.15*$L1244+0.15*$M1244+0.1*$N1244+0.05*$O1244-IF(OR($P1244="Out",$P1244="Suspended"),$Q1244,IF($P1244="Doubtful",$Q1244*0.5,IF($P1244="Limited",$Q1244*0.25,0))))),2))</x:f>
      </x:c>
      <x:c r="S1244" s="55" t="n">
        <x:f>IF($D1244="",0,ROUND(IF(OR($P1244="Out",$P1244="Suspended"),$Q1244*$H1244,IF($P1244="Doubtful",$Q1244*$H1244*0.5,IF($P1244="Limited",$Q1244*$H1244*0.25,0))),2))</x:f>
        <x:v>0</x:v>
      </x:c>
      <x:c r="T1244" s="55" t="str"/>
      <x:c r="U1244" s="51" t="str"/>
    </x:row>
    <x:row r="1245">
      <x:c r="A1245" s="51" t="str">
        <x:v>Panama</x:v>
      </x:c>
      <x:c r="B1245" s="51" t="str">
        <x:v>L</x:v>
      </x:c>
      <x:c r="C1245" s="51" t="n">
        <x:v>19</x:v>
      </x:c>
      <x:c r="D1245" s="71" t="str"/>
      <x:c r="E1245" s="51" t="str">
        <x:v>AM</x:v>
      </x:c>
      <x:c r="F1245" s="51" t="str">
        <x:v>Attack</x:v>
      </x:c>
      <x:c r="G1245" s="51" t="str">
        <x:v>Rotation</x:v>
      </x:c>
      <x:c r="H1245" s="55" t="n">
        <x:v>0.35</x:v>
      </x:c>
      <x:c r="I1245" s="51" t="str"/>
      <x:c r="J1245" s="72" t="str"/>
      <x:c r="K1245" s="72" t="str"/>
      <x:c r="L1245" s="72" t="str"/>
      <x:c r="M1245" s="72" t="str"/>
      <x:c r="N1245" s="72" t="str"/>
      <x:c r="O1245" s="72" t="str"/>
      <x:c r="P1245" s="72" t="str">
        <x:v>Available</x:v>
      </x:c>
      <x:c r="Q1245" s="72" t="n">
        <x:v>0</x:v>
      </x:c>
      <x:c r="R1245" s="55" t="str">
        <x:f>IF($D1245="","",ROUND(MAX(0,MIN(100,0.35*$J1245+0.2*$K1245+0.15*$L1245+0.15*$M1245+0.1*$N1245+0.05*$O1245-IF(OR($P1245="Out",$P1245="Suspended"),$Q1245,IF($P1245="Doubtful",$Q1245*0.5,IF($P1245="Limited",$Q1245*0.25,0))))),2))</x:f>
      </x:c>
      <x:c r="S1245" s="55" t="n">
        <x:f>IF($D1245="",0,ROUND(IF(OR($P1245="Out",$P1245="Suspended"),$Q1245*$H1245,IF($P1245="Doubtful",$Q1245*$H1245*0.5,IF($P1245="Limited",$Q1245*$H1245*0.25,0))),2))</x:f>
        <x:v>0</x:v>
      </x:c>
      <x:c r="T1245" s="55" t="str"/>
      <x:c r="U1245" s="51" t="str"/>
    </x:row>
    <x:row r="1246">
      <x:c r="A1246" s="51" t="str">
        <x:v>Panama</x:v>
      </x:c>
      <x:c r="B1246" s="51" t="str">
        <x:v>L</x:v>
      </x:c>
      <x:c r="C1246" s="51" t="n">
        <x:v>20</x:v>
      </x:c>
      <x:c r="D1246" s="71" t="str"/>
      <x:c r="E1246" s="51" t="str">
        <x:v>Winger</x:v>
      </x:c>
      <x:c r="F1246" s="51" t="str">
        <x:v>Attack</x:v>
      </x:c>
      <x:c r="G1246" s="51" t="str">
        <x:v>Rotation</x:v>
      </x:c>
      <x:c r="H1246" s="55" t="n">
        <x:v>0.35</x:v>
      </x:c>
      <x:c r="I1246" s="51" t="str"/>
      <x:c r="J1246" s="72" t="str"/>
      <x:c r="K1246" s="72" t="str"/>
      <x:c r="L1246" s="72" t="str"/>
      <x:c r="M1246" s="72" t="str"/>
      <x:c r="N1246" s="72" t="str"/>
      <x:c r="O1246" s="72" t="str"/>
      <x:c r="P1246" s="72" t="str">
        <x:v>Available</x:v>
      </x:c>
      <x:c r="Q1246" s="72" t="n">
        <x:v>0</x:v>
      </x:c>
      <x:c r="R1246" s="55" t="str">
        <x:f>IF($D1246="","",ROUND(MAX(0,MIN(100,0.35*$J1246+0.2*$K1246+0.15*$L1246+0.15*$M1246+0.1*$N1246+0.05*$O1246-IF(OR($P1246="Out",$P1246="Suspended"),$Q1246,IF($P1246="Doubtful",$Q1246*0.5,IF($P1246="Limited",$Q1246*0.25,0))))),2))</x:f>
      </x:c>
      <x:c r="S1246" s="55" t="n">
        <x:f>IF($D1246="",0,ROUND(IF(OR($P1246="Out",$P1246="Suspended"),$Q1246*$H1246,IF($P1246="Doubtful",$Q1246*$H1246*0.5,IF($P1246="Limited",$Q1246*$H1246*0.25,0))),2))</x:f>
        <x:v>0</x:v>
      </x:c>
      <x:c r="T1246" s="55" t="str"/>
      <x:c r="U1246" s="51" t="str"/>
    </x:row>
    <x:row r="1247">
      <x:c r="A1247" s="51" t="str">
        <x:v>Panama</x:v>
      </x:c>
      <x:c r="B1247" s="51" t="str">
        <x:v>L</x:v>
      </x:c>
      <x:c r="C1247" s="51" t="n">
        <x:v>21</x:v>
      </x:c>
      <x:c r="D1247" s="71" t="str"/>
      <x:c r="E1247" s="51" t="str">
        <x:v>Winger</x:v>
      </x:c>
      <x:c r="F1247" s="51" t="str">
        <x:v>Attack</x:v>
      </x:c>
      <x:c r="G1247" s="51" t="str">
        <x:v>Depth</x:v>
      </x:c>
      <x:c r="H1247" s="55" t="n">
        <x:v>0.1</x:v>
      </x:c>
      <x:c r="I1247" s="51" t="str"/>
      <x:c r="J1247" s="72" t="str"/>
      <x:c r="K1247" s="72" t="str"/>
      <x:c r="L1247" s="72" t="str"/>
      <x:c r="M1247" s="72" t="str"/>
      <x:c r="N1247" s="72" t="str"/>
      <x:c r="O1247" s="72" t="str"/>
      <x:c r="P1247" s="72" t="str">
        <x:v>Available</x:v>
      </x:c>
      <x:c r="Q1247" s="72" t="n">
        <x:v>0</x:v>
      </x:c>
      <x:c r="R1247" s="55" t="str">
        <x:f>IF($D1247="","",ROUND(MAX(0,MIN(100,0.35*$J1247+0.2*$K1247+0.15*$L1247+0.15*$M1247+0.1*$N1247+0.05*$O1247-IF(OR($P1247="Out",$P1247="Suspended"),$Q1247,IF($P1247="Doubtful",$Q1247*0.5,IF($P1247="Limited",$Q1247*0.25,0))))),2))</x:f>
      </x:c>
      <x:c r="S1247" s="55" t="n">
        <x:f>IF($D1247="",0,ROUND(IF(OR($P1247="Out",$P1247="Suspended"),$Q1247*$H1247,IF($P1247="Doubtful",$Q1247*$H1247*0.5,IF($P1247="Limited",$Q1247*$H1247*0.25,0))),2))</x:f>
        <x:v>0</x:v>
      </x:c>
      <x:c r="T1247" s="55" t="str"/>
      <x:c r="U1247" s="51" t="str"/>
    </x:row>
    <x:row r="1248">
      <x:c r="A1248" s="51" t="str">
        <x:v>Panama</x:v>
      </x:c>
      <x:c r="B1248" s="51" t="str">
        <x:v>L</x:v>
      </x:c>
      <x:c r="C1248" s="51" t="n">
        <x:v>22</x:v>
      </x:c>
      <x:c r="D1248" s="71" t="str"/>
      <x:c r="E1248" s="51" t="str">
        <x:v>Winger</x:v>
      </x:c>
      <x:c r="F1248" s="51" t="str">
        <x:v>Attack</x:v>
      </x:c>
      <x:c r="G1248" s="51" t="str">
        <x:v>Depth</x:v>
      </x:c>
      <x:c r="H1248" s="55" t="n">
        <x:v>0.1</x:v>
      </x:c>
      <x:c r="I1248" s="51" t="str"/>
      <x:c r="J1248" s="72" t="str"/>
      <x:c r="K1248" s="72" t="str"/>
      <x:c r="L1248" s="72" t="str"/>
      <x:c r="M1248" s="72" t="str"/>
      <x:c r="N1248" s="72" t="str"/>
      <x:c r="O1248" s="72" t="str"/>
      <x:c r="P1248" s="72" t="str">
        <x:v>Available</x:v>
      </x:c>
      <x:c r="Q1248" s="72" t="n">
        <x:v>0</x:v>
      </x:c>
      <x:c r="R1248" s="55" t="str">
        <x:f>IF($D1248="","",ROUND(MAX(0,MIN(100,0.35*$J1248+0.2*$K1248+0.15*$L1248+0.15*$M1248+0.1*$N1248+0.05*$O1248-IF(OR($P1248="Out",$P1248="Suspended"),$Q1248,IF($P1248="Doubtful",$Q1248*0.5,IF($P1248="Limited",$Q1248*0.25,0))))),2))</x:f>
      </x:c>
      <x:c r="S1248" s="55" t="n">
        <x:f>IF($D1248="",0,ROUND(IF(OR($P1248="Out",$P1248="Suspended"),$Q1248*$H1248,IF($P1248="Doubtful",$Q1248*$H1248*0.5,IF($P1248="Limited",$Q1248*$H1248*0.25,0))),2))</x:f>
        <x:v>0</x:v>
      </x:c>
      <x:c r="T1248" s="55" t="str"/>
      <x:c r="U1248" s="51" t="str"/>
    </x:row>
    <x:row r="1249">
      <x:c r="A1249" s="51" t="str">
        <x:v>Panama</x:v>
      </x:c>
      <x:c r="B1249" s="51" t="str">
        <x:v>L</x:v>
      </x:c>
      <x:c r="C1249" s="51" t="n">
        <x:v>23</x:v>
      </x:c>
      <x:c r="D1249" s="71" t="str"/>
      <x:c r="E1249" s="51" t="str">
        <x:v>Winger</x:v>
      </x:c>
      <x:c r="F1249" s="51" t="str">
        <x:v>Attack</x:v>
      </x:c>
      <x:c r="G1249" s="51" t="str">
        <x:v>Depth</x:v>
      </x:c>
      <x:c r="H1249" s="55" t="n">
        <x:v>0.1</x:v>
      </x:c>
      <x:c r="I1249" s="51" t="str"/>
      <x:c r="J1249" s="72" t="str"/>
      <x:c r="K1249" s="72" t="str"/>
      <x:c r="L1249" s="72" t="str"/>
      <x:c r="M1249" s="72" t="str"/>
      <x:c r="N1249" s="72" t="str"/>
      <x:c r="O1249" s="72" t="str"/>
      <x:c r="P1249" s="72" t="str">
        <x:v>Available</x:v>
      </x:c>
      <x:c r="Q1249" s="72" t="n">
        <x:v>0</x:v>
      </x:c>
      <x:c r="R1249" s="55" t="str">
        <x:f>IF($D1249="","",ROUND(MAX(0,MIN(100,0.35*$J1249+0.2*$K1249+0.15*$L1249+0.15*$M1249+0.1*$N1249+0.05*$O1249-IF(OR($P1249="Out",$P1249="Suspended"),$Q1249,IF($P1249="Doubtful",$Q1249*0.5,IF($P1249="Limited",$Q1249*0.25,0))))),2))</x:f>
      </x:c>
      <x:c r="S1249" s="55" t="n">
        <x:f>IF($D1249="",0,ROUND(IF(OR($P1249="Out",$P1249="Suspended"),$Q1249*$H1249,IF($P1249="Doubtful",$Q1249*$H1249*0.5,IF($P1249="Limited",$Q1249*$H1249*0.25,0))),2))</x:f>
        <x:v>0</x:v>
      </x:c>
      <x:c r="T1249" s="55" t="str"/>
      <x:c r="U1249" s="51" t="str"/>
    </x:row>
    <x:row r="1250">
      <x:c r="A1250" s="51" t="str">
        <x:v>Panama</x:v>
      </x:c>
      <x:c r="B1250" s="51" t="str">
        <x:v>L</x:v>
      </x:c>
      <x:c r="C1250" s="51" t="n">
        <x:v>24</x:v>
      </x:c>
      <x:c r="D1250" s="71" t="str"/>
      <x:c r="E1250" s="51" t="str">
        <x:v>ST</x:v>
      </x:c>
      <x:c r="F1250" s="51" t="str">
        <x:v>Attack</x:v>
      </x:c>
      <x:c r="G1250" s="51" t="str">
        <x:v>Depth</x:v>
      </x:c>
      <x:c r="H1250" s="55" t="n">
        <x:v>0.1</x:v>
      </x:c>
      <x:c r="I1250" s="51" t="str"/>
      <x:c r="J1250" s="72" t="str"/>
      <x:c r="K1250" s="72" t="str"/>
      <x:c r="L1250" s="72" t="str"/>
      <x:c r="M1250" s="72" t="str"/>
      <x:c r="N1250" s="72" t="str"/>
      <x:c r="O1250" s="72" t="str"/>
      <x:c r="P1250" s="72" t="str">
        <x:v>Available</x:v>
      </x:c>
      <x:c r="Q1250" s="72" t="n">
        <x:v>0</x:v>
      </x:c>
      <x:c r="R1250" s="55" t="str">
        <x:f>IF($D1250="","",ROUND(MAX(0,MIN(100,0.35*$J1250+0.2*$K1250+0.15*$L1250+0.15*$M1250+0.1*$N1250+0.05*$O1250-IF(OR($P1250="Out",$P1250="Suspended"),$Q1250,IF($P1250="Doubtful",$Q1250*0.5,IF($P1250="Limited",$Q1250*0.25,0))))),2))</x:f>
      </x:c>
      <x:c r="S1250" s="55" t="n">
        <x:f>IF($D1250="",0,ROUND(IF(OR($P1250="Out",$P1250="Suspended"),$Q1250*$H1250,IF($P1250="Doubtful",$Q1250*$H1250*0.5,IF($P1250="Limited",$Q1250*$H1250*0.25,0))),2))</x:f>
        <x:v>0</x:v>
      </x:c>
      <x:c r="T1250" s="55" t="str"/>
      <x:c r="U1250" s="51" t="str"/>
    </x:row>
    <x:row r="1251">
      <x:c r="A1251" s="51" t="str">
        <x:v>Panama</x:v>
      </x:c>
      <x:c r="B1251" s="51" t="str">
        <x:v>L</x:v>
      </x:c>
      <x:c r="C1251" s="51" t="n">
        <x:v>25</x:v>
      </x:c>
      <x:c r="D1251" s="71" t="str"/>
      <x:c r="E1251" s="51" t="str">
        <x:v>ST</x:v>
      </x:c>
      <x:c r="F1251" s="51" t="str">
        <x:v>Attack</x:v>
      </x:c>
      <x:c r="G1251" s="51" t="str">
        <x:v>Depth</x:v>
      </x:c>
      <x:c r="H1251" s="55" t="n">
        <x:v>0.1</x:v>
      </x:c>
      <x:c r="I1251" s="51" t="str"/>
      <x:c r="J1251" s="72" t="str"/>
      <x:c r="K1251" s="72" t="str"/>
      <x:c r="L1251" s="72" t="str"/>
      <x:c r="M1251" s="72" t="str"/>
      <x:c r="N1251" s="72" t="str"/>
      <x:c r="O1251" s="72" t="str"/>
      <x:c r="P1251" s="72" t="str">
        <x:v>Available</x:v>
      </x:c>
      <x:c r="Q1251" s="72" t="n">
        <x:v>0</x:v>
      </x:c>
      <x:c r="R1251" s="55" t="str">
        <x:f>IF($D1251="","",ROUND(MAX(0,MIN(100,0.35*$J1251+0.2*$K1251+0.15*$L1251+0.15*$M1251+0.1*$N1251+0.05*$O1251-IF(OR($P1251="Out",$P1251="Suspended"),$Q1251,IF($P1251="Doubtful",$Q1251*0.5,IF($P1251="Limited",$Q1251*0.25,0))))),2))</x:f>
      </x:c>
      <x:c r="S1251" s="55" t="n">
        <x:f>IF($D1251="",0,ROUND(IF(OR($P1251="Out",$P1251="Suspended"),$Q1251*$H1251,IF($P1251="Doubtful",$Q1251*$H1251*0.5,IF($P1251="Limited",$Q1251*$H1251*0.25,0))),2))</x:f>
        <x:v>0</x:v>
      </x:c>
      <x:c r="T1251" s="55" t="str"/>
      <x:c r="U1251" s="51" t="str"/>
    </x:row>
    <x:row r="1252">
      <x:c r="A1252" s="51" t="str">
        <x:v>Panama</x:v>
      </x:c>
      <x:c r="B1252" s="51" t="str">
        <x:v>L</x:v>
      </x:c>
      <x:c r="C1252" s="51" t="n">
        <x:v>26</x:v>
      </x:c>
      <x:c r="D1252" s="71" t="str"/>
      <x:c r="E1252" s="51" t="str">
        <x:v>ST</x:v>
      </x:c>
      <x:c r="F1252" s="51" t="str">
        <x:v>Attack</x:v>
      </x:c>
      <x:c r="G1252" s="51" t="str">
        <x:v>Depth</x:v>
      </x:c>
      <x:c r="H1252" s="55" t="n">
        <x:v>0.1</x:v>
      </x:c>
      <x:c r="I1252" s="51" t="str"/>
      <x:c r="J1252" s="72" t="str"/>
      <x:c r="K1252" s="72" t="str"/>
      <x:c r="L1252" s="72" t="str"/>
      <x:c r="M1252" s="72" t="str"/>
      <x:c r="N1252" s="72" t="str"/>
      <x:c r="O1252" s="72" t="str"/>
      <x:c r="P1252" s="72" t="str">
        <x:v>Available</x:v>
      </x:c>
      <x:c r="Q1252" s="72" t="n">
        <x:v>0</x:v>
      </x:c>
      <x:c r="R1252" s="55" t="str">
        <x:f>IF($D1252="","",ROUND(MAX(0,MIN(100,0.35*$J1252+0.2*$K1252+0.15*$L1252+0.15*$M1252+0.1*$N1252+0.05*$O1252-IF(OR($P1252="Out",$P1252="Suspended"),$Q1252,IF($P1252="Doubtful",$Q1252*0.5,IF($P1252="Limited",$Q1252*0.25,0))))),2))</x:f>
      </x:c>
      <x:c r="S1252" s="55" t="n">
        <x:f>IF($D1252="",0,ROUND(IF(OR($P1252="Out",$P1252="Suspended"),$Q1252*$H1252,IF($P1252="Doubtful",$Q1252*$H1252*0.5,IF($P1252="Limited",$Q1252*$H1252*0.25,0))),2))</x:f>
        <x:v>0</x:v>
      </x:c>
      <x:c r="T1252" s="55" t="str"/>
      <x:c r="U1252" s="51" t="str"/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663000a6cf8c40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8.889999389648438" hidden="0" customWidth="1"/>
    <x:col min="3" max="3" width="17.219999313354492" hidden="0" customWidth="1"/>
    <x:col min="4" max="4" width="17.219999313354492" hidden="0" customWidth="1"/>
    <x:col min="5" max="5" width="16.670000076293945" hidden="0" customWidth="1"/>
    <x:col min="6" max="6" width="17.780000686645508" hidden="0" customWidth="1"/>
    <x:col min="7" max="7" width="17.780000686645508" hidden="0" customWidth="1"/>
    <x:col min="8" max="8" width="11.109999656677246" hidden="0" customWidth="1"/>
    <x:col min="9" max="9" width="16.110000610351562" hidden="0" customWidth="1"/>
    <x:col min="10" max="10" width="16.670000076293945" hidden="0" customWidth="1"/>
    <x:col min="11" max="11" width="15" hidden="0" customWidth="1"/>
    <x:col min="12" max="12" width="30.559999465942383" hidden="0" customWidth="1"/>
    <x:col min="13" max="13" width="22.219999313354492" hidden="0" customWidth="1"/>
  </x:cols>
  <x:sheetData>
    <x:row r="1" ht="25.5" customHeight="1">
      <x:c r="A1" s="47" t="str">
        <x:v>Team Scoring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6" customHeight="1">
      <x:c r="A2" s="49" t="str">
        <x:v>Calculated squad, XI, bench, unit, and availability scores. Blank player data falls back to Seed Profiles so the workbook is immediately model-compatible.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>
      <x:c r="A4" s="60" t="str">
        <x:v>Group</x:v>
      </x:c>
      <x:c r="B4" s="60" t="str">
        <x:v>Team</x:v>
      </x:c>
      <x:c r="C4" s="60" t="str">
        <x:v>Squad Quality Score</x:v>
      </x:c>
      <x:c r="D4" s="60" t="str">
        <x:v>Expected XI Score</x:v>
      </x:c>
      <x:c r="E4" s="60" t="str">
        <x:v>Bench Depth Score</x:v>
      </x:c>
      <x:c r="F4" s="60" t="str">
        <x:v>Defensive Spine Score</x:v>
      </x:c>
      <x:c r="G4" s="60" t="str">
        <x:v>Attack Ceiling Score</x:v>
      </x:c>
      <x:c r="H4" s="60" t="str">
        <x:v>GK Score</x:v>
      </x:c>
      <x:c r="I4" s="60" t="str">
        <x:v>Availability Score</x:v>
      </x:c>
      <x:c r="J4" s="60" t="str">
        <x:v>Complete Ratings %</x:v>
      </x:c>
      <x:c r="K4" s="60" t="str">
        <x:v>Players Entered</x:v>
      </x:c>
      <x:c r="L4" s="60" t="str">
        <x:v>Squad Source Status</x:v>
      </x:c>
      <x:c r="M4" s="60" t="str">
        <x:v>Notes</x:v>
      </x:c>
    </x:row>
    <x:row r="5">
      <x:c r="A5" s="51" t="str">
        <x:v>A</x:v>
      </x:c>
      <x:c r="B5" s="51" t="str">
        <x:v>Czech Republic</x:v>
      </x:c>
      <x:c r="C5" s="55" t="n">
        <x:f>IF($K5=0,'Seed Profiles'!E5,ROUND(0.45*$D5+0.25*$E5+0.12*$F5+0.12*$G5+0.06*$H5,2))</x:f>
        <x:v>71</x:v>
      </x:c>
      <x:c r="D5" s="55" t="n">
        <x:f>IFERROR(ROUND(AVERAGEIFS('Player Ratings'!$R$5:$R$1252,'Player Ratings'!$A$5:$A$1252,$B5,'Player Ratings'!$G$5:$G$1252,"Starter"),2),'Seed Profiles'!F5)</x:f>
        <x:v>71</x:v>
      </x:c>
      <x:c r="E5" s="55" t="n">
        <x:f>IFERROR(ROUND(AVERAGEIFS('Player Ratings'!$R$5:$R$1252,'Player Ratings'!$A$5:$A$1252,$B5,'Player Ratings'!$G$5:$G$1252,"Rotation"),2),'Seed Profiles'!G5)</x:f>
        <x:v>68</x:v>
      </x:c>
      <x:c r="F5" s="55" t="n">
        <x:f>IFERROR(ROUND(AVERAGEIFS('Player Ratings'!$R$5:$R$1252,'Player Ratings'!$A$5:$A$1252,$B5,'Player Ratings'!$F$5:$F$1252,"Defence",'Player Ratings'!$G$5:$G$1252,"Starter"),2),$D5)</x:f>
        <x:v>71</x:v>
      </x:c>
      <x:c r="G5" s="55" t="n">
        <x:f>IFERROR(ROUND(AVERAGEIFS('Player Ratings'!$R$5:$R$1252,'Player Ratings'!$A$5:$A$1252,$B5,'Player Ratings'!$F$5:$F$1252,"Attack",'Player Ratings'!$G$5:$G$1252,"Starter"),2),$D5)</x:f>
        <x:v>71</x:v>
      </x:c>
      <x:c r="H5" s="55" t="n">
        <x:f>IFERROR(ROUND(AVERAGEIFS('Player Ratings'!$R$5:$R$1252,'Player Ratings'!$A$5:$A$1252,$B5,'Player Ratings'!$F$5:$F$1252,"GK",'Player Ratings'!$G$5:$G$1252,"Starter"),2),$D5)</x:f>
        <x:v>71</x:v>
      </x:c>
      <x:c r="I5" s="55" t="n">
        <x:f>MAX(20,ROUND(100-SUMIFS('Player Ratings'!$S$5:$S$1252,'Player Ratings'!$A$5:$A$1252,$B5),2))</x:f>
        <x:v>100</x:v>
      </x:c>
      <x:c r="J5" s="61" t="n">
        <x:f>ROUND(COUNTIFS('Player Ratings'!$A$5:$A$1252,$B5,'Player Ratings'!$D$5:$D$1252,"?*",'Player Ratings'!$R$5:$R$1252,"&gt;0")/26,2)</x:f>
        <x:v>0</x:v>
      </x:c>
      <x:c r="K5" s="51" t="n">
        <x:f>COUNTIFS('Player Ratings'!$A$5:$A$1252,$B5,'Player Ratings'!$D$5:$D$1252,"?*")</x:f>
        <x:v>0</x:v>
      </x:c>
      <x:c r="L5" s="51" t="str">
        <x:f>IF($K5=0,"seed fallback - player ratings pending",IF($J5&gt;=0.85,"verified squad/player feed",IF($J5&gt;=0.5,"partial player feed","low coverage - review")))</x:f>
        <x:v>seed fallback - player ratings pending</x:v>
      </x:c>
      <x:c r="M5" s="51" t="str"/>
    </x:row>
    <x:row r="6">
      <x:c r="A6" s="51" t="str">
        <x:v>A</x:v>
      </x:c>
      <x:c r="B6" s="51" t="str">
        <x:v>Mexico</x:v>
      </x:c>
      <x:c r="C6" s="55" t="n">
        <x:f>IF($K6=0,'Seed Profiles'!E6,ROUND(0.45*$D6+0.25*$E6+0.12*$F6+0.12*$G6+0.06*$H6,2))</x:f>
        <x:v>76</x:v>
      </x:c>
      <x:c r="D6" s="55" t="n">
        <x:f>IFERROR(ROUND(AVERAGEIFS('Player Ratings'!$R$5:$R$1252,'Player Ratings'!$A$5:$A$1252,$B6,'Player Ratings'!$G$5:$G$1252,"Starter"),2),'Seed Profiles'!F6)</x:f>
        <x:v>76</x:v>
      </x:c>
      <x:c r="E6" s="55" t="n">
        <x:f>IFERROR(ROUND(AVERAGEIFS('Player Ratings'!$R$5:$R$1252,'Player Ratings'!$A$5:$A$1252,$B6,'Player Ratings'!$G$5:$G$1252,"Rotation"),2),'Seed Profiles'!G6)</x:f>
        <x:v>74</x:v>
      </x:c>
      <x:c r="F6" s="55" t="n">
        <x:f>IFERROR(ROUND(AVERAGEIFS('Player Ratings'!$R$5:$R$1252,'Player Ratings'!$A$5:$A$1252,$B6,'Player Ratings'!$F$5:$F$1252,"Defence",'Player Ratings'!$G$5:$G$1252,"Starter"),2),$D6)</x:f>
        <x:v>76</x:v>
      </x:c>
      <x:c r="G6" s="55" t="n">
        <x:f>IFERROR(ROUND(AVERAGEIFS('Player Ratings'!$R$5:$R$1252,'Player Ratings'!$A$5:$A$1252,$B6,'Player Ratings'!$F$5:$F$1252,"Attack",'Player Ratings'!$G$5:$G$1252,"Starter"),2),$D6)</x:f>
        <x:v>76</x:v>
      </x:c>
      <x:c r="H6" s="55" t="n">
        <x:f>IFERROR(ROUND(AVERAGEIFS('Player Ratings'!$R$5:$R$1252,'Player Ratings'!$A$5:$A$1252,$B6,'Player Ratings'!$F$5:$F$1252,"GK",'Player Ratings'!$G$5:$G$1252,"Starter"),2),$D6)</x:f>
        <x:v>76</x:v>
      </x:c>
      <x:c r="I6" s="55" t="n">
        <x:f>MAX(20,ROUND(100-SUMIFS('Player Ratings'!$S$5:$S$1252,'Player Ratings'!$A$5:$A$1252,$B6),2))</x:f>
        <x:v>100</x:v>
      </x:c>
      <x:c r="J6" s="61" t="n">
        <x:f>ROUND(COUNTIFS('Player Ratings'!$A$5:$A$1252,$B6,'Player Ratings'!$D$5:$D$1252,"?*",'Player Ratings'!$R$5:$R$1252,"&gt;0")/26,2)</x:f>
        <x:v>0</x:v>
      </x:c>
      <x:c r="K6" s="51" t="n">
        <x:f>COUNTIFS('Player Ratings'!$A$5:$A$1252,$B6,'Player Ratings'!$D$5:$D$1252,"?*")</x:f>
        <x:v>0</x:v>
      </x:c>
      <x:c r="L6" s="51" t="str">
        <x:f>IF($K6=0,"seed fallback - player ratings pending",IF($J6&gt;=0.85,"verified squad/player feed",IF($J6&gt;=0.5,"partial player feed","low coverage - review")))</x:f>
        <x:v>seed fallback - player ratings pending</x:v>
      </x:c>
      <x:c r="M6" s="51" t="str"/>
    </x:row>
    <x:row r="7">
      <x:c r="A7" s="51" t="str">
        <x:v>A</x:v>
      </x:c>
      <x:c r="B7" s="51" t="str">
        <x:v>South Africa</x:v>
      </x:c>
      <x:c r="C7" s="55" t="n">
        <x:f>IF($K7=0,'Seed Profiles'!E7,ROUND(0.45*$D7+0.25*$E7+0.12*$F7+0.12*$G7+0.06*$H7,2))</x:f>
        <x:v>37</x:v>
      </x:c>
      <x:c r="D7" s="55" t="n">
        <x:f>IFERROR(ROUND(AVERAGEIFS('Player Ratings'!$R$5:$R$1252,'Player Ratings'!$A$5:$A$1252,$B7,'Player Ratings'!$G$5:$G$1252,"Starter"),2),'Seed Profiles'!F7)</x:f>
        <x:v>38</x:v>
      </x:c>
      <x:c r="E7" s="55" t="n">
        <x:f>IFERROR(ROUND(AVERAGEIFS('Player Ratings'!$R$5:$R$1252,'Player Ratings'!$A$5:$A$1252,$B7,'Player Ratings'!$G$5:$G$1252,"Rotation"),2),'Seed Profiles'!G7)</x:f>
        <x:v>33</x:v>
      </x:c>
      <x:c r="F7" s="55" t="n">
        <x:f>IFERROR(ROUND(AVERAGEIFS('Player Ratings'!$R$5:$R$1252,'Player Ratings'!$A$5:$A$1252,$B7,'Player Ratings'!$F$5:$F$1252,"Defence",'Player Ratings'!$G$5:$G$1252,"Starter"),2),$D7)</x:f>
        <x:v>38</x:v>
      </x:c>
      <x:c r="G7" s="55" t="n">
        <x:f>IFERROR(ROUND(AVERAGEIFS('Player Ratings'!$R$5:$R$1252,'Player Ratings'!$A$5:$A$1252,$B7,'Player Ratings'!$F$5:$F$1252,"Attack",'Player Ratings'!$G$5:$G$1252,"Starter"),2),$D7)</x:f>
        <x:v>38</x:v>
      </x:c>
      <x:c r="H7" s="55" t="n">
        <x:f>IFERROR(ROUND(AVERAGEIFS('Player Ratings'!$R$5:$R$1252,'Player Ratings'!$A$5:$A$1252,$B7,'Player Ratings'!$F$5:$F$1252,"GK",'Player Ratings'!$G$5:$G$1252,"Starter"),2),$D7)</x:f>
        <x:v>38</x:v>
      </x:c>
      <x:c r="I7" s="55" t="n">
        <x:f>MAX(20,ROUND(100-SUMIFS('Player Ratings'!$S$5:$S$1252,'Player Ratings'!$A$5:$A$1252,$B7),2))</x:f>
        <x:v>100</x:v>
      </x:c>
      <x:c r="J7" s="61" t="n">
        <x:f>ROUND(COUNTIFS('Player Ratings'!$A$5:$A$1252,$B7,'Player Ratings'!$D$5:$D$1252,"?*",'Player Ratings'!$R$5:$R$1252,"&gt;0")/26,2)</x:f>
        <x:v>0</x:v>
      </x:c>
      <x:c r="K7" s="51" t="n">
        <x:f>COUNTIFS('Player Ratings'!$A$5:$A$1252,$B7,'Player Ratings'!$D$5:$D$1252,"?*")</x:f>
        <x:v>0</x:v>
      </x:c>
      <x:c r="L7" s="51" t="str">
        <x:f>IF($K7=0,"seed fallback - player ratings pending",IF($J7&gt;=0.85,"verified squad/player feed",IF($J7&gt;=0.5,"partial player feed","low coverage - review")))</x:f>
        <x:v>seed fallback - player ratings pending</x:v>
      </x:c>
      <x:c r="M7" s="51" t="str"/>
    </x:row>
    <x:row r="8">
      <x:c r="A8" s="51" t="str">
        <x:v>A</x:v>
      </x:c>
      <x:c r="B8" s="51" t="str">
        <x:v>South Korea</x:v>
      </x:c>
      <x:c r="C8" s="55" t="n">
        <x:f>IF($K8=0,'Seed Profiles'!E8,ROUND(0.45*$D8+0.25*$E8+0.12*$F8+0.12*$G8+0.06*$H8,2))</x:f>
        <x:v>72</x:v>
      </x:c>
      <x:c r="D8" s="55" t="n">
        <x:f>IFERROR(ROUND(AVERAGEIFS('Player Ratings'!$R$5:$R$1252,'Player Ratings'!$A$5:$A$1252,$B8,'Player Ratings'!$G$5:$G$1252,"Starter"),2),'Seed Profiles'!F8)</x:f>
        <x:v>72</x:v>
      </x:c>
      <x:c r="E8" s="55" t="n">
        <x:f>IFERROR(ROUND(AVERAGEIFS('Player Ratings'!$R$5:$R$1252,'Player Ratings'!$A$5:$A$1252,$B8,'Player Ratings'!$G$5:$G$1252,"Rotation"),2),'Seed Profiles'!G8)</x:f>
        <x:v>69</x:v>
      </x:c>
      <x:c r="F8" s="55" t="n">
        <x:f>IFERROR(ROUND(AVERAGEIFS('Player Ratings'!$R$5:$R$1252,'Player Ratings'!$A$5:$A$1252,$B8,'Player Ratings'!$F$5:$F$1252,"Defence",'Player Ratings'!$G$5:$G$1252,"Starter"),2),$D8)</x:f>
        <x:v>72</x:v>
      </x:c>
      <x:c r="G8" s="55" t="n">
        <x:f>IFERROR(ROUND(AVERAGEIFS('Player Ratings'!$R$5:$R$1252,'Player Ratings'!$A$5:$A$1252,$B8,'Player Ratings'!$F$5:$F$1252,"Attack",'Player Ratings'!$G$5:$G$1252,"Starter"),2),$D8)</x:f>
        <x:v>72</x:v>
      </x:c>
      <x:c r="H8" s="55" t="n">
        <x:f>IFERROR(ROUND(AVERAGEIFS('Player Ratings'!$R$5:$R$1252,'Player Ratings'!$A$5:$A$1252,$B8,'Player Ratings'!$F$5:$F$1252,"GK",'Player Ratings'!$G$5:$G$1252,"Starter"),2),$D8)</x:f>
        <x:v>72</x:v>
      </x:c>
      <x:c r="I8" s="55" t="n">
        <x:f>MAX(20,ROUND(100-SUMIFS('Player Ratings'!$S$5:$S$1252,'Player Ratings'!$A$5:$A$1252,$B8),2))</x:f>
        <x:v>100</x:v>
      </x:c>
      <x:c r="J8" s="61" t="n">
        <x:f>ROUND(COUNTIFS('Player Ratings'!$A$5:$A$1252,$B8,'Player Ratings'!$D$5:$D$1252,"?*",'Player Ratings'!$R$5:$R$1252,"&gt;0")/26,2)</x:f>
        <x:v>0</x:v>
      </x:c>
      <x:c r="K8" s="51" t="n">
        <x:f>COUNTIFS('Player Ratings'!$A$5:$A$1252,$B8,'Player Ratings'!$D$5:$D$1252,"?*")</x:f>
        <x:v>0</x:v>
      </x:c>
      <x:c r="L8" s="51" t="str">
        <x:f>IF($K8=0,"seed fallback - player ratings pending",IF($J8&gt;=0.85,"verified squad/player feed",IF($J8&gt;=0.5,"partial player feed","low coverage - review")))</x:f>
        <x:v>seed fallback - player ratings pending</x:v>
      </x:c>
      <x:c r="M8" s="51" t="str"/>
    </x:row>
    <x:row r="9">
      <x:c r="A9" s="51" t="str">
        <x:v>B</x:v>
      </x:c>
      <x:c r="B9" s="51" t="str">
        <x:v>Bosnia &amp; Herzegovina</x:v>
      </x:c>
      <x:c r="C9" s="55" t="n">
        <x:f>IF($K9=0,'Seed Profiles'!E9,ROUND(0.45*$D9+0.25*$E9+0.12*$F9+0.12*$G9+0.06*$H9,2))</x:f>
        <x:v>36</x:v>
      </x:c>
      <x:c r="D9" s="55" t="n">
        <x:f>IFERROR(ROUND(AVERAGEIFS('Player Ratings'!$R$5:$R$1252,'Player Ratings'!$A$5:$A$1252,$B9,'Player Ratings'!$G$5:$G$1252,"Starter"),2),'Seed Profiles'!F9)</x:f>
        <x:v>37</x:v>
      </x:c>
      <x:c r="E9" s="55" t="n">
        <x:f>IFERROR(ROUND(AVERAGEIFS('Player Ratings'!$R$5:$R$1252,'Player Ratings'!$A$5:$A$1252,$B9,'Player Ratings'!$G$5:$G$1252,"Rotation"),2),'Seed Profiles'!G9)</x:f>
        <x:v>32</x:v>
      </x:c>
      <x:c r="F9" s="55" t="n">
        <x:f>IFERROR(ROUND(AVERAGEIFS('Player Ratings'!$R$5:$R$1252,'Player Ratings'!$A$5:$A$1252,$B9,'Player Ratings'!$F$5:$F$1252,"Defence",'Player Ratings'!$G$5:$G$1252,"Starter"),2),$D9)</x:f>
        <x:v>37</x:v>
      </x:c>
      <x:c r="G9" s="55" t="n">
        <x:f>IFERROR(ROUND(AVERAGEIFS('Player Ratings'!$R$5:$R$1252,'Player Ratings'!$A$5:$A$1252,$B9,'Player Ratings'!$F$5:$F$1252,"Attack",'Player Ratings'!$G$5:$G$1252,"Starter"),2),$D9)</x:f>
        <x:v>37</x:v>
      </x:c>
      <x:c r="H9" s="55" t="n">
        <x:f>IFERROR(ROUND(AVERAGEIFS('Player Ratings'!$R$5:$R$1252,'Player Ratings'!$A$5:$A$1252,$B9,'Player Ratings'!$F$5:$F$1252,"GK",'Player Ratings'!$G$5:$G$1252,"Starter"),2),$D9)</x:f>
        <x:v>37</x:v>
      </x:c>
      <x:c r="I9" s="55" t="n">
        <x:f>MAX(20,ROUND(100-SUMIFS('Player Ratings'!$S$5:$S$1252,'Player Ratings'!$A$5:$A$1252,$B9),2))</x:f>
        <x:v>100</x:v>
      </x:c>
      <x:c r="J9" s="61" t="n">
        <x:f>ROUND(COUNTIFS('Player Ratings'!$A$5:$A$1252,$B9,'Player Ratings'!$D$5:$D$1252,"?*",'Player Ratings'!$R$5:$R$1252,"&gt;0")/26,2)</x:f>
        <x:v>0</x:v>
      </x:c>
      <x:c r="K9" s="51" t="n">
        <x:f>COUNTIFS('Player Ratings'!$A$5:$A$1252,$B9,'Player Ratings'!$D$5:$D$1252,"?*")</x:f>
        <x:v>0</x:v>
      </x:c>
      <x:c r="L9" s="51" t="str">
        <x:f>IF($K9=0,"seed fallback - player ratings pending",IF($J9&gt;=0.85,"verified squad/player feed",IF($J9&gt;=0.5,"partial player feed","low coverage - review")))</x:f>
        <x:v>seed fallback - player ratings pending</x:v>
      </x:c>
      <x:c r="M9" s="51" t="str"/>
    </x:row>
    <x:row r="10">
      <x:c r="A10" s="51" t="str">
        <x:v>B</x:v>
      </x:c>
      <x:c r="B10" s="51" t="str">
        <x:v>Canada</x:v>
      </x:c>
      <x:c r="C10" s="55" t="n">
        <x:f>IF($K10=0,'Seed Profiles'!E10,ROUND(0.45*$D10+0.25*$E10+0.12*$F10+0.12*$G10+0.06*$H10,2))</x:f>
        <x:v>74</x:v>
      </x:c>
      <x:c r="D10" s="55" t="n">
        <x:f>IFERROR(ROUND(AVERAGEIFS('Player Ratings'!$R$5:$R$1252,'Player Ratings'!$A$5:$A$1252,$B10,'Player Ratings'!$G$5:$G$1252,"Starter"),2),'Seed Profiles'!F10)</x:f>
        <x:v>75</x:v>
      </x:c>
      <x:c r="E10" s="55" t="n">
        <x:f>IFERROR(ROUND(AVERAGEIFS('Player Ratings'!$R$5:$R$1252,'Player Ratings'!$A$5:$A$1252,$B10,'Player Ratings'!$G$5:$G$1252,"Rotation"),2),'Seed Profiles'!G10)</x:f>
        <x:v>70</x:v>
      </x:c>
      <x:c r="F10" s="55" t="n">
        <x:f>IFERROR(ROUND(AVERAGEIFS('Player Ratings'!$R$5:$R$1252,'Player Ratings'!$A$5:$A$1252,$B10,'Player Ratings'!$F$5:$F$1252,"Defence",'Player Ratings'!$G$5:$G$1252,"Starter"),2),$D10)</x:f>
        <x:v>75</x:v>
      </x:c>
      <x:c r="G10" s="55" t="n">
        <x:f>IFERROR(ROUND(AVERAGEIFS('Player Ratings'!$R$5:$R$1252,'Player Ratings'!$A$5:$A$1252,$B10,'Player Ratings'!$F$5:$F$1252,"Attack",'Player Ratings'!$G$5:$G$1252,"Starter"),2),$D10)</x:f>
        <x:v>75</x:v>
      </x:c>
      <x:c r="H10" s="55" t="n">
        <x:f>IFERROR(ROUND(AVERAGEIFS('Player Ratings'!$R$5:$R$1252,'Player Ratings'!$A$5:$A$1252,$B10,'Player Ratings'!$F$5:$F$1252,"GK",'Player Ratings'!$G$5:$G$1252,"Starter"),2),$D10)</x:f>
        <x:v>75</x:v>
      </x:c>
      <x:c r="I10" s="55" t="n">
        <x:f>MAX(20,ROUND(100-SUMIFS('Player Ratings'!$S$5:$S$1252,'Player Ratings'!$A$5:$A$1252,$B10),2))</x:f>
        <x:v>100</x:v>
      </x:c>
      <x:c r="J10" s="61" t="n">
        <x:f>ROUND(COUNTIFS('Player Ratings'!$A$5:$A$1252,$B10,'Player Ratings'!$D$5:$D$1252,"?*",'Player Ratings'!$R$5:$R$1252,"&gt;0")/26,2)</x:f>
        <x:v>0</x:v>
      </x:c>
      <x:c r="K10" s="51" t="n">
        <x:f>COUNTIFS('Player Ratings'!$A$5:$A$1252,$B10,'Player Ratings'!$D$5:$D$1252,"?*")</x:f>
        <x:v>0</x:v>
      </x:c>
      <x:c r="L10" s="51" t="str">
        <x:f>IF($K10=0,"seed fallback - player ratings pending",IF($J10&gt;=0.85,"verified squad/player feed",IF($J10&gt;=0.5,"partial player feed","low coverage - review")))</x:f>
        <x:v>seed fallback - player ratings pending</x:v>
      </x:c>
      <x:c r="M10" s="51" t="str"/>
    </x:row>
    <x:row r="11">
      <x:c r="A11" s="51" t="str">
        <x:v>B</x:v>
      </x:c>
      <x:c r="B11" s="51" t="str">
        <x:v>Qatar</x:v>
      </x:c>
      <x:c r="C11" s="55" t="n">
        <x:f>IF($K11=0,'Seed Profiles'!E11,ROUND(0.45*$D11+0.25*$E11+0.12*$F11+0.12*$G11+0.06*$H11,2))</x:f>
        <x:v>35</x:v>
      </x:c>
      <x:c r="D11" s="55" t="n">
        <x:f>IFERROR(ROUND(AVERAGEIFS('Player Ratings'!$R$5:$R$1252,'Player Ratings'!$A$5:$A$1252,$B11,'Player Ratings'!$G$5:$G$1252,"Starter"),2),'Seed Profiles'!F11)</x:f>
        <x:v>36</x:v>
      </x:c>
      <x:c r="E11" s="55" t="n">
        <x:f>IFERROR(ROUND(AVERAGEIFS('Player Ratings'!$R$5:$R$1252,'Player Ratings'!$A$5:$A$1252,$B11,'Player Ratings'!$G$5:$G$1252,"Rotation"),2),'Seed Profiles'!G11)</x:f>
        <x:v>31</x:v>
      </x:c>
      <x:c r="F11" s="55" t="n">
        <x:f>IFERROR(ROUND(AVERAGEIFS('Player Ratings'!$R$5:$R$1252,'Player Ratings'!$A$5:$A$1252,$B11,'Player Ratings'!$F$5:$F$1252,"Defence",'Player Ratings'!$G$5:$G$1252,"Starter"),2),$D11)</x:f>
        <x:v>36</x:v>
      </x:c>
      <x:c r="G11" s="55" t="n">
        <x:f>IFERROR(ROUND(AVERAGEIFS('Player Ratings'!$R$5:$R$1252,'Player Ratings'!$A$5:$A$1252,$B11,'Player Ratings'!$F$5:$F$1252,"Attack",'Player Ratings'!$G$5:$G$1252,"Starter"),2),$D11)</x:f>
        <x:v>36</x:v>
      </x:c>
      <x:c r="H11" s="55" t="n">
        <x:f>IFERROR(ROUND(AVERAGEIFS('Player Ratings'!$R$5:$R$1252,'Player Ratings'!$A$5:$A$1252,$B11,'Player Ratings'!$F$5:$F$1252,"GK",'Player Ratings'!$G$5:$G$1252,"Starter"),2),$D11)</x:f>
        <x:v>36</x:v>
      </x:c>
      <x:c r="I11" s="55" t="n">
        <x:f>MAX(20,ROUND(100-SUMIFS('Player Ratings'!$S$5:$S$1252,'Player Ratings'!$A$5:$A$1252,$B11),2))</x:f>
        <x:v>100</x:v>
      </x:c>
      <x:c r="J11" s="61" t="n">
        <x:f>ROUND(COUNTIFS('Player Ratings'!$A$5:$A$1252,$B11,'Player Ratings'!$D$5:$D$1252,"?*",'Player Ratings'!$R$5:$R$1252,"&gt;0")/26,2)</x:f>
        <x:v>0</x:v>
      </x:c>
      <x:c r="K11" s="51" t="n">
        <x:f>COUNTIFS('Player Ratings'!$A$5:$A$1252,$B11,'Player Ratings'!$D$5:$D$1252,"?*")</x:f>
        <x:v>0</x:v>
      </x:c>
      <x:c r="L11" s="51" t="str">
        <x:f>IF($K11=0,"seed fallback - player ratings pending",IF($J11&gt;=0.85,"verified squad/player feed",IF($J11&gt;=0.5,"partial player feed","low coverage - review")))</x:f>
        <x:v>seed fallback - player ratings pending</x:v>
      </x:c>
      <x:c r="M11" s="51" t="str"/>
    </x:row>
    <x:row r="12">
      <x:c r="A12" s="51" t="str">
        <x:v>B</x:v>
      </x:c>
      <x:c r="B12" s="51" t="str">
        <x:v>Switzerland</x:v>
      </x:c>
      <x:c r="C12" s="55" t="n">
        <x:f>IF($K12=0,'Seed Profiles'!E12,ROUND(0.45*$D12+0.25*$E12+0.12*$F12+0.12*$G12+0.06*$H12,2))</x:f>
        <x:v>77</x:v>
      </x:c>
      <x:c r="D12" s="55" t="n">
        <x:f>IFERROR(ROUND(AVERAGEIFS('Player Ratings'!$R$5:$R$1252,'Player Ratings'!$A$5:$A$1252,$B12,'Player Ratings'!$G$5:$G$1252,"Starter"),2),'Seed Profiles'!F12)</x:f>
        <x:v>77</x:v>
      </x:c>
      <x:c r="E12" s="55" t="n">
        <x:f>IFERROR(ROUND(AVERAGEIFS('Player Ratings'!$R$5:$R$1252,'Player Ratings'!$A$5:$A$1252,$B12,'Player Ratings'!$G$5:$G$1252,"Rotation"),2),'Seed Profiles'!G12)</x:f>
        <x:v>75</x:v>
      </x:c>
      <x:c r="F12" s="55" t="n">
        <x:f>IFERROR(ROUND(AVERAGEIFS('Player Ratings'!$R$5:$R$1252,'Player Ratings'!$A$5:$A$1252,$B12,'Player Ratings'!$F$5:$F$1252,"Defence",'Player Ratings'!$G$5:$G$1252,"Starter"),2),$D12)</x:f>
        <x:v>77</x:v>
      </x:c>
      <x:c r="G12" s="55" t="n">
        <x:f>IFERROR(ROUND(AVERAGEIFS('Player Ratings'!$R$5:$R$1252,'Player Ratings'!$A$5:$A$1252,$B12,'Player Ratings'!$F$5:$F$1252,"Attack",'Player Ratings'!$G$5:$G$1252,"Starter"),2),$D12)</x:f>
        <x:v>77</x:v>
      </x:c>
      <x:c r="H12" s="55" t="n">
        <x:f>IFERROR(ROUND(AVERAGEIFS('Player Ratings'!$R$5:$R$1252,'Player Ratings'!$A$5:$A$1252,$B12,'Player Ratings'!$F$5:$F$1252,"GK",'Player Ratings'!$G$5:$G$1252,"Starter"),2),$D12)</x:f>
        <x:v>77</x:v>
      </x:c>
      <x:c r="I12" s="55" t="n">
        <x:f>MAX(20,ROUND(100-SUMIFS('Player Ratings'!$S$5:$S$1252,'Player Ratings'!$A$5:$A$1252,$B12),2))</x:f>
        <x:v>100</x:v>
      </x:c>
      <x:c r="J12" s="61" t="n">
        <x:f>ROUND(COUNTIFS('Player Ratings'!$A$5:$A$1252,$B12,'Player Ratings'!$D$5:$D$1252,"?*",'Player Ratings'!$R$5:$R$1252,"&gt;0")/26,2)</x:f>
        <x:v>0</x:v>
      </x:c>
      <x:c r="K12" s="51" t="n">
        <x:f>COUNTIFS('Player Ratings'!$A$5:$A$1252,$B12,'Player Ratings'!$D$5:$D$1252,"?*")</x:f>
        <x:v>0</x:v>
      </x:c>
      <x:c r="L12" s="51" t="str">
        <x:f>IF($K12=0,"seed fallback - player ratings pending",IF($J12&gt;=0.85,"verified squad/player feed",IF($J12&gt;=0.5,"partial player feed","low coverage - review")))</x:f>
        <x:v>seed fallback - player ratings pending</x:v>
      </x:c>
      <x:c r="M12" s="51" t="str"/>
    </x:row>
    <x:row r="13">
      <x:c r="A13" s="51" t="str">
        <x:v>C</x:v>
      </x:c>
      <x:c r="B13" s="51" t="str">
        <x:v>Brazil</x:v>
      </x:c>
      <x:c r="C13" s="55" t="n">
        <x:f>IF($K13=0,'Seed Profiles'!E13,ROUND(0.45*$D13+0.25*$E13+0.12*$F13+0.12*$G13+0.06*$H13,2))</x:f>
        <x:v>90</x:v>
      </x:c>
      <x:c r="D13" s="55" t="n">
        <x:f>IFERROR(ROUND(AVERAGEIFS('Player Ratings'!$R$5:$R$1252,'Player Ratings'!$A$5:$A$1252,$B13,'Player Ratings'!$G$5:$G$1252,"Starter"),2),'Seed Profiles'!F13)</x:f>
        <x:v>90</x:v>
      </x:c>
      <x:c r="E13" s="55" t="n">
        <x:f>IFERROR(ROUND(AVERAGEIFS('Player Ratings'!$R$5:$R$1252,'Player Ratings'!$A$5:$A$1252,$B13,'Player Ratings'!$G$5:$G$1252,"Rotation"),2),'Seed Profiles'!G13)</x:f>
        <x:v>89</x:v>
      </x:c>
      <x:c r="F13" s="55" t="n">
        <x:f>IFERROR(ROUND(AVERAGEIFS('Player Ratings'!$R$5:$R$1252,'Player Ratings'!$A$5:$A$1252,$B13,'Player Ratings'!$F$5:$F$1252,"Defence",'Player Ratings'!$G$5:$G$1252,"Starter"),2),$D13)</x:f>
        <x:v>90</x:v>
      </x:c>
      <x:c r="G13" s="55" t="n">
        <x:f>IFERROR(ROUND(AVERAGEIFS('Player Ratings'!$R$5:$R$1252,'Player Ratings'!$A$5:$A$1252,$B13,'Player Ratings'!$F$5:$F$1252,"Attack",'Player Ratings'!$G$5:$G$1252,"Starter"),2),$D13)</x:f>
        <x:v>90</x:v>
      </x:c>
      <x:c r="H13" s="55" t="n">
        <x:f>IFERROR(ROUND(AVERAGEIFS('Player Ratings'!$R$5:$R$1252,'Player Ratings'!$A$5:$A$1252,$B13,'Player Ratings'!$F$5:$F$1252,"GK",'Player Ratings'!$G$5:$G$1252,"Starter"),2),$D13)</x:f>
        <x:v>90</x:v>
      </x:c>
      <x:c r="I13" s="55" t="n">
        <x:f>MAX(20,ROUND(100-SUMIFS('Player Ratings'!$S$5:$S$1252,'Player Ratings'!$A$5:$A$1252,$B13),2))</x:f>
        <x:v>100</x:v>
      </x:c>
      <x:c r="J13" s="61" t="n">
        <x:f>ROUND(COUNTIFS('Player Ratings'!$A$5:$A$1252,$B13,'Player Ratings'!$D$5:$D$1252,"?*",'Player Ratings'!$R$5:$R$1252,"&gt;0")/26,2)</x:f>
        <x:v>0</x:v>
      </x:c>
      <x:c r="K13" s="51" t="n">
        <x:f>COUNTIFS('Player Ratings'!$A$5:$A$1252,$B13,'Player Ratings'!$D$5:$D$1252,"?*")</x:f>
        <x:v>0</x:v>
      </x:c>
      <x:c r="L13" s="51" t="str">
        <x:f>IF($K13=0,"seed fallback - player ratings pending",IF($J13&gt;=0.85,"verified squad/player feed",IF($J13&gt;=0.5,"partial player feed","low coverage - review")))</x:f>
        <x:v>seed fallback - player ratings pending</x:v>
      </x:c>
      <x:c r="M13" s="51" t="str"/>
    </x:row>
    <x:row r="14">
      <x:c r="A14" s="51" t="str">
        <x:v>C</x:v>
      </x:c>
      <x:c r="B14" s="51" t="str">
        <x:v>Haiti</x:v>
      </x:c>
      <x:c r="C14" s="55" t="n">
        <x:f>IF($K14=0,'Seed Profiles'!E14,ROUND(0.45*$D14+0.25*$E14+0.12*$F14+0.12*$G14+0.06*$H14,2))</x:f>
        <x:v>40</x:v>
      </x:c>
      <x:c r="D14" s="55" t="n">
        <x:f>IFERROR(ROUND(AVERAGEIFS('Player Ratings'!$R$5:$R$1252,'Player Ratings'!$A$5:$A$1252,$B14,'Player Ratings'!$G$5:$G$1252,"Starter"),2),'Seed Profiles'!F14)</x:f>
        <x:v>41</x:v>
      </x:c>
      <x:c r="E14" s="55" t="n">
        <x:f>IFERROR(ROUND(AVERAGEIFS('Player Ratings'!$R$5:$R$1252,'Player Ratings'!$A$5:$A$1252,$B14,'Player Ratings'!$G$5:$G$1252,"Rotation"),2),'Seed Profiles'!G14)</x:f>
        <x:v>36</x:v>
      </x:c>
      <x:c r="F14" s="55" t="n">
        <x:f>IFERROR(ROUND(AVERAGEIFS('Player Ratings'!$R$5:$R$1252,'Player Ratings'!$A$5:$A$1252,$B14,'Player Ratings'!$F$5:$F$1252,"Defence",'Player Ratings'!$G$5:$G$1252,"Starter"),2),$D14)</x:f>
        <x:v>41</x:v>
      </x:c>
      <x:c r="G14" s="55" t="n">
        <x:f>IFERROR(ROUND(AVERAGEIFS('Player Ratings'!$R$5:$R$1252,'Player Ratings'!$A$5:$A$1252,$B14,'Player Ratings'!$F$5:$F$1252,"Attack",'Player Ratings'!$G$5:$G$1252,"Starter"),2),$D14)</x:f>
        <x:v>41</x:v>
      </x:c>
      <x:c r="H14" s="55" t="n">
        <x:f>IFERROR(ROUND(AVERAGEIFS('Player Ratings'!$R$5:$R$1252,'Player Ratings'!$A$5:$A$1252,$B14,'Player Ratings'!$F$5:$F$1252,"GK",'Player Ratings'!$G$5:$G$1252,"Starter"),2),$D14)</x:f>
        <x:v>41</x:v>
      </x:c>
      <x:c r="I14" s="55" t="n">
        <x:f>MAX(20,ROUND(100-SUMIFS('Player Ratings'!$S$5:$S$1252,'Player Ratings'!$A$5:$A$1252,$B14),2))</x:f>
        <x:v>100</x:v>
      </x:c>
      <x:c r="J14" s="61" t="n">
        <x:f>ROUND(COUNTIFS('Player Ratings'!$A$5:$A$1252,$B14,'Player Ratings'!$D$5:$D$1252,"?*",'Player Ratings'!$R$5:$R$1252,"&gt;0")/26,2)</x:f>
        <x:v>0</x:v>
      </x:c>
      <x:c r="K14" s="51" t="n">
        <x:f>COUNTIFS('Player Ratings'!$A$5:$A$1252,$B14,'Player Ratings'!$D$5:$D$1252,"?*")</x:f>
        <x:v>0</x:v>
      </x:c>
      <x:c r="L14" s="51" t="str">
        <x:f>IF($K14=0,"seed fallback - player ratings pending",IF($J14&gt;=0.85,"verified squad/player feed",IF($J14&gt;=0.5,"partial player feed","low coverage - review")))</x:f>
        <x:v>seed fallback - player ratings pending</x:v>
      </x:c>
      <x:c r="M14" s="51" t="str"/>
    </x:row>
    <x:row r="15">
      <x:c r="A15" s="51" t="str">
        <x:v>C</x:v>
      </x:c>
      <x:c r="B15" s="51" t="str">
        <x:v>Morocco</x:v>
      </x:c>
      <x:c r="C15" s="55" t="n">
        <x:f>IF($K15=0,'Seed Profiles'!E15,ROUND(0.45*$D15+0.25*$E15+0.12*$F15+0.12*$G15+0.06*$H15,2))</x:f>
        <x:v>80</x:v>
      </x:c>
      <x:c r="D15" s="55" t="n">
        <x:f>IFERROR(ROUND(AVERAGEIFS('Player Ratings'!$R$5:$R$1252,'Player Ratings'!$A$5:$A$1252,$B15,'Player Ratings'!$G$5:$G$1252,"Starter"),2),'Seed Profiles'!F15)</x:f>
        <x:v>81</x:v>
      </x:c>
      <x:c r="E15" s="55" t="n">
        <x:f>IFERROR(ROUND(AVERAGEIFS('Player Ratings'!$R$5:$R$1252,'Player Ratings'!$A$5:$A$1252,$B15,'Player Ratings'!$G$5:$G$1252,"Rotation"),2),'Seed Profiles'!G15)</x:f>
        <x:v>76</x:v>
      </x:c>
      <x:c r="F15" s="55" t="n">
        <x:f>IFERROR(ROUND(AVERAGEIFS('Player Ratings'!$R$5:$R$1252,'Player Ratings'!$A$5:$A$1252,$B15,'Player Ratings'!$F$5:$F$1252,"Defence",'Player Ratings'!$G$5:$G$1252,"Starter"),2),$D15)</x:f>
        <x:v>81</x:v>
      </x:c>
      <x:c r="G15" s="55" t="n">
        <x:f>IFERROR(ROUND(AVERAGEIFS('Player Ratings'!$R$5:$R$1252,'Player Ratings'!$A$5:$A$1252,$B15,'Player Ratings'!$F$5:$F$1252,"Attack",'Player Ratings'!$G$5:$G$1252,"Starter"),2),$D15)</x:f>
        <x:v>81</x:v>
      </x:c>
      <x:c r="H15" s="55" t="n">
        <x:f>IFERROR(ROUND(AVERAGEIFS('Player Ratings'!$R$5:$R$1252,'Player Ratings'!$A$5:$A$1252,$B15,'Player Ratings'!$F$5:$F$1252,"GK",'Player Ratings'!$G$5:$G$1252,"Starter"),2),$D15)</x:f>
        <x:v>81</x:v>
      </x:c>
      <x:c r="I15" s="55" t="n">
        <x:f>MAX(20,ROUND(100-SUMIFS('Player Ratings'!$S$5:$S$1252,'Player Ratings'!$A$5:$A$1252,$B15),2))</x:f>
        <x:v>100</x:v>
      </x:c>
      <x:c r="J15" s="61" t="n">
        <x:f>ROUND(COUNTIFS('Player Ratings'!$A$5:$A$1252,$B15,'Player Ratings'!$D$5:$D$1252,"?*",'Player Ratings'!$R$5:$R$1252,"&gt;0")/26,2)</x:f>
        <x:v>0</x:v>
      </x:c>
      <x:c r="K15" s="51" t="n">
        <x:f>COUNTIFS('Player Ratings'!$A$5:$A$1252,$B15,'Player Ratings'!$D$5:$D$1252,"?*")</x:f>
        <x:v>0</x:v>
      </x:c>
      <x:c r="L15" s="51" t="str">
        <x:f>IF($K15=0,"seed fallback - player ratings pending",IF($J15&gt;=0.85,"verified squad/player feed",IF($J15&gt;=0.5,"partial player feed","low coverage - review")))</x:f>
        <x:v>seed fallback - player ratings pending</x:v>
      </x:c>
      <x:c r="M15" s="51" t="str"/>
    </x:row>
    <x:row r="16">
      <x:c r="A16" s="51" t="str">
        <x:v>C</x:v>
      </x:c>
      <x:c r="B16" s="51" t="str">
        <x:v>Scotland</x:v>
      </x:c>
      <x:c r="C16" s="55" t="n">
        <x:f>IF($K16=0,'Seed Profiles'!E16,ROUND(0.45*$D16+0.25*$E16+0.12*$F16+0.12*$G16+0.06*$H16,2))</x:f>
        <x:v>55</x:v>
      </x:c>
      <x:c r="D16" s="55" t="n">
        <x:f>IFERROR(ROUND(AVERAGEIFS('Player Ratings'!$R$5:$R$1252,'Player Ratings'!$A$5:$A$1252,$B16,'Player Ratings'!$G$5:$G$1252,"Starter"),2),'Seed Profiles'!F16)</x:f>
        <x:v>56</x:v>
      </x:c>
      <x:c r="E16" s="55" t="n">
        <x:f>IFERROR(ROUND(AVERAGEIFS('Player Ratings'!$R$5:$R$1252,'Player Ratings'!$A$5:$A$1252,$B16,'Player Ratings'!$G$5:$G$1252,"Rotation"),2),'Seed Profiles'!G16)</x:f>
        <x:v>51</x:v>
      </x:c>
      <x:c r="F16" s="55" t="n">
        <x:f>IFERROR(ROUND(AVERAGEIFS('Player Ratings'!$R$5:$R$1252,'Player Ratings'!$A$5:$A$1252,$B16,'Player Ratings'!$F$5:$F$1252,"Defence",'Player Ratings'!$G$5:$G$1252,"Starter"),2),$D16)</x:f>
        <x:v>56</x:v>
      </x:c>
      <x:c r="G16" s="55" t="n">
        <x:f>IFERROR(ROUND(AVERAGEIFS('Player Ratings'!$R$5:$R$1252,'Player Ratings'!$A$5:$A$1252,$B16,'Player Ratings'!$F$5:$F$1252,"Attack",'Player Ratings'!$G$5:$G$1252,"Starter"),2),$D16)</x:f>
        <x:v>56</x:v>
      </x:c>
      <x:c r="H16" s="55" t="n">
        <x:f>IFERROR(ROUND(AVERAGEIFS('Player Ratings'!$R$5:$R$1252,'Player Ratings'!$A$5:$A$1252,$B16,'Player Ratings'!$F$5:$F$1252,"GK",'Player Ratings'!$G$5:$G$1252,"Starter"),2),$D16)</x:f>
        <x:v>56</x:v>
      </x:c>
      <x:c r="I16" s="55" t="n">
        <x:f>MAX(20,ROUND(100-SUMIFS('Player Ratings'!$S$5:$S$1252,'Player Ratings'!$A$5:$A$1252,$B16),2))</x:f>
        <x:v>100</x:v>
      </x:c>
      <x:c r="J16" s="61" t="n">
        <x:f>ROUND(COUNTIFS('Player Ratings'!$A$5:$A$1252,$B16,'Player Ratings'!$D$5:$D$1252,"?*",'Player Ratings'!$R$5:$R$1252,"&gt;0")/26,2)</x:f>
        <x:v>0</x:v>
      </x:c>
      <x:c r="K16" s="51" t="n">
        <x:f>COUNTIFS('Player Ratings'!$A$5:$A$1252,$B16,'Player Ratings'!$D$5:$D$1252,"?*")</x:f>
        <x:v>0</x:v>
      </x:c>
      <x:c r="L16" s="51" t="str">
        <x:f>IF($K16=0,"seed fallback - player ratings pending",IF($J16&gt;=0.85,"verified squad/player feed",IF($J16&gt;=0.5,"partial player feed","low coverage - review")))</x:f>
        <x:v>seed fallback - player ratings pending</x:v>
      </x:c>
      <x:c r="M16" s="51" t="str"/>
    </x:row>
    <x:row r="17">
      <x:c r="A17" s="51" t="str">
        <x:v>D</x:v>
      </x:c>
      <x:c r="B17" s="51" t="str">
        <x:v>Australia</x:v>
      </x:c>
      <x:c r="C17" s="55" t="n">
        <x:f>IF($K17=0,'Seed Profiles'!E17,ROUND(0.45*$D17+0.25*$E17+0.12*$F17+0.12*$G17+0.06*$H17,2))</x:f>
        <x:v>72</x:v>
      </x:c>
      <x:c r="D17" s="55" t="n">
        <x:f>IFERROR(ROUND(AVERAGEIFS('Player Ratings'!$R$5:$R$1252,'Player Ratings'!$A$5:$A$1252,$B17,'Player Ratings'!$G$5:$G$1252,"Starter"),2),'Seed Profiles'!F17)</x:f>
        <x:v>72</x:v>
      </x:c>
      <x:c r="E17" s="55" t="n">
        <x:f>IFERROR(ROUND(AVERAGEIFS('Player Ratings'!$R$5:$R$1252,'Player Ratings'!$A$5:$A$1252,$B17,'Player Ratings'!$G$5:$G$1252,"Rotation"),2),'Seed Profiles'!G17)</x:f>
        <x:v>69</x:v>
      </x:c>
      <x:c r="F17" s="55" t="n">
        <x:f>IFERROR(ROUND(AVERAGEIFS('Player Ratings'!$R$5:$R$1252,'Player Ratings'!$A$5:$A$1252,$B17,'Player Ratings'!$F$5:$F$1252,"Defence",'Player Ratings'!$G$5:$G$1252,"Starter"),2),$D17)</x:f>
        <x:v>72</x:v>
      </x:c>
      <x:c r="G17" s="55" t="n">
        <x:f>IFERROR(ROUND(AVERAGEIFS('Player Ratings'!$R$5:$R$1252,'Player Ratings'!$A$5:$A$1252,$B17,'Player Ratings'!$F$5:$F$1252,"Attack",'Player Ratings'!$G$5:$G$1252,"Starter"),2),$D17)</x:f>
        <x:v>72</x:v>
      </x:c>
      <x:c r="H17" s="55" t="n">
        <x:f>IFERROR(ROUND(AVERAGEIFS('Player Ratings'!$R$5:$R$1252,'Player Ratings'!$A$5:$A$1252,$B17,'Player Ratings'!$F$5:$F$1252,"GK",'Player Ratings'!$G$5:$G$1252,"Starter"),2),$D17)</x:f>
        <x:v>72</x:v>
      </x:c>
      <x:c r="I17" s="55" t="n">
        <x:f>MAX(20,ROUND(100-SUMIFS('Player Ratings'!$S$5:$S$1252,'Player Ratings'!$A$5:$A$1252,$B17),2))</x:f>
        <x:v>100</x:v>
      </x:c>
      <x:c r="J17" s="61" t="n">
        <x:f>ROUND(COUNTIFS('Player Ratings'!$A$5:$A$1252,$B17,'Player Ratings'!$D$5:$D$1252,"?*",'Player Ratings'!$R$5:$R$1252,"&gt;0")/26,2)</x:f>
        <x:v>0</x:v>
      </x:c>
      <x:c r="K17" s="51" t="n">
        <x:f>COUNTIFS('Player Ratings'!$A$5:$A$1252,$B17,'Player Ratings'!$D$5:$D$1252,"?*")</x:f>
        <x:v>0</x:v>
      </x:c>
      <x:c r="L17" s="51" t="str">
        <x:f>IF($K17=0,"seed fallback - player ratings pending",IF($J17&gt;=0.85,"verified squad/player feed",IF($J17&gt;=0.5,"partial player feed","low coverage - review")))</x:f>
        <x:v>seed fallback - player ratings pending</x:v>
      </x:c>
      <x:c r="M17" s="51" t="str"/>
    </x:row>
    <x:row r="18">
      <x:c r="A18" s="51" t="str">
        <x:v>D</x:v>
      </x:c>
      <x:c r="B18" s="51" t="str">
        <x:v>Paraguay</x:v>
      </x:c>
      <x:c r="C18" s="55" t="n">
        <x:f>IF($K18=0,'Seed Profiles'!E18,ROUND(0.45*$D18+0.25*$E18+0.12*$F18+0.12*$G18+0.06*$H18,2))</x:f>
        <x:v>73</x:v>
      </x:c>
      <x:c r="D18" s="55" t="n">
        <x:f>IFERROR(ROUND(AVERAGEIFS('Player Ratings'!$R$5:$R$1252,'Player Ratings'!$A$5:$A$1252,$B18,'Player Ratings'!$G$5:$G$1252,"Starter"),2),'Seed Profiles'!F18)</x:f>
        <x:v>73</x:v>
      </x:c>
      <x:c r="E18" s="55" t="n">
        <x:f>IFERROR(ROUND(AVERAGEIFS('Player Ratings'!$R$5:$R$1252,'Player Ratings'!$A$5:$A$1252,$B18,'Player Ratings'!$G$5:$G$1252,"Rotation"),2),'Seed Profiles'!G18)</x:f>
        <x:v>70</x:v>
      </x:c>
      <x:c r="F18" s="55" t="n">
        <x:f>IFERROR(ROUND(AVERAGEIFS('Player Ratings'!$R$5:$R$1252,'Player Ratings'!$A$5:$A$1252,$B18,'Player Ratings'!$F$5:$F$1252,"Defence",'Player Ratings'!$G$5:$G$1252,"Starter"),2),$D18)</x:f>
        <x:v>73</x:v>
      </x:c>
      <x:c r="G18" s="55" t="n">
        <x:f>IFERROR(ROUND(AVERAGEIFS('Player Ratings'!$R$5:$R$1252,'Player Ratings'!$A$5:$A$1252,$B18,'Player Ratings'!$F$5:$F$1252,"Attack",'Player Ratings'!$G$5:$G$1252,"Starter"),2),$D18)</x:f>
        <x:v>73</x:v>
      </x:c>
      <x:c r="H18" s="55" t="n">
        <x:f>IFERROR(ROUND(AVERAGEIFS('Player Ratings'!$R$5:$R$1252,'Player Ratings'!$A$5:$A$1252,$B18,'Player Ratings'!$F$5:$F$1252,"GK",'Player Ratings'!$G$5:$G$1252,"Starter"),2),$D18)</x:f>
        <x:v>73</x:v>
      </x:c>
      <x:c r="I18" s="55" t="n">
        <x:f>MAX(20,ROUND(100-SUMIFS('Player Ratings'!$S$5:$S$1252,'Player Ratings'!$A$5:$A$1252,$B18),2))</x:f>
        <x:v>100</x:v>
      </x:c>
      <x:c r="J18" s="61" t="n">
        <x:f>ROUND(COUNTIFS('Player Ratings'!$A$5:$A$1252,$B18,'Player Ratings'!$D$5:$D$1252,"?*",'Player Ratings'!$R$5:$R$1252,"&gt;0")/26,2)</x:f>
        <x:v>0</x:v>
      </x:c>
      <x:c r="K18" s="51" t="n">
        <x:f>COUNTIFS('Player Ratings'!$A$5:$A$1252,$B18,'Player Ratings'!$D$5:$D$1252,"?*")</x:f>
        <x:v>0</x:v>
      </x:c>
      <x:c r="L18" s="51" t="str">
        <x:f>IF($K18=0,"seed fallback - player ratings pending",IF($J18&gt;=0.85,"verified squad/player feed",IF($J18&gt;=0.5,"partial player feed","low coverage - review")))</x:f>
        <x:v>seed fallback - player ratings pending</x:v>
      </x:c>
      <x:c r="M18" s="51" t="str"/>
    </x:row>
    <x:row r="19">
      <x:c r="A19" s="51" t="str">
        <x:v>D</x:v>
      </x:c>
      <x:c r="B19" s="51" t="str">
        <x:v>Turkey</x:v>
      </x:c>
      <x:c r="C19" s="55" t="n">
        <x:f>IF($K19=0,'Seed Profiles'!E19,ROUND(0.45*$D19+0.25*$E19+0.12*$F19+0.12*$G19+0.06*$H19,2))</x:f>
        <x:v>78</x:v>
      </x:c>
      <x:c r="D19" s="55" t="n">
        <x:f>IFERROR(ROUND(AVERAGEIFS('Player Ratings'!$R$5:$R$1252,'Player Ratings'!$A$5:$A$1252,$B19,'Player Ratings'!$G$5:$G$1252,"Starter"),2),'Seed Profiles'!F19)</x:f>
        <x:v>78</x:v>
      </x:c>
      <x:c r="E19" s="55" t="n">
        <x:f>IFERROR(ROUND(AVERAGEIFS('Player Ratings'!$R$5:$R$1252,'Player Ratings'!$A$5:$A$1252,$B19,'Player Ratings'!$G$5:$G$1252,"Rotation"),2),'Seed Profiles'!G19)</x:f>
        <x:v>75</x:v>
      </x:c>
      <x:c r="F19" s="55" t="n">
        <x:f>IFERROR(ROUND(AVERAGEIFS('Player Ratings'!$R$5:$R$1252,'Player Ratings'!$A$5:$A$1252,$B19,'Player Ratings'!$F$5:$F$1252,"Defence",'Player Ratings'!$G$5:$G$1252,"Starter"),2),$D19)</x:f>
        <x:v>78</x:v>
      </x:c>
      <x:c r="G19" s="55" t="n">
        <x:f>IFERROR(ROUND(AVERAGEIFS('Player Ratings'!$R$5:$R$1252,'Player Ratings'!$A$5:$A$1252,$B19,'Player Ratings'!$F$5:$F$1252,"Attack",'Player Ratings'!$G$5:$G$1252,"Starter"),2),$D19)</x:f>
        <x:v>78</x:v>
      </x:c>
      <x:c r="H19" s="55" t="n">
        <x:f>IFERROR(ROUND(AVERAGEIFS('Player Ratings'!$R$5:$R$1252,'Player Ratings'!$A$5:$A$1252,$B19,'Player Ratings'!$F$5:$F$1252,"GK",'Player Ratings'!$G$5:$G$1252,"Starter"),2),$D19)</x:f>
        <x:v>78</x:v>
      </x:c>
      <x:c r="I19" s="55" t="n">
        <x:f>MAX(20,ROUND(100-SUMIFS('Player Ratings'!$S$5:$S$1252,'Player Ratings'!$A$5:$A$1252,$B19),2))</x:f>
        <x:v>100</x:v>
      </x:c>
      <x:c r="J19" s="61" t="n">
        <x:f>ROUND(COUNTIFS('Player Ratings'!$A$5:$A$1252,$B19,'Player Ratings'!$D$5:$D$1252,"?*",'Player Ratings'!$R$5:$R$1252,"&gt;0")/26,2)</x:f>
        <x:v>0</x:v>
      </x:c>
      <x:c r="K19" s="51" t="n">
        <x:f>COUNTIFS('Player Ratings'!$A$5:$A$1252,$B19,'Player Ratings'!$D$5:$D$1252,"?*")</x:f>
        <x:v>0</x:v>
      </x:c>
      <x:c r="L19" s="51" t="str">
        <x:f>IF($K19=0,"seed fallback - player ratings pending",IF($J19&gt;=0.85,"verified squad/player feed",IF($J19&gt;=0.5,"partial player feed","low coverage - review")))</x:f>
        <x:v>seed fallback - player ratings pending</x:v>
      </x:c>
      <x:c r="M19" s="51" t="str"/>
    </x:row>
    <x:row r="20">
      <x:c r="A20" s="51" t="str">
        <x:v>D</x:v>
      </x:c>
      <x:c r="B20" s="51" t="str">
        <x:v>USA</x:v>
      </x:c>
      <x:c r="C20" s="55" t="n">
        <x:f>IF($K20=0,'Seed Profiles'!E20,ROUND(0.45*$D20+0.25*$E20+0.12*$F20+0.12*$G20+0.06*$H20,2))</x:f>
        <x:v>77</x:v>
      </x:c>
      <x:c r="D20" s="55" t="n">
        <x:f>IFERROR(ROUND(AVERAGEIFS('Player Ratings'!$R$5:$R$1252,'Player Ratings'!$A$5:$A$1252,$B20,'Player Ratings'!$G$5:$G$1252,"Starter"),2),'Seed Profiles'!F20)</x:f>
        <x:v>77</x:v>
      </x:c>
      <x:c r="E20" s="55" t="n">
        <x:f>IFERROR(ROUND(AVERAGEIFS('Player Ratings'!$R$5:$R$1252,'Player Ratings'!$A$5:$A$1252,$B20,'Player Ratings'!$G$5:$G$1252,"Rotation"),2),'Seed Profiles'!G20)</x:f>
        <x:v>75</x:v>
      </x:c>
      <x:c r="F20" s="55" t="n">
        <x:f>IFERROR(ROUND(AVERAGEIFS('Player Ratings'!$R$5:$R$1252,'Player Ratings'!$A$5:$A$1252,$B20,'Player Ratings'!$F$5:$F$1252,"Defence",'Player Ratings'!$G$5:$G$1252,"Starter"),2),$D20)</x:f>
        <x:v>77</x:v>
      </x:c>
      <x:c r="G20" s="55" t="n">
        <x:f>IFERROR(ROUND(AVERAGEIFS('Player Ratings'!$R$5:$R$1252,'Player Ratings'!$A$5:$A$1252,$B20,'Player Ratings'!$F$5:$F$1252,"Attack",'Player Ratings'!$G$5:$G$1252,"Starter"),2),$D20)</x:f>
        <x:v>77</x:v>
      </x:c>
      <x:c r="H20" s="55" t="n">
        <x:f>IFERROR(ROUND(AVERAGEIFS('Player Ratings'!$R$5:$R$1252,'Player Ratings'!$A$5:$A$1252,$B20,'Player Ratings'!$F$5:$F$1252,"GK",'Player Ratings'!$G$5:$G$1252,"Starter"),2),$D20)</x:f>
        <x:v>77</x:v>
      </x:c>
      <x:c r="I20" s="55" t="n">
        <x:f>MAX(20,ROUND(100-SUMIFS('Player Ratings'!$S$5:$S$1252,'Player Ratings'!$A$5:$A$1252,$B20),2))</x:f>
        <x:v>100</x:v>
      </x:c>
      <x:c r="J20" s="61" t="n">
        <x:f>ROUND(COUNTIFS('Player Ratings'!$A$5:$A$1252,$B20,'Player Ratings'!$D$5:$D$1252,"?*",'Player Ratings'!$R$5:$R$1252,"&gt;0")/26,2)</x:f>
        <x:v>0</x:v>
      </x:c>
      <x:c r="K20" s="51" t="n">
        <x:f>COUNTIFS('Player Ratings'!$A$5:$A$1252,$B20,'Player Ratings'!$D$5:$D$1252,"?*")</x:f>
        <x:v>0</x:v>
      </x:c>
      <x:c r="L20" s="51" t="str">
        <x:f>IF($K20=0,"seed fallback - player ratings pending",IF($J20&gt;=0.85,"verified squad/player feed",IF($J20&gt;=0.5,"partial player feed","low coverage - review")))</x:f>
        <x:v>seed fallback - player ratings pending</x:v>
      </x:c>
      <x:c r="M20" s="51" t="str"/>
    </x:row>
    <x:row r="21">
      <x:c r="A21" s="51" t="str">
        <x:v>E</x:v>
      </x:c>
      <x:c r="B21" s="51" t="str">
        <x:v>Curaçao</x:v>
      </x:c>
      <x:c r="C21" s="55" t="n">
        <x:f>IF($K21=0,'Seed Profiles'!E21,ROUND(0.45*$D21+0.25*$E21+0.12*$F21+0.12*$G21+0.06*$H21,2))</x:f>
        <x:v>35</x:v>
      </x:c>
      <x:c r="D21" s="55" t="n">
        <x:f>IFERROR(ROUND(AVERAGEIFS('Player Ratings'!$R$5:$R$1252,'Player Ratings'!$A$5:$A$1252,$B21,'Player Ratings'!$G$5:$G$1252,"Starter"),2),'Seed Profiles'!F21)</x:f>
        <x:v>36</x:v>
      </x:c>
      <x:c r="E21" s="55" t="n">
        <x:f>IFERROR(ROUND(AVERAGEIFS('Player Ratings'!$R$5:$R$1252,'Player Ratings'!$A$5:$A$1252,$B21,'Player Ratings'!$G$5:$G$1252,"Rotation"),2),'Seed Profiles'!G21)</x:f>
        <x:v>31</x:v>
      </x:c>
      <x:c r="F21" s="55" t="n">
        <x:f>IFERROR(ROUND(AVERAGEIFS('Player Ratings'!$R$5:$R$1252,'Player Ratings'!$A$5:$A$1252,$B21,'Player Ratings'!$F$5:$F$1252,"Defence",'Player Ratings'!$G$5:$G$1252,"Starter"),2),$D21)</x:f>
        <x:v>36</x:v>
      </x:c>
      <x:c r="G21" s="55" t="n">
        <x:f>IFERROR(ROUND(AVERAGEIFS('Player Ratings'!$R$5:$R$1252,'Player Ratings'!$A$5:$A$1252,$B21,'Player Ratings'!$F$5:$F$1252,"Attack",'Player Ratings'!$G$5:$G$1252,"Starter"),2),$D21)</x:f>
        <x:v>36</x:v>
      </x:c>
      <x:c r="H21" s="55" t="n">
        <x:f>IFERROR(ROUND(AVERAGEIFS('Player Ratings'!$R$5:$R$1252,'Player Ratings'!$A$5:$A$1252,$B21,'Player Ratings'!$F$5:$F$1252,"GK",'Player Ratings'!$G$5:$G$1252,"Starter"),2),$D21)</x:f>
        <x:v>36</x:v>
      </x:c>
      <x:c r="I21" s="55" t="n">
        <x:f>MAX(20,ROUND(100-SUMIFS('Player Ratings'!$S$5:$S$1252,'Player Ratings'!$A$5:$A$1252,$B21),2))</x:f>
        <x:v>100</x:v>
      </x:c>
      <x:c r="J21" s="61" t="n">
        <x:f>ROUND(COUNTIFS('Player Ratings'!$A$5:$A$1252,$B21,'Player Ratings'!$D$5:$D$1252,"?*",'Player Ratings'!$R$5:$R$1252,"&gt;0")/26,2)</x:f>
        <x:v>0</x:v>
      </x:c>
      <x:c r="K21" s="51" t="n">
        <x:f>COUNTIFS('Player Ratings'!$A$5:$A$1252,$B21,'Player Ratings'!$D$5:$D$1252,"?*")</x:f>
        <x:v>0</x:v>
      </x:c>
      <x:c r="L21" s="51" t="str">
        <x:f>IF($K21=0,"seed fallback - player ratings pending",IF($J21&gt;=0.85,"verified squad/player feed",IF($J21&gt;=0.5,"partial player feed","low coverage - review")))</x:f>
        <x:v>seed fallback - player ratings pending</x:v>
      </x:c>
      <x:c r="M21" s="51" t="str"/>
    </x:row>
    <x:row r="22">
      <x:c r="A22" s="51" t="str">
        <x:v>E</x:v>
      </x:c>
      <x:c r="B22" s="51" t="str">
        <x:v>Ecuador</x:v>
      </x:c>
      <x:c r="C22" s="55" t="n">
        <x:f>IF($K22=0,'Seed Profiles'!E22,ROUND(0.45*$D22+0.25*$E22+0.12*$F22+0.12*$G22+0.06*$H22,2))</x:f>
        <x:v>78</x:v>
      </x:c>
      <x:c r="D22" s="55" t="n">
        <x:f>IFERROR(ROUND(AVERAGEIFS('Player Ratings'!$R$5:$R$1252,'Player Ratings'!$A$5:$A$1252,$B22,'Player Ratings'!$G$5:$G$1252,"Starter"),2),'Seed Profiles'!F22)</x:f>
        <x:v>79</x:v>
      </x:c>
      <x:c r="E22" s="55" t="n">
        <x:f>IFERROR(ROUND(AVERAGEIFS('Player Ratings'!$R$5:$R$1252,'Player Ratings'!$A$5:$A$1252,$B22,'Player Ratings'!$G$5:$G$1252,"Rotation"),2),'Seed Profiles'!G22)</x:f>
        <x:v>74</x:v>
      </x:c>
      <x:c r="F22" s="55" t="n">
        <x:f>IFERROR(ROUND(AVERAGEIFS('Player Ratings'!$R$5:$R$1252,'Player Ratings'!$A$5:$A$1252,$B22,'Player Ratings'!$F$5:$F$1252,"Defence",'Player Ratings'!$G$5:$G$1252,"Starter"),2),$D22)</x:f>
        <x:v>79</x:v>
      </x:c>
      <x:c r="G22" s="55" t="n">
        <x:f>IFERROR(ROUND(AVERAGEIFS('Player Ratings'!$R$5:$R$1252,'Player Ratings'!$A$5:$A$1252,$B22,'Player Ratings'!$F$5:$F$1252,"Attack",'Player Ratings'!$G$5:$G$1252,"Starter"),2),$D22)</x:f>
        <x:v>79</x:v>
      </x:c>
      <x:c r="H22" s="55" t="n">
        <x:f>IFERROR(ROUND(AVERAGEIFS('Player Ratings'!$R$5:$R$1252,'Player Ratings'!$A$5:$A$1252,$B22,'Player Ratings'!$F$5:$F$1252,"GK",'Player Ratings'!$G$5:$G$1252,"Starter"),2),$D22)</x:f>
        <x:v>79</x:v>
      </x:c>
      <x:c r="I22" s="55" t="n">
        <x:f>MAX(20,ROUND(100-SUMIFS('Player Ratings'!$S$5:$S$1252,'Player Ratings'!$A$5:$A$1252,$B22),2))</x:f>
        <x:v>100</x:v>
      </x:c>
      <x:c r="J22" s="61" t="n">
        <x:f>ROUND(COUNTIFS('Player Ratings'!$A$5:$A$1252,$B22,'Player Ratings'!$D$5:$D$1252,"?*",'Player Ratings'!$R$5:$R$1252,"&gt;0")/26,2)</x:f>
        <x:v>0</x:v>
      </x:c>
      <x:c r="K22" s="51" t="n">
        <x:f>COUNTIFS('Player Ratings'!$A$5:$A$1252,$B22,'Player Ratings'!$D$5:$D$1252,"?*")</x:f>
        <x:v>0</x:v>
      </x:c>
      <x:c r="L22" s="51" t="str">
        <x:f>IF($K22=0,"seed fallback - player ratings pending",IF($J22&gt;=0.85,"verified squad/player feed",IF($J22&gt;=0.5,"partial player feed","low coverage - review")))</x:f>
        <x:v>seed fallback - player ratings pending</x:v>
      </x:c>
      <x:c r="M22" s="51" t="str"/>
    </x:row>
    <x:row r="23">
      <x:c r="A23" s="51" t="str">
        <x:v>E</x:v>
      </x:c>
      <x:c r="B23" s="51" t="str">
        <x:v>Germany</x:v>
      </x:c>
      <x:c r="C23" s="55" t="n">
        <x:f>IF($K23=0,'Seed Profiles'!E23,ROUND(0.45*$D23+0.25*$E23+0.12*$F23+0.12*$G23+0.06*$H23,2))</x:f>
        <x:v>86</x:v>
      </x:c>
      <x:c r="D23" s="55" t="n">
        <x:f>IFERROR(ROUND(AVERAGEIFS('Player Ratings'!$R$5:$R$1252,'Player Ratings'!$A$5:$A$1252,$B23,'Player Ratings'!$G$5:$G$1252,"Starter"),2),'Seed Profiles'!F23)</x:f>
        <x:v>86</x:v>
      </x:c>
      <x:c r="E23" s="55" t="n">
        <x:f>IFERROR(ROUND(AVERAGEIFS('Player Ratings'!$R$5:$R$1252,'Player Ratings'!$A$5:$A$1252,$B23,'Player Ratings'!$G$5:$G$1252,"Rotation"),2),'Seed Profiles'!G23)</x:f>
        <x:v>85</x:v>
      </x:c>
      <x:c r="F23" s="55" t="n">
        <x:f>IFERROR(ROUND(AVERAGEIFS('Player Ratings'!$R$5:$R$1252,'Player Ratings'!$A$5:$A$1252,$B23,'Player Ratings'!$F$5:$F$1252,"Defence",'Player Ratings'!$G$5:$G$1252,"Starter"),2),$D23)</x:f>
        <x:v>86</x:v>
      </x:c>
      <x:c r="G23" s="55" t="n">
        <x:f>IFERROR(ROUND(AVERAGEIFS('Player Ratings'!$R$5:$R$1252,'Player Ratings'!$A$5:$A$1252,$B23,'Player Ratings'!$F$5:$F$1252,"Attack",'Player Ratings'!$G$5:$G$1252,"Starter"),2),$D23)</x:f>
        <x:v>86</x:v>
      </x:c>
      <x:c r="H23" s="55" t="n">
        <x:f>IFERROR(ROUND(AVERAGEIFS('Player Ratings'!$R$5:$R$1252,'Player Ratings'!$A$5:$A$1252,$B23,'Player Ratings'!$F$5:$F$1252,"GK",'Player Ratings'!$G$5:$G$1252,"Starter"),2),$D23)</x:f>
        <x:v>86</x:v>
      </x:c>
      <x:c r="I23" s="55" t="n">
        <x:f>MAX(20,ROUND(100-SUMIFS('Player Ratings'!$S$5:$S$1252,'Player Ratings'!$A$5:$A$1252,$B23),2))</x:f>
        <x:v>100</x:v>
      </x:c>
      <x:c r="J23" s="61" t="n">
        <x:f>ROUND(COUNTIFS('Player Ratings'!$A$5:$A$1252,$B23,'Player Ratings'!$D$5:$D$1252,"?*",'Player Ratings'!$R$5:$R$1252,"&gt;0")/26,2)</x:f>
        <x:v>0</x:v>
      </x:c>
      <x:c r="K23" s="51" t="n">
        <x:f>COUNTIFS('Player Ratings'!$A$5:$A$1252,$B23,'Player Ratings'!$D$5:$D$1252,"?*")</x:f>
        <x:v>0</x:v>
      </x:c>
      <x:c r="L23" s="51" t="str">
        <x:f>IF($K23=0,"seed fallback - player ratings pending",IF($J23&gt;=0.85,"verified squad/player feed",IF($J23&gt;=0.5,"partial player feed","low coverage - review")))</x:f>
        <x:v>seed fallback - player ratings pending</x:v>
      </x:c>
      <x:c r="M23" s="51" t="str"/>
    </x:row>
    <x:row r="24">
      <x:c r="A24" s="51" t="str">
        <x:v>E</x:v>
      </x:c>
      <x:c r="B24" s="51" t="str">
        <x:v>Ivory Coast</x:v>
      </x:c>
      <x:c r="C24" s="55" t="n">
        <x:f>IF($K24=0,'Seed Profiles'!E24,ROUND(0.45*$D24+0.25*$E24+0.12*$F24+0.12*$G24+0.06*$H24,2))</x:f>
        <x:v>74</x:v>
      </x:c>
      <x:c r="D24" s="55" t="n">
        <x:f>IFERROR(ROUND(AVERAGEIFS('Player Ratings'!$R$5:$R$1252,'Player Ratings'!$A$5:$A$1252,$B24,'Player Ratings'!$G$5:$G$1252,"Starter"),2),'Seed Profiles'!F24)</x:f>
        <x:v>74</x:v>
      </x:c>
      <x:c r="E24" s="55" t="n">
        <x:f>IFERROR(ROUND(AVERAGEIFS('Player Ratings'!$R$5:$R$1252,'Player Ratings'!$A$5:$A$1252,$B24,'Player Ratings'!$G$5:$G$1252,"Rotation"),2),'Seed Profiles'!G24)</x:f>
        <x:v>72</x:v>
      </x:c>
      <x:c r="F24" s="55" t="n">
        <x:f>IFERROR(ROUND(AVERAGEIFS('Player Ratings'!$R$5:$R$1252,'Player Ratings'!$A$5:$A$1252,$B24,'Player Ratings'!$F$5:$F$1252,"Defence",'Player Ratings'!$G$5:$G$1252,"Starter"),2),$D24)</x:f>
        <x:v>74</x:v>
      </x:c>
      <x:c r="G24" s="55" t="n">
        <x:f>IFERROR(ROUND(AVERAGEIFS('Player Ratings'!$R$5:$R$1252,'Player Ratings'!$A$5:$A$1252,$B24,'Player Ratings'!$F$5:$F$1252,"Attack",'Player Ratings'!$G$5:$G$1252,"Starter"),2),$D24)</x:f>
        <x:v>74</x:v>
      </x:c>
      <x:c r="H24" s="55" t="n">
        <x:f>IFERROR(ROUND(AVERAGEIFS('Player Ratings'!$R$5:$R$1252,'Player Ratings'!$A$5:$A$1252,$B24,'Player Ratings'!$F$5:$F$1252,"GK",'Player Ratings'!$G$5:$G$1252,"Starter"),2),$D24)</x:f>
        <x:v>74</x:v>
      </x:c>
      <x:c r="I24" s="55" t="n">
        <x:f>MAX(20,ROUND(100-SUMIFS('Player Ratings'!$S$5:$S$1252,'Player Ratings'!$A$5:$A$1252,$B24),2))</x:f>
        <x:v>100</x:v>
      </x:c>
      <x:c r="J24" s="61" t="n">
        <x:f>ROUND(COUNTIFS('Player Ratings'!$A$5:$A$1252,$B24,'Player Ratings'!$D$5:$D$1252,"?*",'Player Ratings'!$R$5:$R$1252,"&gt;0")/26,2)</x:f>
        <x:v>0</x:v>
      </x:c>
      <x:c r="K24" s="51" t="n">
        <x:f>COUNTIFS('Player Ratings'!$A$5:$A$1252,$B24,'Player Ratings'!$D$5:$D$1252,"?*")</x:f>
        <x:v>0</x:v>
      </x:c>
      <x:c r="L24" s="51" t="str">
        <x:f>IF($K24=0,"seed fallback - player ratings pending",IF($J24&gt;=0.85,"verified squad/player feed",IF($J24&gt;=0.5,"partial player feed","low coverage - review")))</x:f>
        <x:v>seed fallback - player ratings pending</x:v>
      </x:c>
      <x:c r="M24" s="51" t="str"/>
    </x:row>
    <x:row r="25">
      <x:c r="A25" s="51" t="str">
        <x:v>F</x:v>
      </x:c>
      <x:c r="B25" s="51" t="str">
        <x:v>Japan</x:v>
      </x:c>
      <x:c r="C25" s="55" t="n">
        <x:f>IF($K25=0,'Seed Profiles'!E25,ROUND(0.45*$D25+0.25*$E25+0.12*$F25+0.12*$G25+0.06*$H25,2))</x:f>
        <x:v>79</x:v>
      </x:c>
      <x:c r="D25" s="55" t="n">
        <x:f>IFERROR(ROUND(AVERAGEIFS('Player Ratings'!$R$5:$R$1252,'Player Ratings'!$A$5:$A$1252,$B25,'Player Ratings'!$G$5:$G$1252,"Starter"),2),'Seed Profiles'!F25)</x:f>
        <x:v>78</x:v>
      </x:c>
      <x:c r="E25" s="55" t="n">
        <x:f>IFERROR(ROUND(AVERAGEIFS('Player Ratings'!$R$5:$R$1252,'Player Ratings'!$A$5:$A$1252,$B25,'Player Ratings'!$G$5:$G$1252,"Rotation"),2),'Seed Profiles'!G25)</x:f>
        <x:v>78</x:v>
      </x:c>
      <x:c r="F25" s="55" t="n">
        <x:f>IFERROR(ROUND(AVERAGEIFS('Player Ratings'!$R$5:$R$1252,'Player Ratings'!$A$5:$A$1252,$B25,'Player Ratings'!$F$5:$F$1252,"Defence",'Player Ratings'!$G$5:$G$1252,"Starter"),2),$D25)</x:f>
        <x:v>78</x:v>
      </x:c>
      <x:c r="G25" s="55" t="n">
        <x:f>IFERROR(ROUND(AVERAGEIFS('Player Ratings'!$R$5:$R$1252,'Player Ratings'!$A$5:$A$1252,$B25,'Player Ratings'!$F$5:$F$1252,"Attack",'Player Ratings'!$G$5:$G$1252,"Starter"),2),$D25)</x:f>
        <x:v>78</x:v>
      </x:c>
      <x:c r="H25" s="55" t="n">
        <x:f>IFERROR(ROUND(AVERAGEIFS('Player Ratings'!$R$5:$R$1252,'Player Ratings'!$A$5:$A$1252,$B25,'Player Ratings'!$F$5:$F$1252,"GK",'Player Ratings'!$G$5:$G$1252,"Starter"),2),$D25)</x:f>
        <x:v>78</x:v>
      </x:c>
      <x:c r="I25" s="55" t="n">
        <x:f>MAX(20,ROUND(100-SUMIFS('Player Ratings'!$S$5:$S$1252,'Player Ratings'!$A$5:$A$1252,$B25),2))</x:f>
        <x:v>100</x:v>
      </x:c>
      <x:c r="J25" s="61" t="n">
        <x:f>ROUND(COUNTIFS('Player Ratings'!$A$5:$A$1252,$B25,'Player Ratings'!$D$5:$D$1252,"?*",'Player Ratings'!$R$5:$R$1252,"&gt;0")/26,2)</x:f>
        <x:v>0</x:v>
      </x:c>
      <x:c r="K25" s="51" t="n">
        <x:f>COUNTIFS('Player Ratings'!$A$5:$A$1252,$B25,'Player Ratings'!$D$5:$D$1252,"?*")</x:f>
        <x:v>0</x:v>
      </x:c>
      <x:c r="L25" s="51" t="str">
        <x:f>IF($K25=0,"seed fallback - player ratings pending",IF($J25&gt;=0.85,"verified squad/player feed",IF($J25&gt;=0.5,"partial player feed","low coverage - review")))</x:f>
        <x:v>seed fallback - player ratings pending</x:v>
      </x:c>
      <x:c r="M25" s="51" t="str"/>
    </x:row>
    <x:row r="26">
      <x:c r="A26" s="51" t="str">
        <x:v>F</x:v>
      </x:c>
      <x:c r="B26" s="51" t="str">
        <x:v>Netherlands</x:v>
      </x:c>
      <x:c r="C26" s="55" t="n">
        <x:f>IF($K26=0,'Seed Profiles'!E26,ROUND(0.45*$D26+0.25*$E26+0.12*$F26+0.12*$G26+0.06*$H26,2))</x:f>
        <x:v>86</x:v>
      </x:c>
      <x:c r="D26" s="55" t="n">
        <x:f>IFERROR(ROUND(AVERAGEIFS('Player Ratings'!$R$5:$R$1252,'Player Ratings'!$A$5:$A$1252,$B26,'Player Ratings'!$G$5:$G$1252,"Starter"),2),'Seed Profiles'!F26)</x:f>
        <x:v>86</x:v>
      </x:c>
      <x:c r="E26" s="55" t="n">
        <x:f>IFERROR(ROUND(AVERAGEIFS('Player Ratings'!$R$5:$R$1252,'Player Ratings'!$A$5:$A$1252,$B26,'Player Ratings'!$G$5:$G$1252,"Rotation"),2),'Seed Profiles'!G26)</x:f>
        <x:v>84</x:v>
      </x:c>
      <x:c r="F26" s="55" t="n">
        <x:f>IFERROR(ROUND(AVERAGEIFS('Player Ratings'!$R$5:$R$1252,'Player Ratings'!$A$5:$A$1252,$B26,'Player Ratings'!$F$5:$F$1252,"Defence",'Player Ratings'!$G$5:$G$1252,"Starter"),2),$D26)</x:f>
        <x:v>86</x:v>
      </x:c>
      <x:c r="G26" s="55" t="n">
        <x:f>IFERROR(ROUND(AVERAGEIFS('Player Ratings'!$R$5:$R$1252,'Player Ratings'!$A$5:$A$1252,$B26,'Player Ratings'!$F$5:$F$1252,"Attack",'Player Ratings'!$G$5:$G$1252,"Starter"),2),$D26)</x:f>
        <x:v>86</x:v>
      </x:c>
      <x:c r="H26" s="55" t="n">
        <x:f>IFERROR(ROUND(AVERAGEIFS('Player Ratings'!$R$5:$R$1252,'Player Ratings'!$A$5:$A$1252,$B26,'Player Ratings'!$F$5:$F$1252,"GK",'Player Ratings'!$G$5:$G$1252,"Starter"),2),$D26)</x:f>
        <x:v>86</x:v>
      </x:c>
      <x:c r="I26" s="55" t="n">
        <x:f>MAX(20,ROUND(100-SUMIFS('Player Ratings'!$S$5:$S$1252,'Player Ratings'!$A$5:$A$1252,$B26),2))</x:f>
        <x:v>100</x:v>
      </x:c>
      <x:c r="J26" s="61" t="n">
        <x:f>ROUND(COUNTIFS('Player Ratings'!$A$5:$A$1252,$B26,'Player Ratings'!$D$5:$D$1252,"?*",'Player Ratings'!$R$5:$R$1252,"&gt;0")/26,2)</x:f>
        <x:v>0</x:v>
      </x:c>
      <x:c r="K26" s="51" t="n">
        <x:f>COUNTIFS('Player Ratings'!$A$5:$A$1252,$B26,'Player Ratings'!$D$5:$D$1252,"?*")</x:f>
        <x:v>0</x:v>
      </x:c>
      <x:c r="L26" s="51" t="str">
        <x:f>IF($K26=0,"seed fallback - player ratings pending",IF($J26&gt;=0.85,"verified squad/player feed",IF($J26&gt;=0.5,"partial player feed","low coverage - review")))</x:f>
        <x:v>seed fallback - player ratings pending</x:v>
      </x:c>
      <x:c r="M26" s="51" t="str"/>
    </x:row>
    <x:row r="27">
      <x:c r="A27" s="51" t="str">
        <x:v>F</x:v>
      </x:c>
      <x:c r="B27" s="51" t="str">
        <x:v>Sweden</x:v>
      </x:c>
      <x:c r="C27" s="55" t="n">
        <x:f>IF($K27=0,'Seed Profiles'!E27,ROUND(0.45*$D27+0.25*$E27+0.12*$F27+0.12*$G27+0.06*$H27,2))</x:f>
        <x:v>72</x:v>
      </x:c>
      <x:c r="D27" s="55" t="n">
        <x:f>IFERROR(ROUND(AVERAGEIFS('Player Ratings'!$R$5:$R$1252,'Player Ratings'!$A$5:$A$1252,$B27,'Player Ratings'!$G$5:$G$1252,"Starter"),2),'Seed Profiles'!F27)</x:f>
        <x:v>72</x:v>
      </x:c>
      <x:c r="E27" s="55" t="n">
        <x:f>IFERROR(ROUND(AVERAGEIFS('Player Ratings'!$R$5:$R$1252,'Player Ratings'!$A$5:$A$1252,$B27,'Player Ratings'!$G$5:$G$1252,"Rotation"),2),'Seed Profiles'!G27)</x:f>
        <x:v>69</x:v>
      </x:c>
      <x:c r="F27" s="55" t="n">
        <x:f>IFERROR(ROUND(AVERAGEIFS('Player Ratings'!$R$5:$R$1252,'Player Ratings'!$A$5:$A$1252,$B27,'Player Ratings'!$F$5:$F$1252,"Defence",'Player Ratings'!$G$5:$G$1252,"Starter"),2),$D27)</x:f>
        <x:v>72</x:v>
      </x:c>
      <x:c r="G27" s="55" t="n">
        <x:f>IFERROR(ROUND(AVERAGEIFS('Player Ratings'!$R$5:$R$1252,'Player Ratings'!$A$5:$A$1252,$B27,'Player Ratings'!$F$5:$F$1252,"Attack",'Player Ratings'!$G$5:$G$1252,"Starter"),2),$D27)</x:f>
        <x:v>72</x:v>
      </x:c>
      <x:c r="H27" s="55" t="n">
        <x:f>IFERROR(ROUND(AVERAGEIFS('Player Ratings'!$R$5:$R$1252,'Player Ratings'!$A$5:$A$1252,$B27,'Player Ratings'!$F$5:$F$1252,"GK",'Player Ratings'!$G$5:$G$1252,"Starter"),2),$D27)</x:f>
        <x:v>72</x:v>
      </x:c>
      <x:c r="I27" s="55" t="n">
        <x:f>MAX(20,ROUND(100-SUMIFS('Player Ratings'!$S$5:$S$1252,'Player Ratings'!$A$5:$A$1252,$B27),2))</x:f>
        <x:v>100</x:v>
      </x:c>
      <x:c r="J27" s="61" t="n">
        <x:f>ROUND(COUNTIFS('Player Ratings'!$A$5:$A$1252,$B27,'Player Ratings'!$D$5:$D$1252,"?*",'Player Ratings'!$R$5:$R$1252,"&gt;0")/26,2)</x:f>
        <x:v>0</x:v>
      </x:c>
      <x:c r="K27" s="51" t="n">
        <x:f>COUNTIFS('Player Ratings'!$A$5:$A$1252,$B27,'Player Ratings'!$D$5:$D$1252,"?*")</x:f>
        <x:v>0</x:v>
      </x:c>
      <x:c r="L27" s="51" t="str">
        <x:f>IF($K27=0,"seed fallback - player ratings pending",IF($J27&gt;=0.85,"verified squad/player feed",IF($J27&gt;=0.5,"partial player feed","low coverage - review")))</x:f>
        <x:v>seed fallback - player ratings pending</x:v>
      </x:c>
      <x:c r="M27" s="51" t="str"/>
    </x:row>
    <x:row r="28">
      <x:c r="A28" s="51" t="str">
        <x:v>F</x:v>
      </x:c>
      <x:c r="B28" s="51" t="str">
        <x:v>Tunisia</x:v>
      </x:c>
      <x:c r="C28" s="55" t="n">
        <x:f>IF($K28=0,'Seed Profiles'!E28,ROUND(0.45*$D28+0.25*$E28+0.12*$F28+0.12*$G28+0.06*$H28,2))</x:f>
        <x:v>41</x:v>
      </x:c>
      <x:c r="D28" s="55" t="n">
        <x:f>IFERROR(ROUND(AVERAGEIFS('Player Ratings'!$R$5:$R$1252,'Player Ratings'!$A$5:$A$1252,$B28,'Player Ratings'!$G$5:$G$1252,"Starter"),2),'Seed Profiles'!F28)</x:f>
        <x:v>42</x:v>
      </x:c>
      <x:c r="E28" s="55" t="n">
        <x:f>IFERROR(ROUND(AVERAGEIFS('Player Ratings'!$R$5:$R$1252,'Player Ratings'!$A$5:$A$1252,$B28,'Player Ratings'!$G$5:$G$1252,"Rotation"),2),'Seed Profiles'!G28)</x:f>
        <x:v>37</x:v>
      </x:c>
      <x:c r="F28" s="55" t="n">
        <x:f>IFERROR(ROUND(AVERAGEIFS('Player Ratings'!$R$5:$R$1252,'Player Ratings'!$A$5:$A$1252,$B28,'Player Ratings'!$F$5:$F$1252,"Defence",'Player Ratings'!$G$5:$G$1252,"Starter"),2),$D28)</x:f>
        <x:v>42</x:v>
      </x:c>
      <x:c r="G28" s="55" t="n">
        <x:f>IFERROR(ROUND(AVERAGEIFS('Player Ratings'!$R$5:$R$1252,'Player Ratings'!$A$5:$A$1252,$B28,'Player Ratings'!$F$5:$F$1252,"Attack",'Player Ratings'!$G$5:$G$1252,"Starter"),2),$D28)</x:f>
        <x:v>42</x:v>
      </x:c>
      <x:c r="H28" s="55" t="n">
        <x:f>IFERROR(ROUND(AVERAGEIFS('Player Ratings'!$R$5:$R$1252,'Player Ratings'!$A$5:$A$1252,$B28,'Player Ratings'!$F$5:$F$1252,"GK",'Player Ratings'!$G$5:$G$1252,"Starter"),2),$D28)</x:f>
        <x:v>42</x:v>
      </x:c>
      <x:c r="I28" s="55" t="n">
        <x:f>MAX(20,ROUND(100-SUMIFS('Player Ratings'!$S$5:$S$1252,'Player Ratings'!$A$5:$A$1252,$B28),2))</x:f>
        <x:v>100</x:v>
      </x:c>
      <x:c r="J28" s="61" t="n">
        <x:f>ROUND(COUNTIFS('Player Ratings'!$A$5:$A$1252,$B28,'Player Ratings'!$D$5:$D$1252,"?*",'Player Ratings'!$R$5:$R$1252,"&gt;0")/26,2)</x:f>
        <x:v>0</x:v>
      </x:c>
      <x:c r="K28" s="51" t="n">
        <x:f>COUNTIFS('Player Ratings'!$A$5:$A$1252,$B28,'Player Ratings'!$D$5:$D$1252,"?*")</x:f>
        <x:v>0</x:v>
      </x:c>
      <x:c r="L28" s="51" t="str">
        <x:f>IF($K28=0,"seed fallback - player ratings pending",IF($J28&gt;=0.85,"verified squad/player feed",IF($J28&gt;=0.5,"partial player feed","low coverage - review")))</x:f>
        <x:v>seed fallback - player ratings pending</x:v>
      </x:c>
      <x:c r="M28" s="51" t="str"/>
    </x:row>
    <x:row r="29">
      <x:c r="A29" s="51" t="str">
        <x:v>G</x:v>
      </x:c>
      <x:c r="B29" s="51" t="str">
        <x:v>Belgium</x:v>
      </x:c>
      <x:c r="C29" s="55" t="n">
        <x:f>IF($K29=0,'Seed Profiles'!E29,ROUND(0.45*$D29+0.25*$E29+0.12*$F29+0.12*$G29+0.06*$H29,2))</x:f>
        <x:v>81</x:v>
      </x:c>
      <x:c r="D29" s="55" t="n">
        <x:f>IFERROR(ROUND(AVERAGEIFS('Player Ratings'!$R$5:$R$1252,'Player Ratings'!$A$5:$A$1252,$B29,'Player Ratings'!$G$5:$G$1252,"Starter"),2),'Seed Profiles'!F29)</x:f>
        <x:v>82</x:v>
      </x:c>
      <x:c r="E29" s="55" t="n">
        <x:f>IFERROR(ROUND(AVERAGEIFS('Player Ratings'!$R$5:$R$1252,'Player Ratings'!$A$5:$A$1252,$B29,'Player Ratings'!$G$5:$G$1252,"Rotation"),2),'Seed Profiles'!G29)</x:f>
        <x:v>77</x:v>
      </x:c>
      <x:c r="F29" s="55" t="n">
        <x:f>IFERROR(ROUND(AVERAGEIFS('Player Ratings'!$R$5:$R$1252,'Player Ratings'!$A$5:$A$1252,$B29,'Player Ratings'!$F$5:$F$1252,"Defence",'Player Ratings'!$G$5:$G$1252,"Starter"),2),$D29)</x:f>
        <x:v>82</x:v>
      </x:c>
      <x:c r="G29" s="55" t="n">
        <x:f>IFERROR(ROUND(AVERAGEIFS('Player Ratings'!$R$5:$R$1252,'Player Ratings'!$A$5:$A$1252,$B29,'Player Ratings'!$F$5:$F$1252,"Attack",'Player Ratings'!$G$5:$G$1252,"Starter"),2),$D29)</x:f>
        <x:v>82</x:v>
      </x:c>
      <x:c r="H29" s="55" t="n">
        <x:f>IFERROR(ROUND(AVERAGEIFS('Player Ratings'!$R$5:$R$1252,'Player Ratings'!$A$5:$A$1252,$B29,'Player Ratings'!$F$5:$F$1252,"GK",'Player Ratings'!$G$5:$G$1252,"Starter"),2),$D29)</x:f>
        <x:v>82</x:v>
      </x:c>
      <x:c r="I29" s="55" t="n">
        <x:f>MAX(20,ROUND(100-SUMIFS('Player Ratings'!$S$5:$S$1252,'Player Ratings'!$A$5:$A$1252,$B29),2))</x:f>
        <x:v>100</x:v>
      </x:c>
      <x:c r="J29" s="61" t="n">
        <x:f>ROUND(COUNTIFS('Player Ratings'!$A$5:$A$1252,$B29,'Player Ratings'!$D$5:$D$1252,"?*",'Player Ratings'!$R$5:$R$1252,"&gt;0")/26,2)</x:f>
        <x:v>0</x:v>
      </x:c>
      <x:c r="K29" s="51" t="n">
        <x:f>COUNTIFS('Player Ratings'!$A$5:$A$1252,$B29,'Player Ratings'!$D$5:$D$1252,"?*")</x:f>
        <x:v>0</x:v>
      </x:c>
      <x:c r="L29" s="51" t="str">
        <x:f>IF($K29=0,"seed fallback - player ratings pending",IF($J29&gt;=0.85,"verified squad/player feed",IF($J29&gt;=0.5,"partial player feed","low coverage - review")))</x:f>
        <x:v>seed fallback - player ratings pending</x:v>
      </x:c>
      <x:c r="M29" s="51" t="str"/>
    </x:row>
    <x:row r="30">
      <x:c r="A30" s="51" t="str">
        <x:v>G</x:v>
      </x:c>
      <x:c r="B30" s="51" t="str">
        <x:v>Egypt</x:v>
      </x:c>
      <x:c r="C30" s="55" t="n">
        <x:f>IF($K30=0,'Seed Profiles'!E30,ROUND(0.45*$D30+0.25*$E30+0.12*$F30+0.12*$G30+0.06*$H30,2))</x:f>
        <x:v>72</x:v>
      </x:c>
      <x:c r="D30" s="55" t="n">
        <x:f>IFERROR(ROUND(AVERAGEIFS('Player Ratings'!$R$5:$R$1252,'Player Ratings'!$A$5:$A$1252,$B30,'Player Ratings'!$G$5:$G$1252,"Starter"),2),'Seed Profiles'!F30)</x:f>
        <x:v>73</x:v>
      </x:c>
      <x:c r="E30" s="55" t="n">
        <x:f>IFERROR(ROUND(AVERAGEIFS('Player Ratings'!$R$5:$R$1252,'Player Ratings'!$A$5:$A$1252,$B30,'Player Ratings'!$G$5:$G$1252,"Rotation"),2),'Seed Profiles'!G30)</x:f>
        <x:v>68</x:v>
      </x:c>
      <x:c r="F30" s="55" t="n">
        <x:f>IFERROR(ROUND(AVERAGEIFS('Player Ratings'!$R$5:$R$1252,'Player Ratings'!$A$5:$A$1252,$B30,'Player Ratings'!$F$5:$F$1252,"Defence",'Player Ratings'!$G$5:$G$1252,"Starter"),2),$D30)</x:f>
        <x:v>73</x:v>
      </x:c>
      <x:c r="G30" s="55" t="n">
        <x:f>IFERROR(ROUND(AVERAGEIFS('Player Ratings'!$R$5:$R$1252,'Player Ratings'!$A$5:$A$1252,$B30,'Player Ratings'!$F$5:$F$1252,"Attack",'Player Ratings'!$G$5:$G$1252,"Starter"),2),$D30)</x:f>
        <x:v>73</x:v>
      </x:c>
      <x:c r="H30" s="55" t="n">
        <x:f>IFERROR(ROUND(AVERAGEIFS('Player Ratings'!$R$5:$R$1252,'Player Ratings'!$A$5:$A$1252,$B30,'Player Ratings'!$F$5:$F$1252,"GK",'Player Ratings'!$G$5:$G$1252,"Starter"),2),$D30)</x:f>
        <x:v>73</x:v>
      </x:c>
      <x:c r="I30" s="55" t="n">
        <x:f>MAX(20,ROUND(100-SUMIFS('Player Ratings'!$S$5:$S$1252,'Player Ratings'!$A$5:$A$1252,$B30),2))</x:f>
        <x:v>100</x:v>
      </x:c>
      <x:c r="J30" s="61" t="n">
        <x:f>ROUND(COUNTIFS('Player Ratings'!$A$5:$A$1252,$B30,'Player Ratings'!$D$5:$D$1252,"?*",'Player Ratings'!$R$5:$R$1252,"&gt;0")/26,2)</x:f>
        <x:v>0</x:v>
      </x:c>
      <x:c r="K30" s="51" t="n">
        <x:f>COUNTIFS('Player Ratings'!$A$5:$A$1252,$B30,'Player Ratings'!$D$5:$D$1252,"?*")</x:f>
        <x:v>0</x:v>
      </x:c>
      <x:c r="L30" s="51" t="str">
        <x:f>IF($K30=0,"seed fallback - player ratings pending",IF($J30&gt;=0.85,"verified squad/player feed",IF($J30&gt;=0.5,"partial player feed","low coverage - review")))</x:f>
        <x:v>seed fallback - player ratings pending</x:v>
      </x:c>
      <x:c r="M30" s="51" t="str"/>
    </x:row>
    <x:row r="31">
      <x:c r="A31" s="51" t="str">
        <x:v>G</x:v>
      </x:c>
      <x:c r="B31" s="51" t="str">
        <x:v>Iran</x:v>
      </x:c>
      <x:c r="C31" s="55" t="n">
        <x:f>IF($K31=0,'Seed Profiles'!E31,ROUND(0.45*$D31+0.25*$E31+0.12*$F31+0.12*$G31+0.06*$H31,2))</x:f>
        <x:v>71</x:v>
      </x:c>
      <x:c r="D31" s="55" t="n">
        <x:f>IFERROR(ROUND(AVERAGEIFS('Player Ratings'!$R$5:$R$1252,'Player Ratings'!$A$5:$A$1252,$B31,'Player Ratings'!$G$5:$G$1252,"Starter"),2),'Seed Profiles'!F31)</x:f>
        <x:v>72</x:v>
      </x:c>
      <x:c r="E31" s="55" t="n">
        <x:f>IFERROR(ROUND(AVERAGEIFS('Player Ratings'!$R$5:$R$1252,'Player Ratings'!$A$5:$A$1252,$B31,'Player Ratings'!$G$5:$G$1252,"Rotation"),2),'Seed Profiles'!G31)</x:f>
        <x:v>68</x:v>
      </x:c>
      <x:c r="F31" s="55" t="n">
        <x:f>IFERROR(ROUND(AVERAGEIFS('Player Ratings'!$R$5:$R$1252,'Player Ratings'!$A$5:$A$1252,$B31,'Player Ratings'!$F$5:$F$1252,"Defence",'Player Ratings'!$G$5:$G$1252,"Starter"),2),$D31)</x:f>
        <x:v>72</x:v>
      </x:c>
      <x:c r="G31" s="55" t="n">
        <x:f>IFERROR(ROUND(AVERAGEIFS('Player Ratings'!$R$5:$R$1252,'Player Ratings'!$A$5:$A$1252,$B31,'Player Ratings'!$F$5:$F$1252,"Attack",'Player Ratings'!$G$5:$G$1252,"Starter"),2),$D31)</x:f>
        <x:v>72</x:v>
      </x:c>
      <x:c r="H31" s="55" t="n">
        <x:f>IFERROR(ROUND(AVERAGEIFS('Player Ratings'!$R$5:$R$1252,'Player Ratings'!$A$5:$A$1252,$B31,'Player Ratings'!$F$5:$F$1252,"GK",'Player Ratings'!$G$5:$G$1252,"Starter"),2),$D31)</x:f>
        <x:v>72</x:v>
      </x:c>
      <x:c r="I31" s="55" t="n">
        <x:f>MAX(20,ROUND(100-SUMIFS('Player Ratings'!$S$5:$S$1252,'Player Ratings'!$A$5:$A$1252,$B31),2))</x:f>
        <x:v>100</x:v>
      </x:c>
      <x:c r="J31" s="61" t="n">
        <x:f>ROUND(COUNTIFS('Player Ratings'!$A$5:$A$1252,$B31,'Player Ratings'!$D$5:$D$1252,"?*",'Player Ratings'!$R$5:$R$1252,"&gt;0")/26,2)</x:f>
        <x:v>0</x:v>
      </x:c>
      <x:c r="K31" s="51" t="n">
        <x:f>COUNTIFS('Player Ratings'!$A$5:$A$1252,$B31,'Player Ratings'!$D$5:$D$1252,"?*")</x:f>
        <x:v>0</x:v>
      </x:c>
      <x:c r="L31" s="51" t="str">
        <x:f>IF($K31=0,"seed fallback - player ratings pending",IF($J31&gt;=0.85,"verified squad/player feed",IF($J31&gt;=0.5,"partial player feed","low coverage - review")))</x:f>
        <x:v>seed fallback - player ratings pending</x:v>
      </x:c>
      <x:c r="M31" s="51" t="str"/>
    </x:row>
    <x:row r="32">
      <x:c r="A32" s="51" t="str">
        <x:v>G</x:v>
      </x:c>
      <x:c r="B32" s="51" t="str">
        <x:v>New Zealand</x:v>
      </x:c>
      <x:c r="C32" s="55" t="n">
        <x:f>IF($K32=0,'Seed Profiles'!E32,ROUND(0.45*$D32+0.25*$E32+0.12*$F32+0.12*$G32+0.06*$H32,2))</x:f>
        <x:v>42</x:v>
      </x:c>
      <x:c r="D32" s="55" t="n">
        <x:f>IFERROR(ROUND(AVERAGEIFS('Player Ratings'!$R$5:$R$1252,'Player Ratings'!$A$5:$A$1252,$B32,'Player Ratings'!$G$5:$G$1252,"Starter"),2),'Seed Profiles'!F32)</x:f>
        <x:v>43</x:v>
      </x:c>
      <x:c r="E32" s="55" t="n">
        <x:f>IFERROR(ROUND(AVERAGEIFS('Player Ratings'!$R$5:$R$1252,'Player Ratings'!$A$5:$A$1252,$B32,'Player Ratings'!$G$5:$G$1252,"Rotation"),2),'Seed Profiles'!G32)</x:f>
        <x:v>38</x:v>
      </x:c>
      <x:c r="F32" s="55" t="n">
        <x:f>IFERROR(ROUND(AVERAGEIFS('Player Ratings'!$R$5:$R$1252,'Player Ratings'!$A$5:$A$1252,$B32,'Player Ratings'!$F$5:$F$1252,"Defence",'Player Ratings'!$G$5:$G$1252,"Starter"),2),$D32)</x:f>
        <x:v>43</x:v>
      </x:c>
      <x:c r="G32" s="55" t="n">
        <x:f>IFERROR(ROUND(AVERAGEIFS('Player Ratings'!$R$5:$R$1252,'Player Ratings'!$A$5:$A$1252,$B32,'Player Ratings'!$F$5:$F$1252,"Attack",'Player Ratings'!$G$5:$G$1252,"Starter"),2),$D32)</x:f>
        <x:v>43</x:v>
      </x:c>
      <x:c r="H32" s="55" t="n">
        <x:f>IFERROR(ROUND(AVERAGEIFS('Player Ratings'!$R$5:$R$1252,'Player Ratings'!$A$5:$A$1252,$B32,'Player Ratings'!$F$5:$F$1252,"GK",'Player Ratings'!$G$5:$G$1252,"Starter"),2),$D32)</x:f>
        <x:v>43</x:v>
      </x:c>
      <x:c r="I32" s="55" t="n">
        <x:f>MAX(20,ROUND(100-SUMIFS('Player Ratings'!$S$5:$S$1252,'Player Ratings'!$A$5:$A$1252,$B32),2))</x:f>
        <x:v>100</x:v>
      </x:c>
      <x:c r="J32" s="61" t="n">
        <x:f>ROUND(COUNTIFS('Player Ratings'!$A$5:$A$1252,$B32,'Player Ratings'!$D$5:$D$1252,"?*",'Player Ratings'!$R$5:$R$1252,"&gt;0")/26,2)</x:f>
        <x:v>0</x:v>
      </x:c>
      <x:c r="K32" s="51" t="n">
        <x:f>COUNTIFS('Player Ratings'!$A$5:$A$1252,$B32,'Player Ratings'!$D$5:$D$1252,"?*")</x:f>
        <x:v>0</x:v>
      </x:c>
      <x:c r="L32" s="51" t="str">
        <x:f>IF($K32=0,"seed fallback - player ratings pending",IF($J32&gt;=0.85,"verified squad/player feed",IF($J32&gt;=0.5,"partial player feed","low coverage - review")))</x:f>
        <x:v>seed fallback - player ratings pending</x:v>
      </x:c>
      <x:c r="M32" s="51" t="str"/>
    </x:row>
    <x:row r="33">
      <x:c r="A33" s="51" t="str">
        <x:v>H</x:v>
      </x:c>
      <x:c r="B33" s="51" t="str">
        <x:v>Cape Verde</x:v>
      </x:c>
      <x:c r="C33" s="55" t="n">
        <x:f>IF($K33=0,'Seed Profiles'!E33,ROUND(0.45*$D33+0.25*$E33+0.12*$F33+0.12*$G33+0.06*$H33,2))</x:f>
        <x:v>38</x:v>
      </x:c>
      <x:c r="D33" s="55" t="n">
        <x:f>IFERROR(ROUND(AVERAGEIFS('Player Ratings'!$R$5:$R$1252,'Player Ratings'!$A$5:$A$1252,$B33,'Player Ratings'!$G$5:$G$1252,"Starter"),2),'Seed Profiles'!F33)</x:f>
        <x:v>39</x:v>
      </x:c>
      <x:c r="E33" s="55" t="n">
        <x:f>IFERROR(ROUND(AVERAGEIFS('Player Ratings'!$R$5:$R$1252,'Player Ratings'!$A$5:$A$1252,$B33,'Player Ratings'!$G$5:$G$1252,"Rotation"),2),'Seed Profiles'!G33)</x:f>
        <x:v>34</x:v>
      </x:c>
      <x:c r="F33" s="55" t="n">
        <x:f>IFERROR(ROUND(AVERAGEIFS('Player Ratings'!$R$5:$R$1252,'Player Ratings'!$A$5:$A$1252,$B33,'Player Ratings'!$F$5:$F$1252,"Defence",'Player Ratings'!$G$5:$G$1252,"Starter"),2),$D33)</x:f>
        <x:v>39</x:v>
      </x:c>
      <x:c r="G33" s="55" t="n">
        <x:f>IFERROR(ROUND(AVERAGEIFS('Player Ratings'!$R$5:$R$1252,'Player Ratings'!$A$5:$A$1252,$B33,'Player Ratings'!$F$5:$F$1252,"Attack",'Player Ratings'!$G$5:$G$1252,"Starter"),2),$D33)</x:f>
        <x:v>39</x:v>
      </x:c>
      <x:c r="H33" s="55" t="n">
        <x:f>IFERROR(ROUND(AVERAGEIFS('Player Ratings'!$R$5:$R$1252,'Player Ratings'!$A$5:$A$1252,$B33,'Player Ratings'!$F$5:$F$1252,"GK",'Player Ratings'!$G$5:$G$1252,"Starter"),2),$D33)</x:f>
        <x:v>39</x:v>
      </x:c>
      <x:c r="I33" s="55" t="n">
        <x:f>MAX(20,ROUND(100-SUMIFS('Player Ratings'!$S$5:$S$1252,'Player Ratings'!$A$5:$A$1252,$B33),2))</x:f>
        <x:v>100</x:v>
      </x:c>
      <x:c r="J33" s="61" t="n">
        <x:f>ROUND(COUNTIFS('Player Ratings'!$A$5:$A$1252,$B33,'Player Ratings'!$D$5:$D$1252,"?*",'Player Ratings'!$R$5:$R$1252,"&gt;0")/26,2)</x:f>
        <x:v>0</x:v>
      </x:c>
      <x:c r="K33" s="51" t="n">
        <x:f>COUNTIFS('Player Ratings'!$A$5:$A$1252,$B33,'Player Ratings'!$D$5:$D$1252,"?*")</x:f>
        <x:v>0</x:v>
      </x:c>
      <x:c r="L33" s="51" t="str">
        <x:f>IF($K33=0,"seed fallback - player ratings pending",IF($J33&gt;=0.85,"verified squad/player feed",IF($J33&gt;=0.5,"partial player feed","low coverage - review")))</x:f>
        <x:v>seed fallback - player ratings pending</x:v>
      </x:c>
      <x:c r="M33" s="51" t="str"/>
    </x:row>
    <x:row r="34">
      <x:c r="A34" s="51" t="str">
        <x:v>H</x:v>
      </x:c>
      <x:c r="B34" s="51" t="str">
        <x:v>Saudi Arabia</x:v>
      </x:c>
      <x:c r="C34" s="55" t="n">
        <x:f>IF($K34=0,'Seed Profiles'!E34,ROUND(0.45*$D34+0.25*$E34+0.12*$F34+0.12*$G34+0.06*$H34,2))</x:f>
        <x:v>39</x:v>
      </x:c>
      <x:c r="D34" s="55" t="n">
        <x:f>IFERROR(ROUND(AVERAGEIFS('Player Ratings'!$R$5:$R$1252,'Player Ratings'!$A$5:$A$1252,$B34,'Player Ratings'!$G$5:$G$1252,"Starter"),2),'Seed Profiles'!F34)</x:f>
        <x:v>40</x:v>
      </x:c>
      <x:c r="E34" s="55" t="n">
        <x:f>IFERROR(ROUND(AVERAGEIFS('Player Ratings'!$R$5:$R$1252,'Player Ratings'!$A$5:$A$1252,$B34,'Player Ratings'!$G$5:$G$1252,"Rotation"),2),'Seed Profiles'!G34)</x:f>
        <x:v>35</x:v>
      </x:c>
      <x:c r="F34" s="55" t="n">
        <x:f>IFERROR(ROUND(AVERAGEIFS('Player Ratings'!$R$5:$R$1252,'Player Ratings'!$A$5:$A$1252,$B34,'Player Ratings'!$F$5:$F$1252,"Defence",'Player Ratings'!$G$5:$G$1252,"Starter"),2),$D34)</x:f>
        <x:v>40</x:v>
      </x:c>
      <x:c r="G34" s="55" t="n">
        <x:f>IFERROR(ROUND(AVERAGEIFS('Player Ratings'!$R$5:$R$1252,'Player Ratings'!$A$5:$A$1252,$B34,'Player Ratings'!$F$5:$F$1252,"Attack",'Player Ratings'!$G$5:$G$1252,"Starter"),2),$D34)</x:f>
        <x:v>40</x:v>
      </x:c>
      <x:c r="H34" s="55" t="n">
        <x:f>IFERROR(ROUND(AVERAGEIFS('Player Ratings'!$R$5:$R$1252,'Player Ratings'!$A$5:$A$1252,$B34,'Player Ratings'!$F$5:$F$1252,"GK",'Player Ratings'!$G$5:$G$1252,"Starter"),2),$D34)</x:f>
        <x:v>40</x:v>
      </x:c>
      <x:c r="I34" s="55" t="n">
        <x:f>MAX(20,ROUND(100-SUMIFS('Player Ratings'!$S$5:$S$1252,'Player Ratings'!$A$5:$A$1252,$B34),2))</x:f>
        <x:v>100</x:v>
      </x:c>
      <x:c r="J34" s="61" t="n">
        <x:f>ROUND(COUNTIFS('Player Ratings'!$A$5:$A$1252,$B34,'Player Ratings'!$D$5:$D$1252,"?*",'Player Ratings'!$R$5:$R$1252,"&gt;0")/26,2)</x:f>
        <x:v>0</x:v>
      </x:c>
      <x:c r="K34" s="51" t="n">
        <x:f>COUNTIFS('Player Ratings'!$A$5:$A$1252,$B34,'Player Ratings'!$D$5:$D$1252,"?*")</x:f>
        <x:v>0</x:v>
      </x:c>
      <x:c r="L34" s="51" t="str">
        <x:f>IF($K34=0,"seed fallback - player ratings pending",IF($J34&gt;=0.85,"verified squad/player feed",IF($J34&gt;=0.5,"partial player feed","low coverage - review")))</x:f>
        <x:v>seed fallback - player ratings pending</x:v>
      </x:c>
      <x:c r="M34" s="51" t="str"/>
    </x:row>
    <x:row r="35">
      <x:c r="A35" s="51" t="str">
        <x:v>H</x:v>
      </x:c>
      <x:c r="B35" s="51" t="str">
        <x:v>Spain</x:v>
      </x:c>
      <x:c r="C35" s="55" t="n">
        <x:f>IF($K35=0,'Seed Profiles'!E35,ROUND(0.45*$D35+0.25*$E35+0.12*$F35+0.12*$G35+0.06*$H35,2))</x:f>
        <x:v>91</x:v>
      </x:c>
      <x:c r="D35" s="55" t="n">
        <x:f>IFERROR(ROUND(AVERAGEIFS('Player Ratings'!$R$5:$R$1252,'Player Ratings'!$A$5:$A$1252,$B35,'Player Ratings'!$G$5:$G$1252,"Starter"),2),'Seed Profiles'!F35)</x:f>
        <x:v>92</x:v>
      </x:c>
      <x:c r="E35" s="55" t="n">
        <x:f>IFERROR(ROUND(AVERAGEIFS('Player Ratings'!$R$5:$R$1252,'Player Ratings'!$A$5:$A$1252,$B35,'Player Ratings'!$G$5:$G$1252,"Rotation"),2),'Seed Profiles'!G35)</x:f>
        <x:v>88</x:v>
      </x:c>
      <x:c r="F35" s="55" t="n">
        <x:f>IFERROR(ROUND(AVERAGEIFS('Player Ratings'!$R$5:$R$1252,'Player Ratings'!$A$5:$A$1252,$B35,'Player Ratings'!$F$5:$F$1252,"Defence",'Player Ratings'!$G$5:$G$1252,"Starter"),2),$D35)</x:f>
        <x:v>92</x:v>
      </x:c>
      <x:c r="G35" s="55" t="n">
        <x:f>IFERROR(ROUND(AVERAGEIFS('Player Ratings'!$R$5:$R$1252,'Player Ratings'!$A$5:$A$1252,$B35,'Player Ratings'!$F$5:$F$1252,"Attack",'Player Ratings'!$G$5:$G$1252,"Starter"),2),$D35)</x:f>
        <x:v>92</x:v>
      </x:c>
      <x:c r="H35" s="55" t="n">
        <x:f>IFERROR(ROUND(AVERAGEIFS('Player Ratings'!$R$5:$R$1252,'Player Ratings'!$A$5:$A$1252,$B35,'Player Ratings'!$F$5:$F$1252,"GK",'Player Ratings'!$G$5:$G$1252,"Starter"),2),$D35)</x:f>
        <x:v>92</x:v>
      </x:c>
      <x:c r="I35" s="55" t="n">
        <x:f>MAX(20,ROUND(100-SUMIFS('Player Ratings'!$S$5:$S$1252,'Player Ratings'!$A$5:$A$1252,$B35),2))</x:f>
        <x:v>100</x:v>
      </x:c>
      <x:c r="J35" s="61" t="n">
        <x:f>ROUND(COUNTIFS('Player Ratings'!$A$5:$A$1252,$B35,'Player Ratings'!$D$5:$D$1252,"?*",'Player Ratings'!$R$5:$R$1252,"&gt;0")/26,2)</x:f>
        <x:v>0</x:v>
      </x:c>
      <x:c r="K35" s="51" t="n">
        <x:f>COUNTIFS('Player Ratings'!$A$5:$A$1252,$B35,'Player Ratings'!$D$5:$D$1252,"?*")</x:f>
        <x:v>0</x:v>
      </x:c>
      <x:c r="L35" s="51" t="str">
        <x:f>IF($K35=0,"seed fallback - player ratings pending",IF($J35&gt;=0.85,"verified squad/player feed",IF($J35&gt;=0.5,"partial player feed","low coverage - review")))</x:f>
        <x:v>seed fallback - player ratings pending</x:v>
      </x:c>
      <x:c r="M35" s="51" t="str"/>
    </x:row>
    <x:row r="36">
      <x:c r="A36" s="51" t="str">
        <x:v>H</x:v>
      </x:c>
      <x:c r="B36" s="51" t="str">
        <x:v>Uruguay</x:v>
      </x:c>
      <x:c r="C36" s="55" t="n">
        <x:f>IF($K36=0,'Seed Profiles'!E36,ROUND(0.45*$D36+0.25*$E36+0.12*$F36+0.12*$G36+0.06*$H36,2))</x:f>
        <x:v>83</x:v>
      </x:c>
      <x:c r="D36" s="55" t="n">
        <x:f>IFERROR(ROUND(AVERAGEIFS('Player Ratings'!$R$5:$R$1252,'Player Ratings'!$A$5:$A$1252,$B36,'Player Ratings'!$G$5:$G$1252,"Starter"),2),'Seed Profiles'!F36)</x:f>
        <x:v>84</x:v>
      </x:c>
      <x:c r="E36" s="55" t="n">
        <x:f>IFERROR(ROUND(AVERAGEIFS('Player Ratings'!$R$5:$R$1252,'Player Ratings'!$A$5:$A$1252,$B36,'Player Ratings'!$G$5:$G$1252,"Rotation"),2),'Seed Profiles'!G36)</x:f>
        <x:v>79</x:v>
      </x:c>
      <x:c r="F36" s="55" t="n">
        <x:f>IFERROR(ROUND(AVERAGEIFS('Player Ratings'!$R$5:$R$1252,'Player Ratings'!$A$5:$A$1252,$B36,'Player Ratings'!$F$5:$F$1252,"Defence",'Player Ratings'!$G$5:$G$1252,"Starter"),2),$D36)</x:f>
        <x:v>84</x:v>
      </x:c>
      <x:c r="G36" s="55" t="n">
        <x:f>IFERROR(ROUND(AVERAGEIFS('Player Ratings'!$R$5:$R$1252,'Player Ratings'!$A$5:$A$1252,$B36,'Player Ratings'!$F$5:$F$1252,"Attack",'Player Ratings'!$G$5:$G$1252,"Starter"),2),$D36)</x:f>
        <x:v>84</x:v>
      </x:c>
      <x:c r="H36" s="55" t="n">
        <x:f>IFERROR(ROUND(AVERAGEIFS('Player Ratings'!$R$5:$R$1252,'Player Ratings'!$A$5:$A$1252,$B36,'Player Ratings'!$F$5:$F$1252,"GK",'Player Ratings'!$G$5:$G$1252,"Starter"),2),$D36)</x:f>
        <x:v>84</x:v>
      </x:c>
      <x:c r="I36" s="55" t="n">
        <x:f>MAX(20,ROUND(100-SUMIFS('Player Ratings'!$S$5:$S$1252,'Player Ratings'!$A$5:$A$1252,$B36),2))</x:f>
        <x:v>100</x:v>
      </x:c>
      <x:c r="J36" s="61" t="n">
        <x:f>ROUND(COUNTIFS('Player Ratings'!$A$5:$A$1252,$B36,'Player Ratings'!$D$5:$D$1252,"?*",'Player Ratings'!$R$5:$R$1252,"&gt;0")/26,2)</x:f>
        <x:v>0</x:v>
      </x:c>
      <x:c r="K36" s="51" t="n">
        <x:f>COUNTIFS('Player Ratings'!$A$5:$A$1252,$B36,'Player Ratings'!$D$5:$D$1252,"?*")</x:f>
        <x:v>0</x:v>
      </x:c>
      <x:c r="L36" s="51" t="str">
        <x:f>IF($K36=0,"seed fallback - player ratings pending",IF($J36&gt;=0.85,"verified squad/player feed",IF($J36&gt;=0.5,"partial player feed","low coverage - review")))</x:f>
        <x:v>seed fallback - player ratings pending</x:v>
      </x:c>
      <x:c r="M36" s="51" t="str"/>
    </x:row>
    <x:row r="37">
      <x:c r="A37" s="51" t="str">
        <x:v>I</x:v>
      </x:c>
      <x:c r="B37" s="51" t="str">
        <x:v>France</x:v>
      </x:c>
      <x:c r="C37" s="55" t="n">
        <x:f>IF($K37=0,'Seed Profiles'!E37,ROUND(0.45*$D37+0.25*$E37+0.12*$F37+0.12*$G37+0.06*$H37,2))</x:f>
        <x:v>94</x:v>
      </x:c>
      <x:c r="D37" s="55" t="n">
        <x:f>IFERROR(ROUND(AVERAGEIFS('Player Ratings'!$R$5:$R$1252,'Player Ratings'!$A$5:$A$1252,$B37,'Player Ratings'!$G$5:$G$1252,"Starter"),2),'Seed Profiles'!F37)</x:f>
        <x:v>93</x:v>
      </x:c>
      <x:c r="E37" s="55" t="n">
        <x:f>IFERROR(ROUND(AVERAGEIFS('Player Ratings'!$R$5:$R$1252,'Player Ratings'!$A$5:$A$1252,$B37,'Player Ratings'!$G$5:$G$1252,"Rotation"),2),'Seed Profiles'!G37)</x:f>
        <x:v>96</x:v>
      </x:c>
      <x:c r="F37" s="55" t="n">
        <x:f>IFERROR(ROUND(AVERAGEIFS('Player Ratings'!$R$5:$R$1252,'Player Ratings'!$A$5:$A$1252,$B37,'Player Ratings'!$F$5:$F$1252,"Defence",'Player Ratings'!$G$5:$G$1252,"Starter"),2),$D37)</x:f>
        <x:v>93</x:v>
      </x:c>
      <x:c r="G37" s="55" t="n">
        <x:f>IFERROR(ROUND(AVERAGEIFS('Player Ratings'!$R$5:$R$1252,'Player Ratings'!$A$5:$A$1252,$B37,'Player Ratings'!$F$5:$F$1252,"Attack",'Player Ratings'!$G$5:$G$1252,"Starter"),2),$D37)</x:f>
        <x:v>93</x:v>
      </x:c>
      <x:c r="H37" s="55" t="n">
        <x:f>IFERROR(ROUND(AVERAGEIFS('Player Ratings'!$R$5:$R$1252,'Player Ratings'!$A$5:$A$1252,$B37,'Player Ratings'!$F$5:$F$1252,"GK",'Player Ratings'!$G$5:$G$1252,"Starter"),2),$D37)</x:f>
        <x:v>93</x:v>
      </x:c>
      <x:c r="I37" s="55" t="n">
        <x:f>MAX(20,ROUND(100-SUMIFS('Player Ratings'!$S$5:$S$1252,'Player Ratings'!$A$5:$A$1252,$B37),2))</x:f>
        <x:v>100</x:v>
      </x:c>
      <x:c r="J37" s="61" t="n">
        <x:f>ROUND(COUNTIFS('Player Ratings'!$A$5:$A$1252,$B37,'Player Ratings'!$D$5:$D$1252,"?*",'Player Ratings'!$R$5:$R$1252,"&gt;0")/26,2)</x:f>
        <x:v>0</x:v>
      </x:c>
      <x:c r="K37" s="51" t="n">
        <x:f>COUNTIFS('Player Ratings'!$A$5:$A$1252,$B37,'Player Ratings'!$D$5:$D$1252,"?*")</x:f>
        <x:v>0</x:v>
      </x:c>
      <x:c r="L37" s="51" t="str">
        <x:f>IF($K37=0,"seed fallback - player ratings pending",IF($J37&gt;=0.85,"verified squad/player feed",IF($J37&gt;=0.5,"partial player feed","low coverage - review")))</x:f>
        <x:v>seed fallback - player ratings pending</x:v>
      </x:c>
      <x:c r="M37" s="51" t="str"/>
    </x:row>
    <x:row r="38">
      <x:c r="A38" s="51" t="str">
        <x:v>I</x:v>
      </x:c>
      <x:c r="B38" s="51" t="str">
        <x:v>Iraq</x:v>
      </x:c>
      <x:c r="C38" s="55" t="n">
        <x:f>IF($K38=0,'Seed Profiles'!E38,ROUND(0.45*$D38+0.25*$E38+0.12*$F38+0.12*$G38+0.06*$H38,2))</x:f>
        <x:v>43</x:v>
      </x:c>
      <x:c r="D38" s="55" t="n">
        <x:f>IFERROR(ROUND(AVERAGEIFS('Player Ratings'!$R$5:$R$1252,'Player Ratings'!$A$5:$A$1252,$B38,'Player Ratings'!$G$5:$G$1252,"Starter"),2),'Seed Profiles'!F38)</x:f>
        <x:v>44</x:v>
      </x:c>
      <x:c r="E38" s="55" t="n">
        <x:f>IFERROR(ROUND(AVERAGEIFS('Player Ratings'!$R$5:$R$1252,'Player Ratings'!$A$5:$A$1252,$B38,'Player Ratings'!$G$5:$G$1252,"Rotation"),2),'Seed Profiles'!G38)</x:f>
        <x:v>39</x:v>
      </x:c>
      <x:c r="F38" s="55" t="n">
        <x:f>IFERROR(ROUND(AVERAGEIFS('Player Ratings'!$R$5:$R$1252,'Player Ratings'!$A$5:$A$1252,$B38,'Player Ratings'!$F$5:$F$1252,"Defence",'Player Ratings'!$G$5:$G$1252,"Starter"),2),$D38)</x:f>
        <x:v>44</x:v>
      </x:c>
      <x:c r="G38" s="55" t="n">
        <x:f>IFERROR(ROUND(AVERAGEIFS('Player Ratings'!$R$5:$R$1252,'Player Ratings'!$A$5:$A$1252,$B38,'Player Ratings'!$F$5:$F$1252,"Attack",'Player Ratings'!$G$5:$G$1252,"Starter"),2),$D38)</x:f>
        <x:v>44</x:v>
      </x:c>
      <x:c r="H38" s="55" t="n">
        <x:f>IFERROR(ROUND(AVERAGEIFS('Player Ratings'!$R$5:$R$1252,'Player Ratings'!$A$5:$A$1252,$B38,'Player Ratings'!$F$5:$F$1252,"GK",'Player Ratings'!$G$5:$G$1252,"Starter"),2),$D38)</x:f>
        <x:v>44</x:v>
      </x:c>
      <x:c r="I38" s="55" t="n">
        <x:f>MAX(20,ROUND(100-SUMIFS('Player Ratings'!$S$5:$S$1252,'Player Ratings'!$A$5:$A$1252,$B38),2))</x:f>
        <x:v>100</x:v>
      </x:c>
      <x:c r="J38" s="61" t="n">
        <x:f>ROUND(COUNTIFS('Player Ratings'!$A$5:$A$1252,$B38,'Player Ratings'!$D$5:$D$1252,"?*",'Player Ratings'!$R$5:$R$1252,"&gt;0")/26,2)</x:f>
        <x:v>0</x:v>
      </x:c>
      <x:c r="K38" s="51" t="n">
        <x:f>COUNTIFS('Player Ratings'!$A$5:$A$1252,$B38,'Player Ratings'!$D$5:$D$1252,"?*")</x:f>
        <x:v>0</x:v>
      </x:c>
      <x:c r="L38" s="51" t="str">
        <x:f>IF($K38=0,"seed fallback - player ratings pending",IF($J38&gt;=0.85,"verified squad/player feed",IF($J38&gt;=0.5,"partial player feed","low coverage - review")))</x:f>
        <x:v>seed fallback - player ratings pending</x:v>
      </x:c>
      <x:c r="M38" s="51" t="str"/>
    </x:row>
    <x:row r="39">
      <x:c r="A39" s="51" t="str">
        <x:v>I</x:v>
      </x:c>
      <x:c r="B39" s="51" t="str">
        <x:v>Norway</x:v>
      </x:c>
      <x:c r="C39" s="55" t="n">
        <x:f>IF($K39=0,'Seed Profiles'!E39,ROUND(0.45*$D39+0.25*$E39+0.12*$F39+0.12*$G39+0.06*$H39,2))</x:f>
        <x:v>76</x:v>
      </x:c>
      <x:c r="D39" s="55" t="n">
        <x:f>IFERROR(ROUND(AVERAGEIFS('Player Ratings'!$R$5:$R$1252,'Player Ratings'!$A$5:$A$1252,$B39,'Player Ratings'!$G$5:$G$1252,"Starter"),2),'Seed Profiles'!F39)</x:f>
        <x:v>78</x:v>
      </x:c>
      <x:c r="E39" s="55" t="n">
        <x:f>IFERROR(ROUND(AVERAGEIFS('Player Ratings'!$R$5:$R$1252,'Player Ratings'!$A$5:$A$1252,$B39,'Player Ratings'!$G$5:$G$1252,"Rotation"),2),'Seed Profiles'!G39)</x:f>
        <x:v>70</x:v>
      </x:c>
      <x:c r="F39" s="55" t="n">
        <x:f>IFERROR(ROUND(AVERAGEIFS('Player Ratings'!$R$5:$R$1252,'Player Ratings'!$A$5:$A$1252,$B39,'Player Ratings'!$F$5:$F$1252,"Defence",'Player Ratings'!$G$5:$G$1252,"Starter"),2),$D39)</x:f>
        <x:v>78</x:v>
      </x:c>
      <x:c r="G39" s="55" t="n">
        <x:f>IFERROR(ROUND(AVERAGEIFS('Player Ratings'!$R$5:$R$1252,'Player Ratings'!$A$5:$A$1252,$B39,'Player Ratings'!$F$5:$F$1252,"Attack",'Player Ratings'!$G$5:$G$1252,"Starter"),2),$D39)</x:f>
        <x:v>78</x:v>
      </x:c>
      <x:c r="H39" s="55" t="n">
        <x:f>IFERROR(ROUND(AVERAGEIFS('Player Ratings'!$R$5:$R$1252,'Player Ratings'!$A$5:$A$1252,$B39,'Player Ratings'!$F$5:$F$1252,"GK",'Player Ratings'!$G$5:$G$1252,"Starter"),2),$D39)</x:f>
        <x:v>78</x:v>
      </x:c>
      <x:c r="I39" s="55" t="n">
        <x:f>MAX(20,ROUND(100-SUMIFS('Player Ratings'!$S$5:$S$1252,'Player Ratings'!$A$5:$A$1252,$B39),2))</x:f>
        <x:v>100</x:v>
      </x:c>
      <x:c r="J39" s="61" t="n">
        <x:f>ROUND(COUNTIFS('Player Ratings'!$A$5:$A$1252,$B39,'Player Ratings'!$D$5:$D$1252,"?*",'Player Ratings'!$R$5:$R$1252,"&gt;0")/26,2)</x:f>
        <x:v>0</x:v>
      </x:c>
      <x:c r="K39" s="51" t="n">
        <x:f>COUNTIFS('Player Ratings'!$A$5:$A$1252,$B39,'Player Ratings'!$D$5:$D$1252,"?*")</x:f>
        <x:v>0</x:v>
      </x:c>
      <x:c r="L39" s="51" t="str">
        <x:f>IF($K39=0,"seed fallback - player ratings pending",IF($J39&gt;=0.85,"verified squad/player feed",IF($J39&gt;=0.5,"partial player feed","low coverage - review")))</x:f>
        <x:v>seed fallback - player ratings pending</x:v>
      </x:c>
      <x:c r="M39" s="51" t="str"/>
    </x:row>
    <x:row r="40">
      <x:c r="A40" s="51" t="str">
        <x:v>I</x:v>
      </x:c>
      <x:c r="B40" s="51" t="str">
        <x:v>Senegal</x:v>
      </x:c>
      <x:c r="C40" s="55" t="n">
        <x:f>IF($K40=0,'Seed Profiles'!E40,ROUND(0.45*$D40+0.25*$E40+0.12*$F40+0.12*$G40+0.06*$H40,2))</x:f>
        <x:v>76</x:v>
      </x:c>
      <x:c r="D40" s="55" t="n">
        <x:f>IFERROR(ROUND(AVERAGEIFS('Player Ratings'!$R$5:$R$1252,'Player Ratings'!$A$5:$A$1252,$B40,'Player Ratings'!$G$5:$G$1252,"Starter"),2),'Seed Profiles'!F40)</x:f>
        <x:v>76</x:v>
      </x:c>
      <x:c r="E40" s="55" t="n">
        <x:f>IFERROR(ROUND(AVERAGEIFS('Player Ratings'!$R$5:$R$1252,'Player Ratings'!$A$5:$A$1252,$B40,'Player Ratings'!$G$5:$G$1252,"Rotation"),2),'Seed Profiles'!G40)</x:f>
        <x:v>73</x:v>
      </x:c>
      <x:c r="F40" s="55" t="n">
        <x:f>IFERROR(ROUND(AVERAGEIFS('Player Ratings'!$R$5:$R$1252,'Player Ratings'!$A$5:$A$1252,$B40,'Player Ratings'!$F$5:$F$1252,"Defence",'Player Ratings'!$G$5:$G$1252,"Starter"),2),$D40)</x:f>
        <x:v>76</x:v>
      </x:c>
      <x:c r="G40" s="55" t="n">
        <x:f>IFERROR(ROUND(AVERAGEIFS('Player Ratings'!$R$5:$R$1252,'Player Ratings'!$A$5:$A$1252,$B40,'Player Ratings'!$F$5:$F$1252,"Attack",'Player Ratings'!$G$5:$G$1252,"Starter"),2),$D40)</x:f>
        <x:v>76</x:v>
      </x:c>
      <x:c r="H40" s="55" t="n">
        <x:f>IFERROR(ROUND(AVERAGEIFS('Player Ratings'!$R$5:$R$1252,'Player Ratings'!$A$5:$A$1252,$B40,'Player Ratings'!$F$5:$F$1252,"GK",'Player Ratings'!$G$5:$G$1252,"Starter"),2),$D40)</x:f>
        <x:v>76</x:v>
      </x:c>
      <x:c r="I40" s="55" t="n">
        <x:f>MAX(20,ROUND(100-SUMIFS('Player Ratings'!$S$5:$S$1252,'Player Ratings'!$A$5:$A$1252,$B40),2))</x:f>
        <x:v>100</x:v>
      </x:c>
      <x:c r="J40" s="61" t="n">
        <x:f>ROUND(COUNTIFS('Player Ratings'!$A$5:$A$1252,$B40,'Player Ratings'!$D$5:$D$1252,"?*",'Player Ratings'!$R$5:$R$1252,"&gt;0")/26,2)</x:f>
        <x:v>0</x:v>
      </x:c>
      <x:c r="K40" s="51" t="n">
        <x:f>COUNTIFS('Player Ratings'!$A$5:$A$1252,$B40,'Player Ratings'!$D$5:$D$1252,"?*")</x:f>
        <x:v>0</x:v>
      </x:c>
      <x:c r="L40" s="51" t="str">
        <x:f>IF($K40=0,"seed fallback - player ratings pending",IF($J40&gt;=0.85,"verified squad/player feed",IF($J40&gt;=0.5,"partial player feed","low coverage - review")))</x:f>
        <x:v>seed fallback - player ratings pending</x:v>
      </x:c>
      <x:c r="M40" s="51" t="str"/>
    </x:row>
    <x:row r="41">
      <x:c r="A41" s="51" t="str">
        <x:v>J</x:v>
      </x:c>
      <x:c r="B41" s="51" t="str">
        <x:v>Algeria</x:v>
      </x:c>
      <x:c r="C41" s="55" t="n">
        <x:f>IF($K41=0,'Seed Profiles'!E41,ROUND(0.45*$D41+0.25*$E41+0.12*$F41+0.12*$G41+0.06*$H41,2))</x:f>
        <x:v>73</x:v>
      </x:c>
      <x:c r="D41" s="55" t="n">
        <x:f>IFERROR(ROUND(AVERAGEIFS('Player Ratings'!$R$5:$R$1252,'Player Ratings'!$A$5:$A$1252,$B41,'Player Ratings'!$G$5:$G$1252,"Starter"),2),'Seed Profiles'!F41)</x:f>
        <x:v>73</x:v>
      </x:c>
      <x:c r="E41" s="55" t="n">
        <x:f>IFERROR(ROUND(AVERAGEIFS('Player Ratings'!$R$5:$R$1252,'Player Ratings'!$A$5:$A$1252,$B41,'Player Ratings'!$G$5:$G$1252,"Rotation"),2),'Seed Profiles'!G41)</x:f>
        <x:v>70</x:v>
      </x:c>
      <x:c r="F41" s="55" t="n">
        <x:f>IFERROR(ROUND(AVERAGEIFS('Player Ratings'!$R$5:$R$1252,'Player Ratings'!$A$5:$A$1252,$B41,'Player Ratings'!$F$5:$F$1252,"Defence",'Player Ratings'!$G$5:$G$1252,"Starter"),2),$D41)</x:f>
        <x:v>73</x:v>
      </x:c>
      <x:c r="G41" s="55" t="n">
        <x:f>IFERROR(ROUND(AVERAGEIFS('Player Ratings'!$R$5:$R$1252,'Player Ratings'!$A$5:$A$1252,$B41,'Player Ratings'!$F$5:$F$1252,"Attack",'Player Ratings'!$G$5:$G$1252,"Starter"),2),$D41)</x:f>
        <x:v>73</x:v>
      </x:c>
      <x:c r="H41" s="55" t="n">
        <x:f>IFERROR(ROUND(AVERAGEIFS('Player Ratings'!$R$5:$R$1252,'Player Ratings'!$A$5:$A$1252,$B41,'Player Ratings'!$F$5:$F$1252,"GK",'Player Ratings'!$G$5:$G$1252,"Starter"),2),$D41)</x:f>
        <x:v>73</x:v>
      </x:c>
      <x:c r="I41" s="55" t="n">
        <x:f>MAX(20,ROUND(100-SUMIFS('Player Ratings'!$S$5:$S$1252,'Player Ratings'!$A$5:$A$1252,$B41),2))</x:f>
        <x:v>100</x:v>
      </x:c>
      <x:c r="J41" s="61" t="n">
        <x:f>ROUND(COUNTIFS('Player Ratings'!$A$5:$A$1252,$B41,'Player Ratings'!$D$5:$D$1252,"?*",'Player Ratings'!$R$5:$R$1252,"&gt;0")/26,2)</x:f>
        <x:v>0</x:v>
      </x:c>
      <x:c r="K41" s="51" t="n">
        <x:f>COUNTIFS('Player Ratings'!$A$5:$A$1252,$B41,'Player Ratings'!$D$5:$D$1252,"?*")</x:f>
        <x:v>0</x:v>
      </x:c>
      <x:c r="L41" s="51" t="str">
        <x:f>IF($K41=0,"seed fallback - player ratings pending",IF($J41&gt;=0.85,"verified squad/player feed",IF($J41&gt;=0.5,"partial player feed","low coverage - review")))</x:f>
        <x:v>seed fallback - player ratings pending</x:v>
      </x:c>
      <x:c r="M41" s="51" t="str"/>
    </x:row>
    <x:row r="42">
      <x:c r="A42" s="51" t="str">
        <x:v>J</x:v>
      </x:c>
      <x:c r="B42" s="51" t="str">
        <x:v>Argentina</x:v>
      </x:c>
      <x:c r="C42" s="55" t="n">
        <x:f>IF($K42=0,'Seed Profiles'!E42,ROUND(0.45*$D42+0.25*$E42+0.12*$F42+0.12*$G42+0.06*$H42,2))</x:f>
        <x:v>90</x:v>
      </x:c>
      <x:c r="D42" s="55" t="n">
        <x:f>IFERROR(ROUND(AVERAGEIFS('Player Ratings'!$R$5:$R$1252,'Player Ratings'!$A$5:$A$1252,$B42,'Player Ratings'!$G$5:$G$1252,"Starter"),2),'Seed Profiles'!F42)</x:f>
        <x:v>91</x:v>
      </x:c>
      <x:c r="E42" s="55" t="n">
        <x:f>IFERROR(ROUND(AVERAGEIFS('Player Ratings'!$R$5:$R$1252,'Player Ratings'!$A$5:$A$1252,$B42,'Player Ratings'!$G$5:$G$1252,"Rotation"),2),'Seed Profiles'!G42)</x:f>
        <x:v>86</x:v>
      </x:c>
      <x:c r="F42" s="55" t="n">
        <x:f>IFERROR(ROUND(AVERAGEIFS('Player Ratings'!$R$5:$R$1252,'Player Ratings'!$A$5:$A$1252,$B42,'Player Ratings'!$F$5:$F$1252,"Defence",'Player Ratings'!$G$5:$G$1252,"Starter"),2),$D42)</x:f>
        <x:v>91</x:v>
      </x:c>
      <x:c r="G42" s="55" t="n">
        <x:f>IFERROR(ROUND(AVERAGEIFS('Player Ratings'!$R$5:$R$1252,'Player Ratings'!$A$5:$A$1252,$B42,'Player Ratings'!$F$5:$F$1252,"Attack",'Player Ratings'!$G$5:$G$1252,"Starter"),2),$D42)</x:f>
        <x:v>91</x:v>
      </x:c>
      <x:c r="H42" s="55" t="n">
        <x:f>IFERROR(ROUND(AVERAGEIFS('Player Ratings'!$R$5:$R$1252,'Player Ratings'!$A$5:$A$1252,$B42,'Player Ratings'!$F$5:$F$1252,"GK",'Player Ratings'!$G$5:$G$1252,"Starter"),2),$D42)</x:f>
        <x:v>91</x:v>
      </x:c>
      <x:c r="I42" s="55" t="n">
        <x:f>MAX(20,ROUND(100-SUMIFS('Player Ratings'!$S$5:$S$1252,'Player Ratings'!$A$5:$A$1252,$B42),2))</x:f>
        <x:v>100</x:v>
      </x:c>
      <x:c r="J42" s="61" t="n">
        <x:f>ROUND(COUNTIFS('Player Ratings'!$A$5:$A$1252,$B42,'Player Ratings'!$D$5:$D$1252,"?*",'Player Ratings'!$R$5:$R$1252,"&gt;0")/26,2)</x:f>
        <x:v>0</x:v>
      </x:c>
      <x:c r="K42" s="51" t="n">
        <x:f>COUNTIFS('Player Ratings'!$A$5:$A$1252,$B42,'Player Ratings'!$D$5:$D$1252,"?*")</x:f>
        <x:v>0</x:v>
      </x:c>
      <x:c r="L42" s="51" t="str">
        <x:f>IF($K42=0,"seed fallback - player ratings pending",IF($J42&gt;=0.85,"verified squad/player feed",IF($J42&gt;=0.5,"partial player feed","low coverage - review")))</x:f>
        <x:v>seed fallback - player ratings pending</x:v>
      </x:c>
      <x:c r="M42" s="51" t="str"/>
    </x:row>
    <x:row r="43">
      <x:c r="A43" s="51" t="str">
        <x:v>J</x:v>
      </x:c>
      <x:c r="B43" s="51" t="str">
        <x:v>Austria</x:v>
      </x:c>
      <x:c r="C43" s="55" t="n">
        <x:f>IF($K43=0,'Seed Profiles'!E43,ROUND(0.45*$D43+0.25*$E43+0.12*$F43+0.12*$G43+0.06*$H43,2))</x:f>
        <x:v>77</x:v>
      </x:c>
      <x:c r="D43" s="55" t="n">
        <x:f>IFERROR(ROUND(AVERAGEIFS('Player Ratings'!$R$5:$R$1252,'Player Ratings'!$A$5:$A$1252,$B43,'Player Ratings'!$G$5:$G$1252,"Starter"),2),'Seed Profiles'!F43)</x:f>
        <x:v>77</x:v>
      </x:c>
      <x:c r="E43" s="55" t="n">
        <x:f>IFERROR(ROUND(AVERAGEIFS('Player Ratings'!$R$5:$R$1252,'Player Ratings'!$A$5:$A$1252,$B43,'Player Ratings'!$G$5:$G$1252,"Rotation"),2),'Seed Profiles'!G43)</x:f>
        <x:v>74</x:v>
      </x:c>
      <x:c r="F43" s="55" t="n">
        <x:f>IFERROR(ROUND(AVERAGEIFS('Player Ratings'!$R$5:$R$1252,'Player Ratings'!$A$5:$A$1252,$B43,'Player Ratings'!$F$5:$F$1252,"Defence",'Player Ratings'!$G$5:$G$1252,"Starter"),2),$D43)</x:f>
        <x:v>77</x:v>
      </x:c>
      <x:c r="G43" s="55" t="n">
        <x:f>IFERROR(ROUND(AVERAGEIFS('Player Ratings'!$R$5:$R$1252,'Player Ratings'!$A$5:$A$1252,$B43,'Player Ratings'!$F$5:$F$1252,"Attack",'Player Ratings'!$G$5:$G$1252,"Starter"),2),$D43)</x:f>
        <x:v>77</x:v>
      </x:c>
      <x:c r="H43" s="55" t="n">
        <x:f>IFERROR(ROUND(AVERAGEIFS('Player Ratings'!$R$5:$R$1252,'Player Ratings'!$A$5:$A$1252,$B43,'Player Ratings'!$F$5:$F$1252,"GK",'Player Ratings'!$G$5:$G$1252,"Starter"),2),$D43)</x:f>
        <x:v>77</x:v>
      </x:c>
      <x:c r="I43" s="55" t="n">
        <x:f>MAX(20,ROUND(100-SUMIFS('Player Ratings'!$S$5:$S$1252,'Player Ratings'!$A$5:$A$1252,$B43),2))</x:f>
        <x:v>100</x:v>
      </x:c>
      <x:c r="J43" s="61" t="n">
        <x:f>ROUND(COUNTIFS('Player Ratings'!$A$5:$A$1252,$B43,'Player Ratings'!$D$5:$D$1252,"?*",'Player Ratings'!$R$5:$R$1252,"&gt;0")/26,2)</x:f>
        <x:v>0</x:v>
      </x:c>
      <x:c r="K43" s="51" t="n">
        <x:f>COUNTIFS('Player Ratings'!$A$5:$A$1252,$B43,'Player Ratings'!$D$5:$D$1252,"?*")</x:f>
        <x:v>0</x:v>
      </x:c>
      <x:c r="L43" s="51" t="str">
        <x:f>IF($K43=0,"seed fallback - player ratings pending",IF($J43&gt;=0.85,"verified squad/player feed",IF($J43&gt;=0.5,"partial player feed","low coverage - review")))</x:f>
        <x:v>seed fallback - player ratings pending</x:v>
      </x:c>
      <x:c r="M43" s="51" t="str"/>
    </x:row>
    <x:row r="44">
      <x:c r="A44" s="51" t="str">
        <x:v>J</x:v>
      </x:c>
      <x:c r="B44" s="51" t="str">
        <x:v>Jordan</x:v>
      </x:c>
      <x:c r="C44" s="55" t="n">
        <x:f>IF($K44=0,'Seed Profiles'!E44,ROUND(0.45*$D44+0.25*$E44+0.12*$F44+0.12*$G44+0.06*$H44,2))</x:f>
        <x:v>46</x:v>
      </x:c>
      <x:c r="D44" s="55" t="n">
        <x:f>IFERROR(ROUND(AVERAGEIFS('Player Ratings'!$R$5:$R$1252,'Player Ratings'!$A$5:$A$1252,$B44,'Player Ratings'!$G$5:$G$1252,"Starter"),2),'Seed Profiles'!F44)</x:f>
        <x:v>47</x:v>
      </x:c>
      <x:c r="E44" s="55" t="n">
        <x:f>IFERROR(ROUND(AVERAGEIFS('Player Ratings'!$R$5:$R$1252,'Player Ratings'!$A$5:$A$1252,$B44,'Player Ratings'!$G$5:$G$1252,"Rotation"),2),'Seed Profiles'!G44)</x:f>
        <x:v>42</x:v>
      </x:c>
      <x:c r="F44" s="55" t="n">
        <x:f>IFERROR(ROUND(AVERAGEIFS('Player Ratings'!$R$5:$R$1252,'Player Ratings'!$A$5:$A$1252,$B44,'Player Ratings'!$F$5:$F$1252,"Defence",'Player Ratings'!$G$5:$G$1252,"Starter"),2),$D44)</x:f>
        <x:v>47</x:v>
      </x:c>
      <x:c r="G44" s="55" t="n">
        <x:f>IFERROR(ROUND(AVERAGEIFS('Player Ratings'!$R$5:$R$1252,'Player Ratings'!$A$5:$A$1252,$B44,'Player Ratings'!$F$5:$F$1252,"Attack",'Player Ratings'!$G$5:$G$1252,"Starter"),2),$D44)</x:f>
        <x:v>47</x:v>
      </x:c>
      <x:c r="H44" s="55" t="n">
        <x:f>IFERROR(ROUND(AVERAGEIFS('Player Ratings'!$R$5:$R$1252,'Player Ratings'!$A$5:$A$1252,$B44,'Player Ratings'!$F$5:$F$1252,"GK",'Player Ratings'!$G$5:$G$1252,"Starter"),2),$D44)</x:f>
        <x:v>47</x:v>
      </x:c>
      <x:c r="I44" s="55" t="n">
        <x:f>MAX(20,ROUND(100-SUMIFS('Player Ratings'!$S$5:$S$1252,'Player Ratings'!$A$5:$A$1252,$B44),2))</x:f>
        <x:v>100</x:v>
      </x:c>
      <x:c r="J44" s="61" t="n">
        <x:f>ROUND(COUNTIFS('Player Ratings'!$A$5:$A$1252,$B44,'Player Ratings'!$D$5:$D$1252,"?*",'Player Ratings'!$R$5:$R$1252,"&gt;0")/26,2)</x:f>
        <x:v>0</x:v>
      </x:c>
      <x:c r="K44" s="51" t="n">
        <x:f>COUNTIFS('Player Ratings'!$A$5:$A$1252,$B44,'Player Ratings'!$D$5:$D$1252,"?*")</x:f>
        <x:v>0</x:v>
      </x:c>
      <x:c r="L44" s="51" t="str">
        <x:f>IF($K44=0,"seed fallback - player ratings pending",IF($J44&gt;=0.85,"verified squad/player feed",IF($J44&gt;=0.5,"partial player feed","low coverage - review")))</x:f>
        <x:v>seed fallback - player ratings pending</x:v>
      </x:c>
      <x:c r="M44" s="51" t="str"/>
    </x:row>
    <x:row r="45">
      <x:c r="A45" s="51" t="str">
        <x:v>K</x:v>
      </x:c>
      <x:c r="B45" s="51" t="str">
        <x:v>Colombia</x:v>
      </x:c>
      <x:c r="C45" s="55" t="n">
        <x:f>IF($K45=0,'Seed Profiles'!E45,ROUND(0.45*$D45+0.25*$E45+0.12*$F45+0.12*$G45+0.06*$H45,2))</x:f>
        <x:v>84</x:v>
      </x:c>
      <x:c r="D45" s="55" t="n">
        <x:f>IFERROR(ROUND(AVERAGEIFS('Player Ratings'!$R$5:$R$1252,'Player Ratings'!$A$5:$A$1252,$B45,'Player Ratings'!$G$5:$G$1252,"Starter"),2),'Seed Profiles'!F45)</x:f>
        <x:v>84</x:v>
      </x:c>
      <x:c r="E45" s="55" t="n">
        <x:f>IFERROR(ROUND(AVERAGEIFS('Player Ratings'!$R$5:$R$1252,'Player Ratings'!$A$5:$A$1252,$B45,'Player Ratings'!$G$5:$G$1252,"Rotation"),2),'Seed Profiles'!G45)</x:f>
        <x:v>81</x:v>
      </x:c>
      <x:c r="F45" s="55" t="n">
        <x:f>IFERROR(ROUND(AVERAGEIFS('Player Ratings'!$R$5:$R$1252,'Player Ratings'!$A$5:$A$1252,$B45,'Player Ratings'!$F$5:$F$1252,"Defence",'Player Ratings'!$G$5:$G$1252,"Starter"),2),$D45)</x:f>
        <x:v>84</x:v>
      </x:c>
      <x:c r="G45" s="55" t="n">
        <x:f>IFERROR(ROUND(AVERAGEIFS('Player Ratings'!$R$5:$R$1252,'Player Ratings'!$A$5:$A$1252,$B45,'Player Ratings'!$F$5:$F$1252,"Attack",'Player Ratings'!$G$5:$G$1252,"Starter"),2),$D45)</x:f>
        <x:v>84</x:v>
      </x:c>
      <x:c r="H45" s="55" t="n">
        <x:f>IFERROR(ROUND(AVERAGEIFS('Player Ratings'!$R$5:$R$1252,'Player Ratings'!$A$5:$A$1252,$B45,'Player Ratings'!$F$5:$F$1252,"GK",'Player Ratings'!$G$5:$G$1252,"Starter"),2),$D45)</x:f>
        <x:v>84</x:v>
      </x:c>
      <x:c r="I45" s="55" t="n">
        <x:f>MAX(20,ROUND(100-SUMIFS('Player Ratings'!$S$5:$S$1252,'Player Ratings'!$A$5:$A$1252,$B45),2))</x:f>
        <x:v>100</x:v>
      </x:c>
      <x:c r="J45" s="61" t="n">
        <x:f>ROUND(COUNTIFS('Player Ratings'!$A$5:$A$1252,$B45,'Player Ratings'!$D$5:$D$1252,"?*",'Player Ratings'!$R$5:$R$1252,"&gt;0")/26,2)</x:f>
        <x:v>0</x:v>
      </x:c>
      <x:c r="K45" s="51" t="n">
        <x:f>COUNTIFS('Player Ratings'!$A$5:$A$1252,$B45,'Player Ratings'!$D$5:$D$1252,"?*")</x:f>
        <x:v>0</x:v>
      </x:c>
      <x:c r="L45" s="51" t="str">
        <x:f>IF($K45=0,"seed fallback - player ratings pending",IF($J45&gt;=0.85,"verified squad/player feed",IF($J45&gt;=0.5,"partial player feed","low coverage - review")))</x:f>
        <x:v>seed fallback - player ratings pending</x:v>
      </x:c>
      <x:c r="M45" s="51" t="str"/>
    </x:row>
    <x:row r="46">
      <x:c r="A46" s="51" t="str">
        <x:v>K</x:v>
      </x:c>
      <x:c r="B46" s="51" t="str">
        <x:v>DR Congo</x:v>
      </x:c>
      <x:c r="C46" s="55" t="n">
        <x:f>IF($K46=0,'Seed Profiles'!E46,ROUND(0.45*$D46+0.25*$E46+0.12*$F46+0.12*$G46+0.06*$H46,2))</x:f>
        <x:v>44</x:v>
      </x:c>
      <x:c r="D46" s="55" t="n">
        <x:f>IFERROR(ROUND(AVERAGEIFS('Player Ratings'!$R$5:$R$1252,'Player Ratings'!$A$5:$A$1252,$B46,'Player Ratings'!$G$5:$G$1252,"Starter"),2),'Seed Profiles'!F46)</x:f>
        <x:v>45</x:v>
      </x:c>
      <x:c r="E46" s="55" t="n">
        <x:f>IFERROR(ROUND(AVERAGEIFS('Player Ratings'!$R$5:$R$1252,'Player Ratings'!$A$5:$A$1252,$B46,'Player Ratings'!$G$5:$G$1252,"Rotation"),2),'Seed Profiles'!G46)</x:f>
        <x:v>40</x:v>
      </x:c>
      <x:c r="F46" s="55" t="n">
        <x:f>IFERROR(ROUND(AVERAGEIFS('Player Ratings'!$R$5:$R$1252,'Player Ratings'!$A$5:$A$1252,$B46,'Player Ratings'!$F$5:$F$1252,"Defence",'Player Ratings'!$G$5:$G$1252,"Starter"),2),$D46)</x:f>
        <x:v>45</x:v>
      </x:c>
      <x:c r="G46" s="55" t="n">
        <x:f>IFERROR(ROUND(AVERAGEIFS('Player Ratings'!$R$5:$R$1252,'Player Ratings'!$A$5:$A$1252,$B46,'Player Ratings'!$F$5:$F$1252,"Attack",'Player Ratings'!$G$5:$G$1252,"Starter"),2),$D46)</x:f>
        <x:v>45</x:v>
      </x:c>
      <x:c r="H46" s="55" t="n">
        <x:f>IFERROR(ROUND(AVERAGEIFS('Player Ratings'!$R$5:$R$1252,'Player Ratings'!$A$5:$A$1252,$B46,'Player Ratings'!$F$5:$F$1252,"GK",'Player Ratings'!$G$5:$G$1252,"Starter"),2),$D46)</x:f>
        <x:v>45</x:v>
      </x:c>
      <x:c r="I46" s="55" t="n">
        <x:f>MAX(20,ROUND(100-SUMIFS('Player Ratings'!$S$5:$S$1252,'Player Ratings'!$A$5:$A$1252,$B46),2))</x:f>
        <x:v>100</x:v>
      </x:c>
      <x:c r="J46" s="61" t="n">
        <x:f>ROUND(COUNTIFS('Player Ratings'!$A$5:$A$1252,$B46,'Player Ratings'!$D$5:$D$1252,"?*",'Player Ratings'!$R$5:$R$1252,"&gt;0")/26,2)</x:f>
        <x:v>0</x:v>
      </x:c>
      <x:c r="K46" s="51" t="n">
        <x:f>COUNTIFS('Player Ratings'!$A$5:$A$1252,$B46,'Player Ratings'!$D$5:$D$1252,"?*")</x:f>
        <x:v>0</x:v>
      </x:c>
      <x:c r="L46" s="51" t="str">
        <x:f>IF($K46=0,"seed fallback - player ratings pending",IF($J46&gt;=0.85,"verified squad/player feed",IF($J46&gt;=0.5,"partial player feed","low coverage - review")))</x:f>
        <x:v>seed fallback - player ratings pending</x:v>
      </x:c>
      <x:c r="M46" s="51" t="str"/>
    </x:row>
    <x:row r="47">
      <x:c r="A47" s="51" t="str">
        <x:v>K</x:v>
      </x:c>
      <x:c r="B47" s="51" t="str">
        <x:v>Portugal</x:v>
      </x:c>
      <x:c r="C47" s="55" t="n">
        <x:f>IF($K47=0,'Seed Profiles'!E47,ROUND(0.45*$D47+0.25*$E47+0.12*$F47+0.12*$G47+0.06*$H47,2))</x:f>
        <x:v>89</x:v>
      </x:c>
      <x:c r="D47" s="55" t="n">
        <x:f>IFERROR(ROUND(AVERAGEIFS('Player Ratings'!$R$5:$R$1252,'Player Ratings'!$A$5:$A$1252,$B47,'Player Ratings'!$G$5:$G$1252,"Starter"),2),'Seed Profiles'!F47)</x:f>
        <x:v>89</x:v>
      </x:c>
      <x:c r="E47" s="55" t="n">
        <x:f>IFERROR(ROUND(AVERAGEIFS('Player Ratings'!$R$5:$R$1252,'Player Ratings'!$A$5:$A$1252,$B47,'Player Ratings'!$G$5:$G$1252,"Rotation"),2),'Seed Profiles'!G47)</x:f>
        <x:v>88</x:v>
      </x:c>
      <x:c r="F47" s="55" t="n">
        <x:f>IFERROR(ROUND(AVERAGEIFS('Player Ratings'!$R$5:$R$1252,'Player Ratings'!$A$5:$A$1252,$B47,'Player Ratings'!$F$5:$F$1252,"Defence",'Player Ratings'!$G$5:$G$1252,"Starter"),2),$D47)</x:f>
        <x:v>89</x:v>
      </x:c>
      <x:c r="G47" s="55" t="n">
        <x:f>IFERROR(ROUND(AVERAGEIFS('Player Ratings'!$R$5:$R$1252,'Player Ratings'!$A$5:$A$1252,$B47,'Player Ratings'!$F$5:$F$1252,"Attack",'Player Ratings'!$G$5:$G$1252,"Starter"),2),$D47)</x:f>
        <x:v>89</x:v>
      </x:c>
      <x:c r="H47" s="55" t="n">
        <x:f>IFERROR(ROUND(AVERAGEIFS('Player Ratings'!$R$5:$R$1252,'Player Ratings'!$A$5:$A$1252,$B47,'Player Ratings'!$F$5:$F$1252,"GK",'Player Ratings'!$G$5:$G$1252,"Starter"),2),$D47)</x:f>
        <x:v>89</x:v>
      </x:c>
      <x:c r="I47" s="55" t="n">
        <x:f>MAX(20,ROUND(100-SUMIFS('Player Ratings'!$S$5:$S$1252,'Player Ratings'!$A$5:$A$1252,$B47),2))</x:f>
        <x:v>100</x:v>
      </x:c>
      <x:c r="J47" s="61" t="n">
        <x:f>ROUND(COUNTIFS('Player Ratings'!$A$5:$A$1252,$B47,'Player Ratings'!$D$5:$D$1252,"?*",'Player Ratings'!$R$5:$R$1252,"&gt;0")/26,2)</x:f>
        <x:v>0</x:v>
      </x:c>
      <x:c r="K47" s="51" t="n">
        <x:f>COUNTIFS('Player Ratings'!$A$5:$A$1252,$B47,'Player Ratings'!$D$5:$D$1252,"?*")</x:f>
        <x:v>0</x:v>
      </x:c>
      <x:c r="L47" s="51" t="str">
        <x:f>IF($K47=0,"seed fallback - player ratings pending",IF($J47&gt;=0.85,"verified squad/player feed",IF($J47&gt;=0.5,"partial player feed","low coverage - review")))</x:f>
        <x:v>seed fallback - player ratings pending</x:v>
      </x:c>
      <x:c r="M47" s="51" t="str"/>
    </x:row>
    <x:row r="48">
      <x:c r="A48" s="51" t="str">
        <x:v>K</x:v>
      </x:c>
      <x:c r="B48" s="51" t="str">
        <x:v>Uzbekistan</x:v>
      </x:c>
      <x:c r="C48" s="55" t="n">
        <x:f>IF($K48=0,'Seed Profiles'!E48,ROUND(0.45*$D48+0.25*$E48+0.12*$F48+0.12*$G48+0.06*$H48,2))</x:f>
        <x:v>56</x:v>
      </x:c>
      <x:c r="D48" s="55" t="n">
        <x:f>IFERROR(ROUND(AVERAGEIFS('Player Ratings'!$R$5:$R$1252,'Player Ratings'!$A$5:$A$1252,$B48,'Player Ratings'!$G$5:$G$1252,"Starter"),2),'Seed Profiles'!F48)</x:f>
        <x:v>57</x:v>
      </x:c>
      <x:c r="E48" s="55" t="n">
        <x:f>IFERROR(ROUND(AVERAGEIFS('Player Ratings'!$R$5:$R$1252,'Player Ratings'!$A$5:$A$1252,$B48,'Player Ratings'!$G$5:$G$1252,"Rotation"),2),'Seed Profiles'!G48)</x:f>
        <x:v>52</x:v>
      </x:c>
      <x:c r="F48" s="55" t="n">
        <x:f>IFERROR(ROUND(AVERAGEIFS('Player Ratings'!$R$5:$R$1252,'Player Ratings'!$A$5:$A$1252,$B48,'Player Ratings'!$F$5:$F$1252,"Defence",'Player Ratings'!$G$5:$G$1252,"Starter"),2),$D48)</x:f>
        <x:v>57</x:v>
      </x:c>
      <x:c r="G48" s="55" t="n">
        <x:f>IFERROR(ROUND(AVERAGEIFS('Player Ratings'!$R$5:$R$1252,'Player Ratings'!$A$5:$A$1252,$B48,'Player Ratings'!$F$5:$F$1252,"Attack",'Player Ratings'!$G$5:$G$1252,"Starter"),2),$D48)</x:f>
        <x:v>57</x:v>
      </x:c>
      <x:c r="H48" s="55" t="n">
        <x:f>IFERROR(ROUND(AVERAGEIFS('Player Ratings'!$R$5:$R$1252,'Player Ratings'!$A$5:$A$1252,$B48,'Player Ratings'!$F$5:$F$1252,"GK",'Player Ratings'!$G$5:$G$1252,"Starter"),2),$D48)</x:f>
        <x:v>57</x:v>
      </x:c>
      <x:c r="I48" s="55" t="n">
        <x:f>MAX(20,ROUND(100-SUMIFS('Player Ratings'!$S$5:$S$1252,'Player Ratings'!$A$5:$A$1252,$B48),2))</x:f>
        <x:v>100</x:v>
      </x:c>
      <x:c r="J48" s="61" t="n">
        <x:f>ROUND(COUNTIFS('Player Ratings'!$A$5:$A$1252,$B48,'Player Ratings'!$D$5:$D$1252,"?*",'Player Ratings'!$R$5:$R$1252,"&gt;0")/26,2)</x:f>
        <x:v>0</x:v>
      </x:c>
      <x:c r="K48" s="51" t="n">
        <x:f>COUNTIFS('Player Ratings'!$A$5:$A$1252,$B48,'Player Ratings'!$D$5:$D$1252,"?*")</x:f>
        <x:v>0</x:v>
      </x:c>
      <x:c r="L48" s="51" t="str">
        <x:f>IF($K48=0,"seed fallback - player ratings pending",IF($J48&gt;=0.85,"verified squad/player feed",IF($J48&gt;=0.5,"partial player feed","low coverage - review")))</x:f>
        <x:v>seed fallback - player ratings pending</x:v>
      </x:c>
      <x:c r="M48" s="51" t="str"/>
    </x:row>
    <x:row r="49">
      <x:c r="A49" s="51" t="str">
        <x:v>L</x:v>
      </x:c>
      <x:c r="B49" s="51" t="str">
        <x:v>Croatia</x:v>
      </x:c>
      <x:c r="C49" s="55" t="n">
        <x:f>IF($K49=0,'Seed Profiles'!E49,ROUND(0.45*$D49+0.25*$E49+0.12*$F49+0.12*$G49+0.06*$H49,2))</x:f>
        <x:v>82</x:v>
      </x:c>
      <x:c r="D49" s="55" t="n">
        <x:f>IFERROR(ROUND(AVERAGEIFS('Player Ratings'!$R$5:$R$1252,'Player Ratings'!$A$5:$A$1252,$B49,'Player Ratings'!$G$5:$G$1252,"Starter"),2),'Seed Profiles'!F49)</x:f>
        <x:v>82</x:v>
      </x:c>
      <x:c r="E49" s="55" t="n">
        <x:f>IFERROR(ROUND(AVERAGEIFS('Player Ratings'!$R$5:$R$1252,'Player Ratings'!$A$5:$A$1252,$B49,'Player Ratings'!$G$5:$G$1252,"Rotation"),2),'Seed Profiles'!G49)</x:f>
        <x:v>78</x:v>
      </x:c>
      <x:c r="F49" s="55" t="n">
        <x:f>IFERROR(ROUND(AVERAGEIFS('Player Ratings'!$R$5:$R$1252,'Player Ratings'!$A$5:$A$1252,$B49,'Player Ratings'!$F$5:$F$1252,"Defence",'Player Ratings'!$G$5:$G$1252,"Starter"),2),$D49)</x:f>
        <x:v>82</x:v>
      </x:c>
      <x:c r="G49" s="55" t="n">
        <x:f>IFERROR(ROUND(AVERAGEIFS('Player Ratings'!$R$5:$R$1252,'Player Ratings'!$A$5:$A$1252,$B49,'Player Ratings'!$F$5:$F$1252,"Attack",'Player Ratings'!$G$5:$G$1252,"Starter"),2),$D49)</x:f>
        <x:v>82</x:v>
      </x:c>
      <x:c r="H49" s="55" t="n">
        <x:f>IFERROR(ROUND(AVERAGEIFS('Player Ratings'!$R$5:$R$1252,'Player Ratings'!$A$5:$A$1252,$B49,'Player Ratings'!$F$5:$F$1252,"GK",'Player Ratings'!$G$5:$G$1252,"Starter"),2),$D49)</x:f>
        <x:v>82</x:v>
      </x:c>
      <x:c r="I49" s="55" t="n">
        <x:f>MAX(20,ROUND(100-SUMIFS('Player Ratings'!$S$5:$S$1252,'Player Ratings'!$A$5:$A$1252,$B49),2))</x:f>
        <x:v>100</x:v>
      </x:c>
      <x:c r="J49" s="61" t="n">
        <x:f>ROUND(COUNTIFS('Player Ratings'!$A$5:$A$1252,$B49,'Player Ratings'!$D$5:$D$1252,"?*",'Player Ratings'!$R$5:$R$1252,"&gt;0")/26,2)</x:f>
        <x:v>0</x:v>
      </x:c>
      <x:c r="K49" s="51" t="n">
        <x:f>COUNTIFS('Player Ratings'!$A$5:$A$1252,$B49,'Player Ratings'!$D$5:$D$1252,"?*")</x:f>
        <x:v>0</x:v>
      </x:c>
      <x:c r="L49" s="51" t="str">
        <x:f>IF($K49=0,"seed fallback - player ratings pending",IF($J49&gt;=0.85,"verified squad/player feed",IF($J49&gt;=0.5,"partial player feed","low coverage - review")))</x:f>
        <x:v>seed fallback - player ratings pending</x:v>
      </x:c>
      <x:c r="M49" s="51" t="str"/>
    </x:row>
    <x:row r="50">
      <x:c r="A50" s="51" t="str">
        <x:v>L</x:v>
      </x:c>
      <x:c r="B50" s="51" t="str">
        <x:v>England</x:v>
      </x:c>
      <x:c r="C50" s="55" t="n">
        <x:f>IF($K50=0,'Seed Profiles'!E50,ROUND(0.45*$D50+0.25*$E50+0.12*$F50+0.12*$G50+0.06*$H50,2))</x:f>
        <x:v>92</x:v>
      </x:c>
      <x:c r="D50" s="55" t="n">
        <x:f>IFERROR(ROUND(AVERAGEIFS('Player Ratings'!$R$5:$R$1252,'Player Ratings'!$A$5:$A$1252,$B50,'Player Ratings'!$G$5:$G$1252,"Starter"),2),'Seed Profiles'!F50)</x:f>
        <x:v>91</x:v>
      </x:c>
      <x:c r="E50" s="55" t="n">
        <x:f>IFERROR(ROUND(AVERAGEIFS('Player Ratings'!$R$5:$R$1252,'Player Ratings'!$A$5:$A$1252,$B50,'Player Ratings'!$G$5:$G$1252,"Rotation"),2),'Seed Profiles'!G50)</x:f>
        <x:v>93</x:v>
      </x:c>
      <x:c r="F50" s="55" t="n">
        <x:f>IFERROR(ROUND(AVERAGEIFS('Player Ratings'!$R$5:$R$1252,'Player Ratings'!$A$5:$A$1252,$B50,'Player Ratings'!$F$5:$F$1252,"Defence",'Player Ratings'!$G$5:$G$1252,"Starter"),2),$D50)</x:f>
        <x:v>91</x:v>
      </x:c>
      <x:c r="G50" s="55" t="n">
        <x:f>IFERROR(ROUND(AVERAGEIFS('Player Ratings'!$R$5:$R$1252,'Player Ratings'!$A$5:$A$1252,$B50,'Player Ratings'!$F$5:$F$1252,"Attack",'Player Ratings'!$G$5:$G$1252,"Starter"),2),$D50)</x:f>
        <x:v>91</x:v>
      </x:c>
      <x:c r="H50" s="55" t="n">
        <x:f>IFERROR(ROUND(AVERAGEIFS('Player Ratings'!$R$5:$R$1252,'Player Ratings'!$A$5:$A$1252,$B50,'Player Ratings'!$F$5:$F$1252,"GK",'Player Ratings'!$G$5:$G$1252,"Starter"),2),$D50)</x:f>
        <x:v>91</x:v>
      </x:c>
      <x:c r="I50" s="55" t="n">
        <x:f>MAX(20,ROUND(100-SUMIFS('Player Ratings'!$S$5:$S$1252,'Player Ratings'!$A$5:$A$1252,$B50),2))</x:f>
        <x:v>100</x:v>
      </x:c>
      <x:c r="J50" s="61" t="n">
        <x:f>ROUND(COUNTIFS('Player Ratings'!$A$5:$A$1252,$B50,'Player Ratings'!$D$5:$D$1252,"?*",'Player Ratings'!$R$5:$R$1252,"&gt;0")/26,2)</x:f>
        <x:v>0</x:v>
      </x:c>
      <x:c r="K50" s="51" t="n">
        <x:f>COUNTIFS('Player Ratings'!$A$5:$A$1252,$B50,'Player Ratings'!$D$5:$D$1252,"?*")</x:f>
        <x:v>0</x:v>
      </x:c>
      <x:c r="L50" s="51" t="str">
        <x:f>IF($K50=0,"seed fallback - player ratings pending",IF($J50&gt;=0.85,"verified squad/player feed",IF($J50&gt;=0.5,"partial player feed","low coverage - review")))</x:f>
        <x:v>seed fallback - player ratings pending</x:v>
      </x:c>
      <x:c r="M50" s="51" t="str"/>
    </x:row>
    <x:row r="51">
      <x:c r="A51" s="51" t="str">
        <x:v>L</x:v>
      </x:c>
      <x:c r="B51" s="51" t="str">
        <x:v>Ghana</x:v>
      </x:c>
      <x:c r="C51" s="55" t="n">
        <x:f>IF($K51=0,'Seed Profiles'!E51,ROUND(0.45*$D51+0.25*$E51+0.12*$F51+0.12*$G51+0.06*$H51,2))</x:f>
        <x:v>72</x:v>
      </x:c>
      <x:c r="D51" s="55" t="n">
        <x:f>IFERROR(ROUND(AVERAGEIFS('Player Ratings'!$R$5:$R$1252,'Player Ratings'!$A$5:$A$1252,$B51,'Player Ratings'!$G$5:$G$1252,"Starter"),2),'Seed Profiles'!F51)</x:f>
        <x:v>72</x:v>
      </x:c>
      <x:c r="E51" s="55" t="n">
        <x:f>IFERROR(ROUND(AVERAGEIFS('Player Ratings'!$R$5:$R$1252,'Player Ratings'!$A$5:$A$1252,$B51,'Player Ratings'!$G$5:$G$1252,"Rotation"),2),'Seed Profiles'!G51)</x:f>
        <x:v>69</x:v>
      </x:c>
      <x:c r="F51" s="55" t="n">
        <x:f>IFERROR(ROUND(AVERAGEIFS('Player Ratings'!$R$5:$R$1252,'Player Ratings'!$A$5:$A$1252,$B51,'Player Ratings'!$F$5:$F$1252,"Defence",'Player Ratings'!$G$5:$G$1252,"Starter"),2),$D51)</x:f>
        <x:v>72</x:v>
      </x:c>
      <x:c r="G51" s="55" t="n">
        <x:f>IFERROR(ROUND(AVERAGEIFS('Player Ratings'!$R$5:$R$1252,'Player Ratings'!$A$5:$A$1252,$B51,'Player Ratings'!$F$5:$F$1252,"Attack",'Player Ratings'!$G$5:$G$1252,"Starter"),2),$D51)</x:f>
        <x:v>72</x:v>
      </x:c>
      <x:c r="H51" s="55" t="n">
        <x:f>IFERROR(ROUND(AVERAGEIFS('Player Ratings'!$R$5:$R$1252,'Player Ratings'!$A$5:$A$1252,$B51,'Player Ratings'!$F$5:$F$1252,"GK",'Player Ratings'!$G$5:$G$1252,"Starter"),2),$D51)</x:f>
        <x:v>72</x:v>
      </x:c>
      <x:c r="I51" s="55" t="n">
        <x:f>MAX(20,ROUND(100-SUMIFS('Player Ratings'!$S$5:$S$1252,'Player Ratings'!$A$5:$A$1252,$B51),2))</x:f>
        <x:v>100</x:v>
      </x:c>
      <x:c r="J51" s="61" t="n">
        <x:f>ROUND(COUNTIFS('Player Ratings'!$A$5:$A$1252,$B51,'Player Ratings'!$D$5:$D$1252,"?*",'Player Ratings'!$R$5:$R$1252,"&gt;0")/26,2)</x:f>
        <x:v>0</x:v>
      </x:c>
      <x:c r="K51" s="51" t="n">
        <x:f>COUNTIFS('Player Ratings'!$A$5:$A$1252,$B51,'Player Ratings'!$D$5:$D$1252,"?*")</x:f>
        <x:v>0</x:v>
      </x:c>
      <x:c r="L51" s="51" t="str">
        <x:f>IF($K51=0,"seed fallback - player ratings pending",IF($J51&gt;=0.85,"verified squad/player feed",IF($J51&gt;=0.5,"partial player feed","low coverage - review")))</x:f>
        <x:v>seed fallback - player ratings pending</x:v>
      </x:c>
      <x:c r="M51" s="51" t="str"/>
    </x:row>
    <x:row r="52">
      <x:c r="A52" s="51" t="str">
        <x:v>L</x:v>
      </x:c>
      <x:c r="B52" s="51" t="str">
        <x:v>Panama</x:v>
      </x:c>
      <x:c r="C52" s="55" t="n">
        <x:f>IF($K52=0,'Seed Profiles'!E52,ROUND(0.45*$D52+0.25*$E52+0.12*$F52+0.12*$G52+0.06*$H52,2))</x:f>
        <x:v>57</x:v>
      </x:c>
      <x:c r="D52" s="55" t="n">
        <x:f>IFERROR(ROUND(AVERAGEIFS('Player Ratings'!$R$5:$R$1252,'Player Ratings'!$A$5:$A$1252,$B52,'Player Ratings'!$G$5:$G$1252,"Starter"),2),'Seed Profiles'!F52)</x:f>
        <x:v>58</x:v>
      </x:c>
      <x:c r="E52" s="55" t="n">
        <x:f>IFERROR(ROUND(AVERAGEIFS('Player Ratings'!$R$5:$R$1252,'Player Ratings'!$A$5:$A$1252,$B52,'Player Ratings'!$G$5:$G$1252,"Rotation"),2),'Seed Profiles'!G52)</x:f>
        <x:v>53</x:v>
      </x:c>
      <x:c r="F52" s="55" t="n">
        <x:f>IFERROR(ROUND(AVERAGEIFS('Player Ratings'!$R$5:$R$1252,'Player Ratings'!$A$5:$A$1252,$B52,'Player Ratings'!$F$5:$F$1252,"Defence",'Player Ratings'!$G$5:$G$1252,"Starter"),2),$D52)</x:f>
        <x:v>58</x:v>
      </x:c>
      <x:c r="G52" s="55" t="n">
        <x:f>IFERROR(ROUND(AVERAGEIFS('Player Ratings'!$R$5:$R$1252,'Player Ratings'!$A$5:$A$1252,$B52,'Player Ratings'!$F$5:$F$1252,"Attack",'Player Ratings'!$G$5:$G$1252,"Starter"),2),$D52)</x:f>
        <x:v>58</x:v>
      </x:c>
      <x:c r="H52" s="55" t="n">
        <x:f>IFERROR(ROUND(AVERAGEIFS('Player Ratings'!$R$5:$R$1252,'Player Ratings'!$A$5:$A$1252,$B52,'Player Ratings'!$F$5:$F$1252,"GK",'Player Ratings'!$G$5:$G$1252,"Starter"),2),$D52)</x:f>
        <x:v>58</x:v>
      </x:c>
      <x:c r="I52" s="55" t="n">
        <x:f>MAX(20,ROUND(100-SUMIFS('Player Ratings'!$S$5:$S$1252,'Player Ratings'!$A$5:$A$1252,$B52),2))</x:f>
        <x:v>100</x:v>
      </x:c>
      <x:c r="J52" s="61" t="n">
        <x:f>ROUND(COUNTIFS('Player Ratings'!$A$5:$A$1252,$B52,'Player Ratings'!$D$5:$D$1252,"?*",'Player Ratings'!$R$5:$R$1252,"&gt;0")/26,2)</x:f>
        <x:v>0</x:v>
      </x:c>
      <x:c r="K52" s="51" t="n">
        <x:f>COUNTIFS('Player Ratings'!$A$5:$A$1252,$B52,'Player Ratings'!$D$5:$D$1252,"?*")</x:f>
        <x:v>0</x:v>
      </x:c>
      <x:c r="L52" s="51" t="str">
        <x:f>IF($K52=0,"seed fallback - player ratings pending",IF($J52&gt;=0.85,"verified squad/player feed",IF($J52&gt;=0.5,"partial player feed","low coverage - review")))</x:f>
        <x:v>seed fallback - player ratings pending</x:v>
      </x:c>
      <x:c r="M52" s="51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e494413f5684a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16.559999465942383" hidden="0" customWidth="1"/>
    <x:col min="3" max="3" width="16.329999923706055" hidden="0" customWidth="1"/>
    <x:col min="4" max="4" width="21.110000610351562" hidden="0" customWidth="1"/>
    <x:col min="5" max="5" width="20.889999389648438" hidden="0" customWidth="1"/>
    <x:col min="6" max="6" width="16.440000534057617" hidden="0" customWidth="1"/>
    <x:col min="7" max="7" width="18" hidden="0" customWidth="1"/>
    <x:col min="8" max="8" width="14.670000076293945" hidden="0" customWidth="1"/>
    <x:col min="9" max="9" width="18.110000610351562" hidden="0" customWidth="1"/>
    <x:col min="10" max="10" width="10.109999656677246" hidden="0" customWidth="1"/>
    <x:col min="11" max="11" width="17" hidden="0" customWidth="1"/>
    <x:col min="12" max="12" width="22" hidden="0" customWidth="1"/>
    <x:col min="13" max="13" width="21.440000534057617" hidden="0" customWidth="1"/>
    <x:col min="14" max="14" width="13.670000076293945" hidden="0" customWidth="1"/>
    <x:col min="15" max="15" width="8.4399995803833" hidden="0" customWidth="1"/>
    <x:col min="16" max="16" width="14.109999656677246" hidden="0" customWidth="1"/>
    <x:col min="17" max="17" width="7.329999923706055" hidden="0" customWidth="1"/>
  </x:cols>
  <x:sheetData>
    <x:row r="1" ht="25.5" customHeight="1">
      <x:c r="A1" s="47" t="str">
        <x:v>Manager Profiles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2" ht="36" customHeight="1">
      <x:c r="A2" s="49" t="str">
        <x:v>Score managers on concrete dimensions. If the rubric is incomplete, V2 seed scores remain as fallback.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</x:row>
    <x:row r="4">
      <x:c r="A4" s="50" t="str">
        <x:v>Group</x:v>
      </x:c>
      <x:c r="B4" s="50" t="str">
        <x:v>Team</x:v>
      </x:c>
      <x:c r="C4" s="50" t="str">
        <x:v>Manager Name</x:v>
      </x:c>
      <x:c r="D4" s="50" t="str">
        <x:v>Tournament Experience</x:v>
      </x:c>
      <x:c r="E4" s="50" t="str">
        <x:v>Knockout Management</x:v>
      </x:c>
      <x:c r="F4" s="50" t="str">
        <x:v>Tactical Flexibility</x:v>
      </x:c>
      <x:c r="G4" s="50" t="str">
        <x:v>Substitution Quality</x:v>
      </x:c>
      <x:c r="H4" s="50" t="str">
        <x:v>Set Piece Value</x:v>
      </x:c>
      <x:c r="I4" s="50" t="str">
        <x:v>Defensive Structure</x:v>
      </x:c>
      <x:c r="J4" s="50" t="str">
        <x:v>Squad Fit</x:v>
      </x:c>
      <x:c r="K4" s="50" t="str">
        <x:v>Pressure Handling</x:v>
      </x:c>
      <x:c r="L4" s="50" t="str">
        <x:v>Manager Pedigree Score</x:v>
      </x:c>
      <x:c r="M4" s="50" t="str">
        <x:v>Tactical Flexibility Score</x:v>
      </x:c>
      <x:c r="N4" s="50" t="str">
        <x:v>Source Status</x:v>
      </x:c>
      <x:c r="O4" s="50" t="str">
        <x:v>Analyst</x:v>
      </x:c>
      <x:c r="P4" s="50" t="str">
        <x:v>Last Reviewed</x:v>
      </x:c>
      <x:c r="Q4" s="50" t="str">
        <x:v>Notes</x:v>
      </x:c>
    </x:row>
    <x:row r="5">
      <x:c r="A5" s="51" t="str">
        <x:v>A</x:v>
      </x:c>
      <x:c r="B5" s="51" t="str">
        <x:v>Czech Republic</x:v>
      </x:c>
      <x:c r="C5" s="51" t="str">
        <x:v>manual_required</x:v>
      </x:c>
      <x:c r="D5" s="72" t="str"/>
      <x:c r="E5" s="72" t="str"/>
      <x:c r="F5" s="72" t="str"/>
      <x:c r="G5" s="72" t="str"/>
      <x:c r="H5" s="72" t="str"/>
      <x:c r="I5" s="72" t="str"/>
      <x:c r="J5" s="72" t="str"/>
      <x:c r="K5" s="72" t="str"/>
      <x:c r="L5" s="55" t="n">
        <x:f>IF(COUNT($D5:$K5)&lt;8,'Seed Profiles'!H5,ROUND(0.22*$D5+0.18*$E5+0.15*$F5+0.1*$G5+0.1*$H5+0.12*$I5+0.08*$J5+0.05*$K5,2))</x:f>
        <x:v>49.53</x:v>
      </x:c>
      <x:c r="M5" s="55" t="n">
        <x:f>IF(COUNT($F5:$J5)&lt;5,'Seed Profiles'!I5,ROUND(0.45*$F5+0.15*$G5+0.15*$H5+0.1*$I5+0.15*$J5,2))</x:f>
        <x:v>47.53</x:v>
      </x:c>
      <x:c r="N5" s="51" t="str">
        <x:f>IF(COUNT($D5:$K5)&lt;8,"seed fallback - analyst rubric pending","analyst-reviewed manager rubric")</x:f>
        <x:v>seed fallback - analyst rubric pending</x:v>
      </x:c>
      <x:c r="O5" s="51" t="str"/>
      <x:c r="P5" s="51" t="str"/>
      <x:c r="Q5" s="51" t="str"/>
    </x:row>
    <x:row r="6">
      <x:c r="A6" s="51" t="str">
        <x:v>A</x:v>
      </x:c>
      <x:c r="B6" s="51" t="str">
        <x:v>Mexico</x:v>
      </x:c>
      <x:c r="C6" s="51" t="str">
        <x:v>Javier Aguirre</x:v>
      </x:c>
      <x:c r="D6" s="72" t="str"/>
      <x:c r="E6" s="72" t="str"/>
      <x:c r="F6" s="72" t="str"/>
      <x:c r="G6" s="72" t="str"/>
      <x:c r="H6" s="72" t="str"/>
      <x:c r="I6" s="72" t="str"/>
      <x:c r="J6" s="72" t="str"/>
      <x:c r="K6" s="72" t="str"/>
      <x:c r="L6" s="55" t="n">
        <x:f>IF(COUNT($D6:$K6)&lt;8,'Seed Profiles'!H6,ROUND(0.22*$D6+0.18*$E6+0.15*$F6+0.1*$G6+0.1*$H6+0.12*$I6+0.08*$J6+0.05*$K6,2))</x:f>
        <x:v>78</x:v>
      </x:c>
      <x:c r="M6" s="55" t="n">
        <x:f>IF(COUNT($F6:$J6)&lt;5,'Seed Profiles'!I6,ROUND(0.45*$F6+0.15*$G6+0.15*$H6+0.1*$I6+0.15*$J6,2))</x:f>
        <x:v>72</x:v>
      </x:c>
      <x:c r="N6" s="51" t="str">
        <x:f>IF(COUNT($D6:$K6)&lt;8,"seed fallback - analyst rubric pending","analyst-reviewed manager rubric")</x:f>
        <x:v>seed fallback - analyst rubric pending</x:v>
      </x:c>
      <x:c r="O6" s="51" t="str"/>
      <x:c r="P6" s="51" t="str"/>
      <x:c r="Q6" s="51" t="str"/>
    </x:row>
    <x:row r="7">
      <x:c r="A7" s="51" t="str">
        <x:v>A</x:v>
      </x:c>
      <x:c r="B7" s="51" t="str">
        <x:v>South Africa</x:v>
      </x:c>
      <x:c r="C7" s="51" t="str">
        <x:v>Hugo Broos</x:v>
      </x:c>
      <x:c r="D7" s="72" t="str"/>
      <x:c r="E7" s="72" t="str"/>
      <x:c r="F7" s="72" t="str"/>
      <x:c r="G7" s="72" t="str"/>
      <x:c r="H7" s="72" t="str"/>
      <x:c r="I7" s="72" t="str"/>
      <x:c r="J7" s="72" t="str"/>
      <x:c r="K7" s="72" t="str"/>
      <x:c r="L7" s="55" t="n">
        <x:f>IF(COUNT($D7:$K7)&lt;8,'Seed Profiles'!H7,ROUND(0.22*$D7+0.18*$E7+0.15*$F7+0.1*$G7+0.1*$H7+0.12*$I7+0.08*$J7+0.05*$K7,2))</x:f>
        <x:v>76</x:v>
      </x:c>
      <x:c r="M7" s="55" t="n">
        <x:f>IF(COUNT($F7:$J7)&lt;5,'Seed Profiles'!I7,ROUND(0.45*$F7+0.15*$G7+0.15*$H7+0.1*$I7+0.15*$J7,2))</x:f>
        <x:v>70</x:v>
      </x:c>
      <x:c r="N7" s="51" t="str">
        <x:f>IF(COUNT($D7:$K7)&lt;8,"seed fallback - analyst rubric pending","analyst-reviewed manager rubric")</x:f>
        <x:v>seed fallback - analyst rubric pending</x:v>
      </x:c>
      <x:c r="O7" s="51" t="str"/>
      <x:c r="P7" s="51" t="str"/>
      <x:c r="Q7" s="51" t="str"/>
    </x:row>
    <x:row r="8">
      <x:c r="A8" s="51" t="str">
        <x:v>A</x:v>
      </x:c>
      <x:c r="B8" s="51" t="str">
        <x:v>South Korea</x:v>
      </x:c>
      <x:c r="C8" s="51" t="str">
        <x:v>Hong Myung-bo</x:v>
      </x:c>
      <x:c r="D8" s="72" t="str"/>
      <x:c r="E8" s="72" t="str"/>
      <x:c r="F8" s="72" t="str"/>
      <x:c r="G8" s="72" t="str"/>
      <x:c r="H8" s="72" t="str"/>
      <x:c r="I8" s="72" t="str"/>
      <x:c r="J8" s="72" t="str"/>
      <x:c r="K8" s="72" t="str"/>
      <x:c r="L8" s="55" t="n">
        <x:f>IF(COUNT($D8:$K8)&lt;8,'Seed Profiles'!H8,ROUND(0.22*$D8+0.18*$E8+0.15*$F8+0.1*$G8+0.1*$H8+0.12*$I8+0.08*$J8+0.05*$K8,2))</x:f>
        <x:v>70</x:v>
      </x:c>
      <x:c r="M8" s="55" t="n">
        <x:f>IF(COUNT($F8:$J8)&lt;5,'Seed Profiles'!I8,ROUND(0.45*$F8+0.15*$G8+0.15*$H8+0.1*$I8+0.15*$J8,2))</x:f>
        <x:v>70</x:v>
      </x:c>
      <x:c r="N8" s="51" t="str">
        <x:f>IF(COUNT($D8:$K8)&lt;8,"seed fallback - analyst rubric pending","analyst-reviewed manager rubric")</x:f>
        <x:v>seed fallback - analyst rubric pending</x:v>
      </x:c>
      <x:c r="O8" s="51" t="str"/>
      <x:c r="P8" s="51" t="str"/>
      <x:c r="Q8" s="51" t="str"/>
    </x:row>
    <x:row r="9">
      <x:c r="A9" s="51" t="str">
        <x:v>B</x:v>
      </x:c>
      <x:c r="B9" s="51" t="str">
        <x:v>Bosnia &amp; Herzegovina</x:v>
      </x:c>
      <x:c r="C9" s="51" t="str">
        <x:v>manual_required</x:v>
      </x:c>
      <x:c r="D9" s="72" t="str"/>
      <x:c r="E9" s="72" t="str"/>
      <x:c r="F9" s="72" t="str"/>
      <x:c r="G9" s="72" t="str"/>
      <x:c r="H9" s="72" t="str"/>
      <x:c r="I9" s="72" t="str"/>
      <x:c r="J9" s="72" t="str"/>
      <x:c r="K9" s="72" t="str"/>
      <x:c r="L9" s="55" t="n">
        <x:f>IF(COUNT($D9:$K9)&lt;8,'Seed Profiles'!H9,ROUND(0.22*$D9+0.18*$E9+0.15*$F9+0.1*$G9+0.1*$H9+0.12*$I9+0.08*$J9+0.05*$K9,2))</x:f>
        <x:v>45</x:v>
      </x:c>
      <x:c r="M9" s="55" t="n">
        <x:f>IF(COUNT($F9:$J9)&lt;5,'Seed Profiles'!I9,ROUND(0.45*$F9+0.15*$G9+0.15*$H9+0.1*$I9+0.15*$J9,2))</x:f>
        <x:v>42</x:v>
      </x:c>
      <x:c r="N9" s="51" t="str">
        <x:f>IF(COUNT($D9:$K9)&lt;8,"seed fallback - analyst rubric pending","analyst-reviewed manager rubric")</x:f>
        <x:v>seed fallback - analyst rubric pending</x:v>
      </x:c>
      <x:c r="O9" s="51" t="str"/>
      <x:c r="P9" s="51" t="str"/>
      <x:c r="Q9" s="51" t="str"/>
    </x:row>
    <x:row r="10">
      <x:c r="A10" s="51" t="str">
        <x:v>B</x:v>
      </x:c>
      <x:c r="B10" s="51" t="str">
        <x:v>Canada</x:v>
      </x:c>
      <x:c r="C10" s="51" t="str">
        <x:v>Jesse Marsch</x:v>
      </x:c>
      <x:c r="D10" s="72" t="str"/>
      <x:c r="E10" s="72" t="str"/>
      <x:c r="F10" s="72" t="str"/>
      <x:c r="G10" s="72" t="str"/>
      <x:c r="H10" s="72" t="str"/>
      <x:c r="I10" s="72" t="str"/>
      <x:c r="J10" s="72" t="str"/>
      <x:c r="K10" s="72" t="str"/>
      <x:c r="L10" s="55" t="n">
        <x:f>IF(COUNT($D10:$K10)&lt;8,'Seed Profiles'!H10,ROUND(0.22*$D10+0.18*$E10+0.15*$F10+0.1*$G10+0.1*$H10+0.12*$I10+0.08*$J10+0.05*$K10,2))</x:f>
        <x:v>72</x:v>
      </x:c>
      <x:c r="M10" s="55" t="n">
        <x:f>IF(COUNT($F10:$J10)&lt;5,'Seed Profiles'!I10,ROUND(0.45*$F10+0.15*$G10+0.15*$H10+0.1*$I10+0.15*$J10,2))</x:f>
        <x:v>80</x:v>
      </x:c>
      <x:c r="N10" s="51" t="str">
        <x:f>IF(COUNT($D10:$K10)&lt;8,"seed fallback - analyst rubric pending","analyst-reviewed manager rubric")</x:f>
        <x:v>seed fallback - analyst rubric pending</x:v>
      </x:c>
      <x:c r="O10" s="51" t="str"/>
      <x:c r="P10" s="51" t="str"/>
      <x:c r="Q10" s="51" t="str"/>
    </x:row>
    <x:row r="11">
      <x:c r="A11" s="51" t="str">
        <x:v>B</x:v>
      </x:c>
      <x:c r="B11" s="51" t="str">
        <x:v>Qatar</x:v>
      </x:c>
      <x:c r="C11" s="51" t="str">
        <x:v>Julen Lopetegui</x:v>
      </x:c>
      <x:c r="D11" s="72" t="str"/>
      <x:c r="E11" s="72" t="str"/>
      <x:c r="F11" s="72" t="str"/>
      <x:c r="G11" s="72" t="str"/>
      <x:c r="H11" s="72" t="str"/>
      <x:c r="I11" s="72" t="str"/>
      <x:c r="J11" s="72" t="str"/>
      <x:c r="K11" s="72" t="str"/>
      <x:c r="L11" s="55" t="n">
        <x:f>IF(COUNT($D11:$K11)&lt;8,'Seed Profiles'!H11,ROUND(0.22*$D11+0.18*$E11+0.15*$F11+0.1*$G11+0.1*$H11+0.12*$I11+0.08*$J11+0.05*$K11,2))</x:f>
        <x:v>78</x:v>
      </x:c>
      <x:c r="M11" s="55" t="n">
        <x:f>IF(COUNT($F11:$J11)&lt;5,'Seed Profiles'!I11,ROUND(0.45*$F11+0.15*$G11+0.15*$H11+0.1*$I11+0.15*$J11,2))</x:f>
        <x:v>80</x:v>
      </x:c>
      <x:c r="N11" s="51" t="str">
        <x:f>IF(COUNT($D11:$K11)&lt;8,"seed fallback - analyst rubric pending","analyst-reviewed manager rubric")</x:f>
        <x:v>seed fallback - analyst rubric pending</x:v>
      </x:c>
      <x:c r="O11" s="51" t="str"/>
      <x:c r="P11" s="51" t="str"/>
      <x:c r="Q11" s="51" t="str"/>
    </x:row>
    <x:row r="12">
      <x:c r="A12" s="51" t="str">
        <x:v>B</x:v>
      </x:c>
      <x:c r="B12" s="51" t="str">
        <x:v>Switzerland</x:v>
      </x:c>
      <x:c r="C12" s="51" t="str">
        <x:v>Murat Yakin</x:v>
      </x:c>
      <x:c r="D12" s="72" t="str"/>
      <x:c r="E12" s="72" t="str"/>
      <x:c r="F12" s="72" t="str"/>
      <x:c r="G12" s="72" t="str"/>
      <x:c r="H12" s="72" t="str"/>
      <x:c r="I12" s="72" t="str"/>
      <x:c r="J12" s="72" t="str"/>
      <x:c r="K12" s="72" t="str"/>
      <x:c r="L12" s="55" t="n">
        <x:f>IF(COUNT($D12:$K12)&lt;8,'Seed Profiles'!H12,ROUND(0.22*$D12+0.18*$E12+0.15*$F12+0.1*$G12+0.1*$H12+0.12*$I12+0.08*$J12+0.05*$K12,2))</x:f>
        <x:v>76</x:v>
      </x:c>
      <x:c r="M12" s="55" t="n">
        <x:f>IF(COUNT($F12:$J12)&lt;5,'Seed Profiles'!I12,ROUND(0.45*$F12+0.15*$G12+0.15*$H12+0.1*$I12+0.15*$J12,2))</x:f>
        <x:v>74</x:v>
      </x:c>
      <x:c r="N12" s="51" t="str">
        <x:f>IF(COUNT($D12:$K12)&lt;8,"seed fallback - analyst rubric pending","analyst-reviewed manager rubric")</x:f>
        <x:v>seed fallback - analyst rubric pending</x:v>
      </x:c>
      <x:c r="O12" s="51" t="str"/>
      <x:c r="P12" s="51" t="str"/>
      <x:c r="Q12" s="51" t="str"/>
    </x:row>
    <x:row r="13">
      <x:c r="A13" s="51" t="str">
        <x:v>C</x:v>
      </x:c>
      <x:c r="B13" s="51" t="str">
        <x:v>Brazil</x:v>
      </x:c>
      <x:c r="C13" s="51" t="str">
        <x:v>Carlo Ancelotti</x:v>
      </x:c>
      <x:c r="D13" s="72" t="str"/>
      <x:c r="E13" s="72" t="str"/>
      <x:c r="F13" s="72" t="str"/>
      <x:c r="G13" s="72" t="str"/>
      <x:c r="H13" s="72" t="str"/>
      <x:c r="I13" s="72" t="str"/>
      <x:c r="J13" s="72" t="str"/>
      <x:c r="K13" s="72" t="str"/>
      <x:c r="L13" s="55" t="n">
        <x:f>IF(COUNT($D13:$K13)&lt;8,'Seed Profiles'!H13,ROUND(0.22*$D13+0.18*$E13+0.15*$F13+0.1*$G13+0.1*$H13+0.12*$I13+0.08*$J13+0.05*$K13,2))</x:f>
        <x:v>89</x:v>
      </x:c>
      <x:c r="M13" s="55" t="n">
        <x:f>IF(COUNT($F13:$J13)&lt;5,'Seed Profiles'!I13,ROUND(0.45*$F13+0.15*$G13+0.15*$H13+0.1*$I13+0.15*$J13,2))</x:f>
        <x:v>86</x:v>
      </x:c>
      <x:c r="N13" s="51" t="str">
        <x:f>IF(COUNT($D13:$K13)&lt;8,"seed fallback - analyst rubric pending","analyst-reviewed manager rubric")</x:f>
        <x:v>seed fallback - analyst rubric pending</x:v>
      </x:c>
      <x:c r="O13" s="51" t="str"/>
      <x:c r="P13" s="51" t="str"/>
      <x:c r="Q13" s="51" t="str"/>
    </x:row>
    <x:row r="14">
      <x:c r="A14" s="51" t="str">
        <x:v>C</x:v>
      </x:c>
      <x:c r="B14" s="51" t="str">
        <x:v>Haiti</x:v>
      </x:c>
      <x:c r="C14" s="51" t="str">
        <x:v>manual_required</x:v>
      </x:c>
      <x:c r="D14" s="72" t="str"/>
      <x:c r="E14" s="72" t="str"/>
      <x:c r="F14" s="72" t="str"/>
      <x:c r="G14" s="72" t="str"/>
      <x:c r="H14" s="72" t="str"/>
      <x:c r="I14" s="72" t="str"/>
      <x:c r="J14" s="72" t="str"/>
      <x:c r="K14" s="72" t="str"/>
      <x:c r="L14" s="55" t="n">
        <x:f>IF(COUNT($D14:$K14)&lt;8,'Seed Profiles'!H14,ROUND(0.22*$D14+0.18*$E14+0.15*$F14+0.1*$G14+0.1*$H14+0.12*$I14+0.08*$J14+0.05*$K14,2))</x:f>
        <x:v>45</x:v>
      </x:c>
      <x:c r="M14" s="55" t="n">
        <x:f>IF(COUNT($F14:$J14)&lt;5,'Seed Profiles'!I14,ROUND(0.45*$F14+0.15*$G14+0.15*$H14+0.1*$I14+0.15*$J14,2))</x:f>
        <x:v>42.77</x:v>
      </x:c>
      <x:c r="N14" s="51" t="str">
        <x:f>IF(COUNT($D14:$K14)&lt;8,"seed fallback - analyst rubric pending","analyst-reviewed manager rubric")</x:f>
        <x:v>seed fallback - analyst rubric pending</x:v>
      </x:c>
      <x:c r="O14" s="51" t="str"/>
      <x:c r="P14" s="51" t="str"/>
      <x:c r="Q14" s="51" t="str"/>
    </x:row>
    <x:row r="15">
      <x:c r="A15" s="51" t="str">
        <x:v>C</x:v>
      </x:c>
      <x:c r="B15" s="51" t="str">
        <x:v>Morocco</x:v>
      </x:c>
      <x:c r="C15" s="51" t="str">
        <x:v>Walid Regragui</x:v>
      </x:c>
      <x:c r="D15" s="72" t="str"/>
      <x:c r="E15" s="72" t="str"/>
      <x:c r="F15" s="72" t="str"/>
      <x:c r="G15" s="72" t="str"/>
      <x:c r="H15" s="72" t="str"/>
      <x:c r="I15" s="72" t="str"/>
      <x:c r="J15" s="72" t="str"/>
      <x:c r="K15" s="72" t="str"/>
      <x:c r="L15" s="55" t="n">
        <x:f>IF(COUNT($D15:$K15)&lt;8,'Seed Profiles'!H15,ROUND(0.22*$D15+0.18*$E15+0.15*$F15+0.1*$G15+0.1*$H15+0.12*$I15+0.08*$J15+0.05*$K15,2))</x:f>
        <x:v>84</x:v>
      </x:c>
      <x:c r="M15" s="55" t="n">
        <x:f>IF(COUNT($F15:$J15)&lt;5,'Seed Profiles'!I15,ROUND(0.45*$F15+0.15*$G15+0.15*$H15+0.1*$I15+0.15*$J15,2))</x:f>
        <x:v>80</x:v>
      </x:c>
      <x:c r="N15" s="51" t="str">
        <x:f>IF(COUNT($D15:$K15)&lt;8,"seed fallback - analyst rubric pending","analyst-reviewed manager rubric")</x:f>
        <x:v>seed fallback - analyst rubric pending</x:v>
      </x:c>
      <x:c r="O15" s="51" t="str"/>
      <x:c r="P15" s="51" t="str"/>
      <x:c r="Q15" s="51" t="str"/>
    </x:row>
    <x:row r="16">
      <x:c r="A16" s="51" t="str">
        <x:v>C</x:v>
      </x:c>
      <x:c r="B16" s="51" t="str">
        <x:v>Scotland</x:v>
      </x:c>
      <x:c r="C16" s="51" t="str">
        <x:v>Steve Clarke</x:v>
      </x:c>
      <x:c r="D16" s="72" t="str"/>
      <x:c r="E16" s="72" t="str"/>
      <x:c r="F16" s="72" t="str"/>
      <x:c r="G16" s="72" t="str"/>
      <x:c r="H16" s="72" t="str"/>
      <x:c r="I16" s="72" t="str"/>
      <x:c r="J16" s="72" t="str"/>
      <x:c r="K16" s="72" t="str"/>
      <x:c r="L16" s="55" t="n">
        <x:f>IF(COUNT($D16:$K16)&lt;8,'Seed Profiles'!H16,ROUND(0.22*$D16+0.18*$E16+0.15*$F16+0.1*$G16+0.1*$H16+0.12*$I16+0.08*$J16+0.05*$K16,2))</x:f>
        <x:v>73</x:v>
      </x:c>
      <x:c r="M16" s="55" t="n">
        <x:f>IF(COUNT($F16:$J16)&lt;5,'Seed Profiles'!I16,ROUND(0.45*$F16+0.15*$G16+0.15*$H16+0.1*$I16+0.15*$J16,2))</x:f>
        <x:v>70</x:v>
      </x:c>
      <x:c r="N16" s="51" t="str">
        <x:f>IF(COUNT($D16:$K16)&lt;8,"seed fallback - analyst rubric pending","analyst-reviewed manager rubric")</x:f>
        <x:v>seed fallback - analyst rubric pending</x:v>
      </x:c>
      <x:c r="O16" s="51" t="str"/>
      <x:c r="P16" s="51" t="str"/>
      <x:c r="Q16" s="51" t="str"/>
    </x:row>
    <x:row r="17">
      <x:c r="A17" s="51" t="str">
        <x:v>D</x:v>
      </x:c>
      <x:c r="B17" s="51" t="str">
        <x:v>Australia</x:v>
      </x:c>
      <x:c r="C17" s="51" t="str">
        <x:v>Tony Popovic</x:v>
      </x:c>
      <x:c r="D17" s="72" t="str"/>
      <x:c r="E17" s="72" t="str"/>
      <x:c r="F17" s="72" t="str"/>
      <x:c r="G17" s="72" t="str"/>
      <x:c r="H17" s="72" t="str"/>
      <x:c r="I17" s="72" t="str"/>
      <x:c r="J17" s="72" t="str"/>
      <x:c r="K17" s="72" t="str"/>
      <x:c r="L17" s="55" t="n">
        <x:f>IF(COUNT($D17:$K17)&lt;8,'Seed Profiles'!H17,ROUND(0.22*$D17+0.18*$E17+0.15*$F17+0.1*$G17+0.1*$H17+0.12*$I17+0.08*$J17+0.05*$K17,2))</x:f>
        <x:v>70</x:v>
      </x:c>
      <x:c r="M17" s="55" t="n">
        <x:f>IF(COUNT($F17:$J17)&lt;5,'Seed Profiles'!I17,ROUND(0.45*$F17+0.15*$G17+0.15*$H17+0.1*$I17+0.15*$J17,2))</x:f>
        <x:v>70</x:v>
      </x:c>
      <x:c r="N17" s="51" t="str">
        <x:f>IF(COUNT($D17:$K17)&lt;8,"seed fallback - analyst rubric pending","analyst-reviewed manager rubric")</x:f>
        <x:v>seed fallback - analyst rubric pending</x:v>
      </x:c>
      <x:c r="O17" s="51" t="str"/>
      <x:c r="P17" s="51" t="str"/>
      <x:c r="Q17" s="51" t="str"/>
    </x:row>
    <x:row r="18">
      <x:c r="A18" s="51" t="str">
        <x:v>D</x:v>
      </x:c>
      <x:c r="B18" s="51" t="str">
        <x:v>Paraguay</x:v>
      </x:c>
      <x:c r="C18" s="51" t="str">
        <x:v>Gustavo Alfaro</x:v>
      </x:c>
      <x:c r="D18" s="72" t="str"/>
      <x:c r="E18" s="72" t="str"/>
      <x:c r="F18" s="72" t="str"/>
      <x:c r="G18" s="72" t="str"/>
      <x:c r="H18" s="72" t="str"/>
      <x:c r="I18" s="72" t="str"/>
      <x:c r="J18" s="72" t="str"/>
      <x:c r="K18" s="72" t="str"/>
      <x:c r="L18" s="55" t="n">
        <x:f>IF(COUNT($D18:$K18)&lt;8,'Seed Profiles'!H18,ROUND(0.22*$D18+0.18*$E18+0.15*$F18+0.1*$G18+0.1*$H18+0.12*$I18+0.08*$J18+0.05*$K18,2))</x:f>
        <x:v>76</x:v>
      </x:c>
      <x:c r="M18" s="55" t="n">
        <x:f>IF(COUNT($F18:$J18)&lt;5,'Seed Profiles'!I18,ROUND(0.45*$F18+0.15*$G18+0.15*$H18+0.1*$I18+0.15*$J18,2))</x:f>
        <x:v>72</x:v>
      </x:c>
      <x:c r="N18" s="51" t="str">
        <x:f>IF(COUNT($D18:$K18)&lt;8,"seed fallback - analyst rubric pending","analyst-reviewed manager rubric")</x:f>
        <x:v>seed fallback - analyst rubric pending</x:v>
      </x:c>
      <x:c r="O18" s="51" t="str"/>
      <x:c r="P18" s="51" t="str"/>
      <x:c r="Q18" s="51" t="str"/>
    </x:row>
    <x:row r="19">
      <x:c r="A19" s="51" t="str">
        <x:v>D</x:v>
      </x:c>
      <x:c r="B19" s="51" t="str">
        <x:v>Turkey</x:v>
      </x:c>
      <x:c r="C19" s="51" t="str">
        <x:v>Vincenzo Montella</x:v>
      </x:c>
      <x:c r="D19" s="72" t="str"/>
      <x:c r="E19" s="72" t="str"/>
      <x:c r="F19" s="72" t="str"/>
      <x:c r="G19" s="72" t="str"/>
      <x:c r="H19" s="72" t="str"/>
      <x:c r="I19" s="72" t="str"/>
      <x:c r="J19" s="72" t="str"/>
      <x:c r="K19" s="72" t="str"/>
      <x:c r="L19" s="55" t="n">
        <x:f>IF(COUNT($D19:$K19)&lt;8,'Seed Profiles'!H19,ROUND(0.22*$D19+0.18*$E19+0.15*$F19+0.1*$G19+0.1*$H19+0.12*$I19+0.08*$J19+0.05*$K19,2))</x:f>
        <x:v>74</x:v>
      </x:c>
      <x:c r="M19" s="55" t="n">
        <x:f>IF(COUNT($F19:$J19)&lt;5,'Seed Profiles'!I19,ROUND(0.45*$F19+0.15*$G19+0.15*$H19+0.1*$I19+0.15*$J19,2))</x:f>
        <x:v>76</x:v>
      </x:c>
      <x:c r="N19" s="51" t="str">
        <x:f>IF(COUNT($D19:$K19)&lt;8,"seed fallback - analyst rubric pending","analyst-reviewed manager rubric")</x:f>
        <x:v>seed fallback - analyst rubric pending</x:v>
      </x:c>
      <x:c r="O19" s="51" t="str"/>
      <x:c r="P19" s="51" t="str"/>
      <x:c r="Q19" s="51" t="str"/>
    </x:row>
    <x:row r="20">
      <x:c r="A20" s="51" t="str">
        <x:v>D</x:v>
      </x:c>
      <x:c r="B20" s="51" t="str">
        <x:v>USA</x:v>
      </x:c>
      <x:c r="C20" s="51" t="str">
        <x:v>Mauricio Pochettino</x:v>
      </x:c>
      <x:c r="D20" s="72" t="str"/>
      <x:c r="E20" s="72" t="str"/>
      <x:c r="F20" s="72" t="str"/>
      <x:c r="G20" s="72" t="str"/>
      <x:c r="H20" s="72" t="str"/>
      <x:c r="I20" s="72" t="str"/>
      <x:c r="J20" s="72" t="str"/>
      <x:c r="K20" s="72" t="str"/>
      <x:c r="L20" s="55" t="n">
        <x:f>IF(COUNT($D20:$K20)&lt;8,'Seed Profiles'!H20,ROUND(0.22*$D20+0.18*$E20+0.15*$F20+0.1*$G20+0.1*$H20+0.12*$I20+0.08*$J20+0.05*$K20,2))</x:f>
        <x:v>82</x:v>
      </x:c>
      <x:c r="M20" s="55" t="n">
        <x:f>IF(COUNT($F20:$J20)&lt;5,'Seed Profiles'!I20,ROUND(0.45*$F20+0.15*$G20+0.15*$H20+0.1*$I20+0.15*$J20,2))</x:f>
        <x:v>86</x:v>
      </x:c>
      <x:c r="N20" s="51" t="str">
        <x:f>IF(COUNT($D20:$K20)&lt;8,"seed fallback - analyst rubric pending","analyst-reviewed manager rubric")</x:f>
        <x:v>seed fallback - analyst rubric pending</x:v>
      </x:c>
      <x:c r="O20" s="51" t="str"/>
      <x:c r="P20" s="51" t="str"/>
      <x:c r="Q20" s="51" t="str"/>
    </x:row>
    <x:row r="21">
      <x:c r="A21" s="51" t="str">
        <x:v>E</x:v>
      </x:c>
      <x:c r="B21" s="51" t="str">
        <x:v>Curaçao</x:v>
      </x:c>
      <x:c r="C21" s="51" t="str">
        <x:v>manual_required</x:v>
      </x:c>
      <x:c r="D21" s="72" t="str"/>
      <x:c r="E21" s="72" t="str"/>
      <x:c r="F21" s="72" t="str"/>
      <x:c r="G21" s="72" t="str"/>
      <x:c r="H21" s="72" t="str"/>
      <x:c r="I21" s="72" t="str"/>
      <x:c r="J21" s="72" t="str"/>
      <x:c r="K21" s="72" t="str"/>
      <x:c r="L21" s="55" t="n">
        <x:f>IF(COUNT($D21:$K21)&lt;8,'Seed Profiles'!H21,ROUND(0.22*$D21+0.18*$E21+0.15*$F21+0.1*$G21+0.1*$H21+0.12*$I21+0.08*$J21+0.05*$K21,2))</x:f>
        <x:v>45</x:v>
      </x:c>
      <x:c r="M21" s="55" t="n">
        <x:f>IF(COUNT($F21:$J21)&lt;5,'Seed Profiles'!I21,ROUND(0.45*$F21+0.15*$G21+0.15*$H21+0.1*$I21+0.15*$J21,2))</x:f>
        <x:v>42</x:v>
      </x:c>
      <x:c r="N21" s="51" t="str">
        <x:f>IF(COUNT($D21:$K21)&lt;8,"seed fallback - analyst rubric pending","analyst-reviewed manager rubric")</x:f>
        <x:v>seed fallback - analyst rubric pending</x:v>
      </x:c>
      <x:c r="O21" s="51" t="str"/>
      <x:c r="P21" s="51" t="str"/>
      <x:c r="Q21" s="51" t="str"/>
    </x:row>
    <x:row r="22">
      <x:c r="A22" s="51" t="str">
        <x:v>E</x:v>
      </x:c>
      <x:c r="B22" s="51" t="str">
        <x:v>Ecuador</x:v>
      </x:c>
      <x:c r="C22" s="51" t="str">
        <x:v>Sebastian Beccacece</x:v>
      </x:c>
      <x:c r="D22" s="72" t="str"/>
      <x:c r="E22" s="72" t="str"/>
      <x:c r="F22" s="72" t="str"/>
      <x:c r="G22" s="72" t="str"/>
      <x:c r="H22" s="72" t="str"/>
      <x:c r="I22" s="72" t="str"/>
      <x:c r="J22" s="72" t="str"/>
      <x:c r="K22" s="72" t="str"/>
      <x:c r="L22" s="55" t="n">
        <x:f>IF(COUNT($D22:$K22)&lt;8,'Seed Profiles'!H22,ROUND(0.22*$D22+0.18*$E22+0.15*$F22+0.1*$G22+0.1*$H22+0.12*$I22+0.08*$J22+0.05*$K22,2))</x:f>
        <x:v>73</x:v>
      </x:c>
      <x:c r="M22" s="55" t="n">
        <x:f>IF(COUNT($F22:$J22)&lt;5,'Seed Profiles'!I22,ROUND(0.45*$F22+0.15*$G22+0.15*$H22+0.1*$I22+0.15*$J22,2))</x:f>
        <x:v>76</x:v>
      </x:c>
      <x:c r="N22" s="51" t="str">
        <x:f>IF(COUNT($D22:$K22)&lt;8,"seed fallback - analyst rubric pending","analyst-reviewed manager rubric")</x:f>
        <x:v>seed fallback - analyst rubric pending</x:v>
      </x:c>
      <x:c r="O22" s="51" t="str"/>
      <x:c r="P22" s="51" t="str"/>
      <x:c r="Q22" s="51" t="str"/>
    </x:row>
    <x:row r="23">
      <x:c r="A23" s="51" t="str">
        <x:v>E</x:v>
      </x:c>
      <x:c r="B23" s="51" t="str">
        <x:v>Germany</x:v>
      </x:c>
      <x:c r="C23" s="51" t="str">
        <x:v>Julian Nagelsmann</x:v>
      </x:c>
      <x:c r="D23" s="72" t="str"/>
      <x:c r="E23" s="72" t="str"/>
      <x:c r="F23" s="72" t="str"/>
      <x:c r="G23" s="72" t="str"/>
      <x:c r="H23" s="72" t="str"/>
      <x:c r="I23" s="72" t="str"/>
      <x:c r="J23" s="72" t="str"/>
      <x:c r="K23" s="72" t="str"/>
      <x:c r="L23" s="55" t="n">
        <x:f>IF(COUNT($D23:$K23)&lt;8,'Seed Profiles'!H23,ROUND(0.22*$D23+0.18*$E23+0.15*$F23+0.1*$G23+0.1*$H23+0.12*$I23+0.08*$J23+0.05*$K23,2))</x:f>
        <x:v>82</x:v>
      </x:c>
      <x:c r="M23" s="55" t="n">
        <x:f>IF(COUNT($F23:$J23)&lt;5,'Seed Profiles'!I23,ROUND(0.45*$F23+0.15*$G23+0.15*$H23+0.1*$I23+0.15*$J23,2))</x:f>
        <x:v>90</x:v>
      </x:c>
      <x:c r="N23" s="51" t="str">
        <x:f>IF(COUNT($D23:$K23)&lt;8,"seed fallback - analyst rubric pending","analyst-reviewed manager rubric")</x:f>
        <x:v>seed fallback - analyst rubric pending</x:v>
      </x:c>
      <x:c r="O23" s="51" t="str"/>
      <x:c r="P23" s="51" t="str"/>
      <x:c r="Q23" s="51" t="str"/>
    </x:row>
    <x:row r="24">
      <x:c r="A24" s="51" t="str">
        <x:v>E</x:v>
      </x:c>
      <x:c r="B24" s="51" t="str">
        <x:v>Ivory Coast</x:v>
      </x:c>
      <x:c r="C24" s="51" t="str">
        <x:v>manual_required</x:v>
      </x:c>
      <x:c r="D24" s="72" t="str"/>
      <x:c r="E24" s="72" t="str"/>
      <x:c r="F24" s="72" t="str"/>
      <x:c r="G24" s="72" t="str"/>
      <x:c r="H24" s="72" t="str"/>
      <x:c r="I24" s="72" t="str"/>
      <x:c r="J24" s="72" t="str"/>
      <x:c r="K24" s="72" t="str"/>
      <x:c r="L24" s="55" t="n">
        <x:f>IF(COUNT($D24:$K24)&lt;8,'Seed Profiles'!H24,ROUND(0.22*$D24+0.18*$E24+0.15*$F24+0.1*$G24+0.1*$H24+0.12*$I24+0.08*$J24+0.05*$K24,2))</x:f>
        <x:v>50.21</x:v>
      </x:c>
      <x:c r="M24" s="55" t="n">
        <x:f>IF(COUNT($F24:$J24)&lt;5,'Seed Profiles'!I24,ROUND(0.45*$F24+0.15*$G24+0.15*$H24+0.1*$I24+0.15*$J24,2))</x:f>
        <x:v>48.21</x:v>
      </x:c>
      <x:c r="N24" s="51" t="str">
        <x:f>IF(COUNT($D24:$K24)&lt;8,"seed fallback - analyst rubric pending","analyst-reviewed manager rubric")</x:f>
        <x:v>seed fallback - analyst rubric pending</x:v>
      </x:c>
      <x:c r="O24" s="51" t="str"/>
      <x:c r="P24" s="51" t="str"/>
      <x:c r="Q24" s="51" t="str"/>
    </x:row>
    <x:row r="25">
      <x:c r="A25" s="51" t="str">
        <x:v>F</x:v>
      </x:c>
      <x:c r="B25" s="51" t="str">
        <x:v>Japan</x:v>
      </x:c>
      <x:c r="C25" s="51" t="str">
        <x:v>Hajime Moriyasu</x:v>
      </x:c>
      <x:c r="D25" s="72" t="str"/>
      <x:c r="E25" s="72" t="str"/>
      <x:c r="F25" s="72" t="str"/>
      <x:c r="G25" s="72" t="str"/>
      <x:c r="H25" s="72" t="str"/>
      <x:c r="I25" s="72" t="str"/>
      <x:c r="J25" s="72" t="str"/>
      <x:c r="K25" s="72" t="str"/>
      <x:c r="L25" s="55" t="n">
        <x:f>IF(COUNT($D25:$K25)&lt;8,'Seed Profiles'!H25,ROUND(0.22*$D25+0.18*$E25+0.15*$F25+0.1*$G25+0.1*$H25+0.12*$I25+0.08*$J25+0.05*$K25,2))</x:f>
        <x:v>80</x:v>
      </x:c>
      <x:c r="M25" s="55" t="n">
        <x:f>IF(COUNT($F25:$J25)&lt;5,'Seed Profiles'!I25,ROUND(0.45*$F25+0.15*$G25+0.15*$H25+0.1*$I25+0.15*$J25,2))</x:f>
        <x:v>82</x:v>
      </x:c>
      <x:c r="N25" s="51" t="str">
        <x:f>IF(COUNT($D25:$K25)&lt;8,"seed fallback - analyst rubric pending","analyst-reviewed manager rubric")</x:f>
        <x:v>seed fallback - analyst rubric pending</x:v>
      </x:c>
      <x:c r="O25" s="51" t="str"/>
      <x:c r="P25" s="51" t="str"/>
      <x:c r="Q25" s="51" t="str"/>
    </x:row>
    <x:row r="26">
      <x:c r="A26" s="51" t="str">
        <x:v>F</x:v>
      </x:c>
      <x:c r="B26" s="51" t="str">
        <x:v>Netherlands</x:v>
      </x:c>
      <x:c r="C26" s="51" t="str">
        <x:v>Ronald Koeman</x:v>
      </x:c>
      <x:c r="D26" s="72" t="str"/>
      <x:c r="E26" s="72" t="str"/>
      <x:c r="F26" s="72" t="str"/>
      <x:c r="G26" s="72" t="str"/>
      <x:c r="H26" s="72" t="str"/>
      <x:c r="I26" s="72" t="str"/>
      <x:c r="J26" s="72" t="str"/>
      <x:c r="K26" s="72" t="str"/>
      <x:c r="L26" s="55" t="n">
        <x:f>IF(COUNT($D26:$K26)&lt;8,'Seed Profiles'!H26,ROUND(0.22*$D26+0.18*$E26+0.15*$F26+0.1*$G26+0.1*$H26+0.12*$I26+0.08*$J26+0.05*$K26,2))</x:f>
        <x:v>76</x:v>
      </x:c>
      <x:c r="M26" s="55" t="n">
        <x:f>IF(COUNT($F26:$J26)&lt;5,'Seed Profiles'!I26,ROUND(0.45*$F26+0.15*$G26+0.15*$H26+0.1*$I26+0.15*$J26,2))</x:f>
        <x:v>74</x:v>
      </x:c>
      <x:c r="N26" s="51" t="str">
        <x:f>IF(COUNT($D26:$K26)&lt;8,"seed fallback - analyst rubric pending","analyst-reviewed manager rubric")</x:f>
        <x:v>seed fallback - analyst rubric pending</x:v>
      </x:c>
      <x:c r="O26" s="51" t="str"/>
      <x:c r="P26" s="51" t="str"/>
      <x:c r="Q26" s="51" t="str"/>
    </x:row>
    <x:row r="27">
      <x:c r="A27" s="51" t="str">
        <x:v>F</x:v>
      </x:c>
      <x:c r="B27" s="51" t="str">
        <x:v>Sweden</x:v>
      </x:c>
      <x:c r="C27" s="51" t="str">
        <x:v>manual_required</x:v>
      </x:c>
      <x:c r="D27" s="72" t="str"/>
      <x:c r="E27" s="72" t="str"/>
      <x:c r="F27" s="72" t="str"/>
      <x:c r="G27" s="72" t="str"/>
      <x:c r="H27" s="72" t="str"/>
      <x:c r="I27" s="72" t="str"/>
      <x:c r="J27" s="72" t="str"/>
      <x:c r="K27" s="72" t="str"/>
      <x:c r="L27" s="55" t="n">
        <x:f>IF(COUNT($D27:$K27)&lt;8,'Seed Profiles'!H27,ROUND(0.22*$D27+0.18*$E27+0.15*$F27+0.1*$G27+0.1*$H27+0.12*$I27+0.08*$J27+0.05*$K27,2))</x:f>
        <x:v>48.17</x:v>
      </x:c>
      <x:c r="M27" s="55" t="n">
        <x:f>IF(COUNT($F27:$J27)&lt;5,'Seed Profiles'!I27,ROUND(0.45*$F27+0.15*$G27+0.15*$H27+0.1*$I27+0.15*$J27,2))</x:f>
        <x:v>46.17</x:v>
      </x:c>
      <x:c r="N27" s="51" t="str">
        <x:f>IF(COUNT($D27:$K27)&lt;8,"seed fallback - analyst rubric pending","analyst-reviewed manager rubric")</x:f>
        <x:v>seed fallback - analyst rubric pending</x:v>
      </x:c>
      <x:c r="O27" s="51" t="str"/>
      <x:c r="P27" s="51" t="str"/>
      <x:c r="Q27" s="51" t="str"/>
    </x:row>
    <x:row r="28">
      <x:c r="A28" s="51" t="str">
        <x:v>F</x:v>
      </x:c>
      <x:c r="B28" s="51" t="str">
        <x:v>Tunisia</x:v>
      </x:c>
      <x:c r="C28" s="51" t="str">
        <x:v>manual_required</x:v>
      </x:c>
      <x:c r="D28" s="72" t="str"/>
      <x:c r="E28" s="72" t="str"/>
      <x:c r="F28" s="72" t="str"/>
      <x:c r="G28" s="72" t="str"/>
      <x:c r="H28" s="72" t="str"/>
      <x:c r="I28" s="72" t="str"/>
      <x:c r="J28" s="72" t="str"/>
      <x:c r="K28" s="72" t="str"/>
      <x:c r="L28" s="55" t="n">
        <x:f>IF(COUNT($D28:$K28)&lt;8,'Seed Profiles'!H28,ROUND(0.22*$D28+0.18*$E28+0.15*$F28+0.1*$G28+0.1*$H28+0.12*$I28+0.08*$J28+0.05*$K28,2))</x:f>
        <x:v>45.45</x:v>
      </x:c>
      <x:c r="M28" s="55" t="n">
        <x:f>IF(COUNT($F28:$J28)&lt;5,'Seed Profiles'!I28,ROUND(0.45*$F28+0.15*$G28+0.15*$H28+0.1*$I28+0.15*$J28,2))</x:f>
        <x:v>43.45</x:v>
      </x:c>
      <x:c r="N28" s="51" t="str">
        <x:f>IF(COUNT($D28:$K28)&lt;8,"seed fallback - analyst rubric pending","analyst-reviewed manager rubric")</x:f>
        <x:v>seed fallback - analyst rubric pending</x:v>
      </x:c>
      <x:c r="O28" s="51" t="str"/>
      <x:c r="P28" s="51" t="str"/>
      <x:c r="Q28" s="51" t="str"/>
    </x:row>
    <x:row r="29">
      <x:c r="A29" s="51" t="str">
        <x:v>G</x:v>
      </x:c>
      <x:c r="B29" s="51" t="str">
        <x:v>Belgium</x:v>
      </x:c>
      <x:c r="C29" s="51" t="str">
        <x:v>Rudi Garcia</x:v>
      </x:c>
      <x:c r="D29" s="72" t="str"/>
      <x:c r="E29" s="72" t="str"/>
      <x:c r="F29" s="72" t="str"/>
      <x:c r="G29" s="72" t="str"/>
      <x:c r="H29" s="72" t="str"/>
      <x:c r="I29" s="72" t="str"/>
      <x:c r="J29" s="72" t="str"/>
      <x:c r="K29" s="72" t="str"/>
      <x:c r="L29" s="55" t="n">
        <x:f>IF(COUNT($D29:$K29)&lt;8,'Seed Profiles'!H29,ROUND(0.22*$D29+0.18*$E29+0.15*$F29+0.1*$G29+0.1*$H29+0.12*$I29+0.08*$J29+0.05*$K29,2))</x:f>
        <x:v>74</x:v>
      </x:c>
      <x:c r="M29" s="55" t="n">
        <x:f>IF(COUNT($F29:$J29)&lt;5,'Seed Profiles'!I29,ROUND(0.45*$F29+0.15*$G29+0.15*$H29+0.1*$I29+0.15*$J29,2))</x:f>
        <x:v>72</x:v>
      </x:c>
      <x:c r="N29" s="51" t="str">
        <x:f>IF(COUNT($D29:$K29)&lt;8,"seed fallback - analyst rubric pending","analyst-reviewed manager rubric")</x:f>
        <x:v>seed fallback - analyst rubric pending</x:v>
      </x:c>
      <x:c r="O29" s="51" t="str"/>
      <x:c r="P29" s="51" t="str"/>
      <x:c r="Q29" s="51" t="str"/>
    </x:row>
    <x:row r="30">
      <x:c r="A30" s="51" t="str">
        <x:v>G</x:v>
      </x:c>
      <x:c r="B30" s="51" t="str">
        <x:v>Egypt</x:v>
      </x:c>
      <x:c r="C30" s="51" t="str">
        <x:v>manual_required</x:v>
      </x:c>
      <x:c r="D30" s="72" t="str"/>
      <x:c r="E30" s="72" t="str"/>
      <x:c r="F30" s="72" t="str"/>
      <x:c r="G30" s="72" t="str"/>
      <x:c r="H30" s="72" t="str"/>
      <x:c r="I30" s="72" t="str"/>
      <x:c r="J30" s="72" t="str"/>
      <x:c r="K30" s="72" t="str"/>
      <x:c r="L30" s="55" t="n">
        <x:f>IF(COUNT($D30:$K30)&lt;8,'Seed Profiles'!H30,ROUND(0.22*$D30+0.18*$E30+0.15*$F30+0.1*$G30+0.1*$H30+0.12*$I30+0.08*$J30+0.05*$K30,2))</x:f>
        <x:v>56.89</x:v>
      </x:c>
      <x:c r="M30" s="55" t="n">
        <x:f>IF(COUNT($F30:$J30)&lt;5,'Seed Profiles'!I30,ROUND(0.45*$F30+0.15*$G30+0.15*$H30+0.1*$I30+0.15*$J30,2))</x:f>
        <x:v>54.89</x:v>
      </x:c>
      <x:c r="N30" s="51" t="str">
        <x:f>IF(COUNT($D30:$K30)&lt;8,"seed fallback - analyst rubric pending","analyst-reviewed manager rubric")</x:f>
        <x:v>seed fallback - analyst rubric pending</x:v>
      </x:c>
      <x:c r="O30" s="51" t="str"/>
      <x:c r="P30" s="51" t="str"/>
      <x:c r="Q30" s="51" t="str"/>
    </x:row>
    <x:row r="31">
      <x:c r="A31" s="51" t="str">
        <x:v>G</x:v>
      </x:c>
      <x:c r="B31" s="51" t="str">
        <x:v>Iran</x:v>
      </x:c>
      <x:c r="C31" s="51" t="str">
        <x:v>manual_required</x:v>
      </x:c>
      <x:c r="D31" s="72" t="str"/>
      <x:c r="E31" s="72" t="str"/>
      <x:c r="F31" s="72" t="str"/>
      <x:c r="G31" s="72" t="str"/>
      <x:c r="H31" s="72" t="str"/>
      <x:c r="I31" s="72" t="str"/>
      <x:c r="J31" s="72" t="str"/>
      <x:c r="K31" s="72" t="str"/>
      <x:c r="L31" s="55" t="n">
        <x:f>IF(COUNT($D31:$K31)&lt;8,'Seed Profiles'!H31,ROUND(0.22*$D31+0.18*$E31+0.15*$F31+0.1*$G31+0.1*$H31+0.12*$I31+0.08*$J31+0.05*$K31,2))</x:f>
        <x:v>61.66</x:v>
      </x:c>
      <x:c r="M31" s="55" t="n">
        <x:f>IF(COUNT($F31:$J31)&lt;5,'Seed Profiles'!I31,ROUND(0.45*$F31+0.15*$G31+0.15*$H31+0.1*$I31+0.15*$J31,2))</x:f>
        <x:v>59.66</x:v>
      </x:c>
      <x:c r="N31" s="51" t="str">
        <x:f>IF(COUNT($D31:$K31)&lt;8,"seed fallback - analyst rubric pending","analyst-reviewed manager rubric")</x:f>
        <x:v>seed fallback - analyst rubric pending</x:v>
      </x:c>
      <x:c r="O31" s="51" t="str"/>
      <x:c r="P31" s="51" t="str"/>
      <x:c r="Q31" s="51" t="str"/>
    </x:row>
    <x:row r="32">
      <x:c r="A32" s="51" t="str">
        <x:v>G</x:v>
      </x:c>
      <x:c r="B32" s="51" t="str">
        <x:v>New Zealand</x:v>
      </x:c>
      <x:c r="C32" s="51" t="str">
        <x:v>Darren Bazeley</x:v>
      </x:c>
      <x:c r="D32" s="72" t="str"/>
      <x:c r="E32" s="72" t="str"/>
      <x:c r="F32" s="72" t="str"/>
      <x:c r="G32" s="72" t="str"/>
      <x:c r="H32" s="72" t="str"/>
      <x:c r="I32" s="72" t="str"/>
      <x:c r="J32" s="72" t="str"/>
      <x:c r="K32" s="72" t="str"/>
      <x:c r="L32" s="55" t="n">
        <x:f>IF(COUNT($D32:$K32)&lt;8,'Seed Profiles'!H32,ROUND(0.22*$D32+0.18*$E32+0.15*$F32+0.1*$G32+0.1*$H32+0.12*$I32+0.08*$J32+0.05*$K32,2))</x:f>
        <x:v>62</x:v>
      </x:c>
      <x:c r="M32" s="55" t="n">
        <x:f>IF(COUNT($F32:$J32)&lt;5,'Seed Profiles'!I32,ROUND(0.45*$F32+0.15*$G32+0.15*$H32+0.1*$I32+0.15*$J32,2))</x:f>
        <x:v>62</x:v>
      </x:c>
      <x:c r="N32" s="51" t="str">
        <x:f>IF(COUNT($D32:$K32)&lt;8,"seed fallback - analyst rubric pending","analyst-reviewed manager rubric")</x:f>
        <x:v>seed fallback - analyst rubric pending</x:v>
      </x:c>
      <x:c r="O32" s="51" t="str"/>
      <x:c r="P32" s="51" t="str"/>
      <x:c r="Q32" s="51" t="str"/>
    </x:row>
    <x:row r="33">
      <x:c r="A33" s="51" t="str">
        <x:v>H</x:v>
      </x:c>
      <x:c r="B33" s="51" t="str">
        <x:v>Cape Verde</x:v>
      </x:c>
      <x:c r="C33" s="51" t="str">
        <x:v>manual_required</x:v>
      </x:c>
      <x:c r="D33" s="72" t="str"/>
      <x:c r="E33" s="72" t="str"/>
      <x:c r="F33" s="72" t="str"/>
      <x:c r="G33" s="72" t="str"/>
      <x:c r="H33" s="72" t="str"/>
      <x:c r="I33" s="72" t="str"/>
      <x:c r="J33" s="72" t="str"/>
      <x:c r="K33" s="72" t="str"/>
      <x:c r="L33" s="55" t="n">
        <x:f>IF(COUNT($D33:$K33)&lt;8,'Seed Profiles'!H33,ROUND(0.22*$D33+0.18*$E33+0.15*$F33+0.1*$G33+0.1*$H33+0.12*$I33+0.08*$J33+0.05*$K33,2))</x:f>
        <x:v>45</x:v>
      </x:c>
      <x:c r="M33" s="55" t="n">
        <x:f>IF(COUNT($F33:$J33)&lt;5,'Seed Profiles'!I33,ROUND(0.45*$F33+0.15*$G33+0.15*$H33+0.1*$I33+0.15*$J33,2))</x:f>
        <x:v>42</x:v>
      </x:c>
      <x:c r="N33" s="51" t="str">
        <x:f>IF(COUNT($D33:$K33)&lt;8,"seed fallback - analyst rubric pending","analyst-reviewed manager rubric")</x:f>
        <x:v>seed fallback - analyst rubric pending</x:v>
      </x:c>
      <x:c r="O33" s="51" t="str"/>
      <x:c r="P33" s="51" t="str"/>
      <x:c r="Q33" s="51" t="str"/>
    </x:row>
    <x:row r="34">
      <x:c r="A34" s="51" t="str">
        <x:v>H</x:v>
      </x:c>
      <x:c r="B34" s="51" t="str">
        <x:v>Saudi Arabia</x:v>
      </x:c>
      <x:c r="C34" s="51" t="str">
        <x:v>manual_required</x:v>
      </x:c>
      <x:c r="D34" s="72" t="str"/>
      <x:c r="E34" s="72" t="str"/>
      <x:c r="F34" s="72" t="str"/>
      <x:c r="G34" s="72" t="str"/>
      <x:c r="H34" s="72" t="str"/>
      <x:c r="I34" s="72" t="str"/>
      <x:c r="J34" s="72" t="str"/>
      <x:c r="K34" s="72" t="str"/>
      <x:c r="L34" s="55" t="n">
        <x:f>IF(COUNT($D34:$K34)&lt;8,'Seed Profiles'!H34,ROUND(0.22*$D34+0.18*$E34+0.15*$F34+0.1*$G34+0.1*$H34+0.12*$I34+0.08*$J34+0.05*$K34,2))</x:f>
        <x:v>45</x:v>
      </x:c>
      <x:c r="M34" s="55" t="n">
        <x:f>IF(COUNT($F34:$J34)&lt;5,'Seed Profiles'!I34,ROUND(0.45*$F34+0.15*$G34+0.15*$H34+0.1*$I34+0.15*$J34,2))</x:f>
        <x:v>42.09</x:v>
      </x:c>
      <x:c r="N34" s="51" t="str">
        <x:f>IF(COUNT($D34:$K34)&lt;8,"seed fallback - analyst rubric pending","analyst-reviewed manager rubric")</x:f>
        <x:v>seed fallback - analyst rubric pending</x:v>
      </x:c>
      <x:c r="O34" s="51" t="str"/>
      <x:c r="P34" s="51" t="str"/>
      <x:c r="Q34" s="51" t="str"/>
    </x:row>
    <x:row r="35">
      <x:c r="A35" s="51" t="str">
        <x:v>H</x:v>
      </x:c>
      <x:c r="B35" s="51" t="str">
        <x:v>Spain</x:v>
      </x:c>
      <x:c r="C35" s="51" t="str">
        <x:v>Luis de la Fuente</x:v>
      </x:c>
      <x:c r="D35" s="72" t="str"/>
      <x:c r="E35" s="72" t="str"/>
      <x:c r="F35" s="72" t="str"/>
      <x:c r="G35" s="72" t="str"/>
      <x:c r="H35" s="72" t="str"/>
      <x:c r="I35" s="72" t="str"/>
      <x:c r="J35" s="72" t="str"/>
      <x:c r="K35" s="72" t="str"/>
      <x:c r="L35" s="55" t="n">
        <x:f>IF(COUNT($D35:$K35)&lt;8,'Seed Profiles'!H35,ROUND(0.22*$D35+0.18*$E35+0.15*$F35+0.1*$G35+0.1*$H35+0.12*$I35+0.08*$J35+0.05*$K35,2))</x:f>
        <x:v>86</x:v>
      </x:c>
      <x:c r="M35" s="55" t="n">
        <x:f>IF(COUNT($F35:$J35)&lt;5,'Seed Profiles'!I35,ROUND(0.45*$F35+0.15*$G35+0.15*$H35+0.1*$I35+0.15*$J35,2))</x:f>
        <x:v>84</x:v>
      </x:c>
      <x:c r="N35" s="51" t="str">
        <x:f>IF(COUNT($D35:$K35)&lt;8,"seed fallback - analyst rubric pending","analyst-reviewed manager rubric")</x:f>
        <x:v>seed fallback - analyst rubric pending</x:v>
      </x:c>
      <x:c r="O35" s="51" t="str"/>
      <x:c r="P35" s="51" t="str"/>
      <x:c r="Q35" s="51" t="str"/>
    </x:row>
    <x:row r="36">
      <x:c r="A36" s="51" t="str">
        <x:v>H</x:v>
      </x:c>
      <x:c r="B36" s="51" t="str">
        <x:v>Uruguay</x:v>
      </x:c>
      <x:c r="C36" s="51" t="str">
        <x:v>Marcelo Bielsa</x:v>
      </x:c>
      <x:c r="D36" s="72" t="str"/>
      <x:c r="E36" s="72" t="str"/>
      <x:c r="F36" s="72" t="str"/>
      <x:c r="G36" s="72" t="str"/>
      <x:c r="H36" s="72" t="str"/>
      <x:c r="I36" s="72" t="str"/>
      <x:c r="J36" s="72" t="str"/>
      <x:c r="K36" s="72" t="str"/>
      <x:c r="L36" s="55" t="n">
        <x:f>IF(COUNT($D36:$K36)&lt;8,'Seed Profiles'!H36,ROUND(0.22*$D36+0.18*$E36+0.15*$F36+0.1*$G36+0.1*$H36+0.12*$I36+0.08*$J36+0.05*$K36,2))</x:f>
        <x:v>82</x:v>
      </x:c>
      <x:c r="M36" s="55" t="n">
        <x:f>IF(COUNT($F36:$J36)&lt;5,'Seed Profiles'!I36,ROUND(0.45*$F36+0.15*$G36+0.15*$H36+0.1*$I36+0.15*$J36,2))</x:f>
        <x:v>88</x:v>
      </x:c>
      <x:c r="N36" s="51" t="str">
        <x:f>IF(COUNT($D36:$K36)&lt;8,"seed fallback - analyst rubric pending","analyst-reviewed manager rubric")</x:f>
        <x:v>seed fallback - analyst rubric pending</x:v>
      </x:c>
      <x:c r="O36" s="51" t="str"/>
      <x:c r="P36" s="51" t="str"/>
      <x:c r="Q36" s="51" t="str"/>
    </x:row>
    <x:row r="37">
      <x:c r="A37" s="51" t="str">
        <x:v>I</x:v>
      </x:c>
      <x:c r="B37" s="51" t="str">
        <x:v>France</x:v>
      </x:c>
      <x:c r="C37" s="51" t="str">
        <x:v>Didier Deschamps</x:v>
      </x:c>
      <x:c r="D37" s="72" t="str"/>
      <x:c r="E37" s="72" t="str"/>
      <x:c r="F37" s="72" t="str"/>
      <x:c r="G37" s="72" t="str"/>
      <x:c r="H37" s="72" t="str"/>
      <x:c r="I37" s="72" t="str"/>
      <x:c r="J37" s="72" t="str"/>
      <x:c r="K37" s="72" t="str"/>
      <x:c r="L37" s="55" t="n">
        <x:f>IF(COUNT($D37:$K37)&lt;8,'Seed Profiles'!H37,ROUND(0.22*$D37+0.18*$E37+0.15*$F37+0.1*$G37+0.1*$H37+0.12*$I37+0.08*$J37+0.05*$K37,2))</x:f>
        <x:v>94</x:v>
      </x:c>
      <x:c r="M37" s="55" t="n">
        <x:f>IF(COUNT($F37:$J37)&lt;5,'Seed Profiles'!I37,ROUND(0.45*$F37+0.15*$G37+0.15*$H37+0.1*$I37+0.15*$J37,2))</x:f>
        <x:v>82</x:v>
      </x:c>
      <x:c r="N37" s="51" t="str">
        <x:f>IF(COUNT($D37:$K37)&lt;8,"seed fallback - analyst rubric pending","analyst-reviewed manager rubric")</x:f>
        <x:v>seed fallback - analyst rubric pending</x:v>
      </x:c>
      <x:c r="O37" s="51" t="str"/>
      <x:c r="P37" s="51" t="str"/>
      <x:c r="Q37" s="51" t="str"/>
    </x:row>
    <x:row r="38">
      <x:c r="A38" s="51" t="str">
        <x:v>I</x:v>
      </x:c>
      <x:c r="B38" s="51" t="str">
        <x:v>Iraq</x:v>
      </x:c>
      <x:c r="C38" s="51" t="str">
        <x:v>manual_required</x:v>
      </x:c>
      <x:c r="D38" s="72" t="str"/>
      <x:c r="E38" s="72" t="str"/>
      <x:c r="F38" s="72" t="str"/>
      <x:c r="G38" s="72" t="str"/>
      <x:c r="H38" s="72" t="str"/>
      <x:c r="I38" s="72" t="str"/>
      <x:c r="J38" s="72" t="str"/>
      <x:c r="K38" s="72" t="str"/>
      <x:c r="L38" s="55" t="n">
        <x:f>IF(COUNT($D38:$K38)&lt;8,'Seed Profiles'!H38,ROUND(0.22*$D38+0.18*$E38+0.15*$F38+0.1*$G38+0.1*$H38+0.12*$I38+0.08*$J38+0.05*$K38,2))</x:f>
        <x:v>46.81</x:v>
      </x:c>
      <x:c r="M38" s="55" t="n">
        <x:f>IF(COUNT($F38:$J38)&lt;5,'Seed Profiles'!I38,ROUND(0.45*$F38+0.15*$G38+0.15*$H38+0.1*$I38+0.15*$J38,2))</x:f>
        <x:v>44.81</x:v>
      </x:c>
      <x:c r="N38" s="51" t="str">
        <x:f>IF(COUNT($D38:$K38)&lt;8,"seed fallback - analyst rubric pending","analyst-reviewed manager rubric")</x:f>
        <x:v>seed fallback - analyst rubric pending</x:v>
      </x:c>
      <x:c r="O38" s="51" t="str"/>
      <x:c r="P38" s="51" t="str"/>
      <x:c r="Q38" s="51" t="str"/>
    </x:row>
    <x:row r="39">
      <x:c r="A39" s="51" t="str">
        <x:v>I</x:v>
      </x:c>
      <x:c r="B39" s="51" t="str">
        <x:v>Norway</x:v>
      </x:c>
      <x:c r="C39" s="51" t="str">
        <x:v>Stale Solbakken</x:v>
      </x:c>
      <x:c r="D39" s="72" t="str"/>
      <x:c r="E39" s="72" t="str"/>
      <x:c r="F39" s="72" t="str"/>
      <x:c r="G39" s="72" t="str"/>
      <x:c r="H39" s="72" t="str"/>
      <x:c r="I39" s="72" t="str"/>
      <x:c r="J39" s="72" t="str"/>
      <x:c r="K39" s="72" t="str"/>
      <x:c r="L39" s="55" t="n">
        <x:f>IF(COUNT($D39:$K39)&lt;8,'Seed Profiles'!H39,ROUND(0.22*$D39+0.18*$E39+0.15*$F39+0.1*$G39+0.1*$H39+0.12*$I39+0.08*$J39+0.05*$K39,2))</x:f>
        <x:v>68</x:v>
      </x:c>
      <x:c r="M39" s="55" t="n">
        <x:f>IF(COUNT($F39:$J39)&lt;5,'Seed Profiles'!I39,ROUND(0.45*$F39+0.15*$G39+0.15*$H39+0.1*$I39+0.15*$J39,2))</x:f>
        <x:v>70</x:v>
      </x:c>
      <x:c r="N39" s="51" t="str">
        <x:f>IF(COUNT($D39:$K39)&lt;8,"seed fallback - analyst rubric pending","analyst-reviewed manager rubric")</x:f>
        <x:v>seed fallback - analyst rubric pending</x:v>
      </x:c>
      <x:c r="O39" s="51" t="str"/>
      <x:c r="P39" s="51" t="str"/>
      <x:c r="Q39" s="51" t="str"/>
    </x:row>
    <x:row r="40">
      <x:c r="A40" s="51" t="str">
        <x:v>I</x:v>
      </x:c>
      <x:c r="B40" s="51" t="str">
        <x:v>Senegal</x:v>
      </x:c>
      <x:c r="C40" s="51" t="str">
        <x:v>Pape Thiaw</x:v>
      </x:c>
      <x:c r="D40" s="72" t="str"/>
      <x:c r="E40" s="72" t="str"/>
      <x:c r="F40" s="72" t="str"/>
      <x:c r="G40" s="72" t="str"/>
      <x:c r="H40" s="72" t="str"/>
      <x:c r="I40" s="72" t="str"/>
      <x:c r="J40" s="72" t="str"/>
      <x:c r="K40" s="72" t="str"/>
      <x:c r="L40" s="55" t="n">
        <x:f>IF(COUNT($D40:$K40)&lt;8,'Seed Profiles'!H40,ROUND(0.22*$D40+0.18*$E40+0.15*$F40+0.1*$G40+0.1*$H40+0.12*$I40+0.08*$J40+0.05*$K40,2))</x:f>
        <x:v>70</x:v>
      </x:c>
      <x:c r="M40" s="55" t="n">
        <x:f>IF(COUNT($F40:$J40)&lt;5,'Seed Profiles'!I40,ROUND(0.45*$F40+0.15*$G40+0.15*$H40+0.1*$I40+0.15*$J40,2))</x:f>
        <x:v>68</x:v>
      </x:c>
      <x:c r="N40" s="51" t="str">
        <x:f>IF(COUNT($D40:$K40)&lt;8,"seed fallback - analyst rubric pending","analyst-reviewed manager rubric")</x:f>
        <x:v>seed fallback - analyst rubric pending</x:v>
      </x:c>
      <x:c r="O40" s="51" t="str"/>
      <x:c r="P40" s="51" t="str"/>
      <x:c r="Q40" s="51" t="str"/>
    </x:row>
    <x:row r="41">
      <x:c r="A41" s="51" t="str">
        <x:v>J</x:v>
      </x:c>
      <x:c r="B41" s="51" t="str">
        <x:v>Algeria</x:v>
      </x:c>
      <x:c r="C41" s="51" t="str">
        <x:v>Vladimir Petkovic</x:v>
      </x:c>
      <x:c r="D41" s="72" t="str"/>
      <x:c r="E41" s="72" t="str"/>
      <x:c r="F41" s="72" t="str"/>
      <x:c r="G41" s="72" t="str"/>
      <x:c r="H41" s="72" t="str"/>
      <x:c r="I41" s="72" t="str"/>
      <x:c r="J41" s="72" t="str"/>
      <x:c r="K41" s="72" t="str"/>
      <x:c r="L41" s="55" t="n">
        <x:f>IF(COUNT($D41:$K41)&lt;8,'Seed Profiles'!H41,ROUND(0.22*$D41+0.18*$E41+0.15*$F41+0.1*$G41+0.1*$H41+0.12*$I41+0.08*$J41+0.05*$K41,2))</x:f>
        <x:v>74</x:v>
      </x:c>
      <x:c r="M41" s="55" t="n">
        <x:f>IF(COUNT($F41:$J41)&lt;5,'Seed Profiles'!I41,ROUND(0.45*$F41+0.15*$G41+0.15*$H41+0.1*$I41+0.15*$J41,2))</x:f>
        <x:v>72</x:v>
      </x:c>
      <x:c r="N41" s="51" t="str">
        <x:f>IF(COUNT($D41:$K41)&lt;8,"seed fallback - analyst rubric pending","analyst-reviewed manager rubric")</x:f>
        <x:v>seed fallback - analyst rubric pending</x:v>
      </x:c>
      <x:c r="O41" s="51" t="str"/>
      <x:c r="P41" s="51" t="str"/>
      <x:c r="Q41" s="51" t="str"/>
    </x:row>
    <x:row r="42">
      <x:c r="A42" s="51" t="str">
        <x:v>J</x:v>
      </x:c>
      <x:c r="B42" s="51" t="str">
        <x:v>Argentina</x:v>
      </x:c>
      <x:c r="C42" s="51" t="str">
        <x:v>Lionel Scaloni</x:v>
      </x:c>
      <x:c r="D42" s="72" t="str"/>
      <x:c r="E42" s="72" t="str"/>
      <x:c r="F42" s="72" t="str"/>
      <x:c r="G42" s="72" t="str"/>
      <x:c r="H42" s="72" t="str"/>
      <x:c r="I42" s="72" t="str"/>
      <x:c r="J42" s="72" t="str"/>
      <x:c r="K42" s="72" t="str"/>
      <x:c r="L42" s="55" t="n">
        <x:f>IF(COUNT($D42:$K42)&lt;8,'Seed Profiles'!H42,ROUND(0.22*$D42+0.18*$E42+0.15*$F42+0.1*$G42+0.1*$H42+0.12*$I42+0.08*$J42+0.05*$K42,2))</x:f>
        <x:v>91</x:v>
      </x:c>
      <x:c r="M42" s="55" t="n">
        <x:f>IF(COUNT($F42:$J42)&lt;5,'Seed Profiles'!I42,ROUND(0.45*$F42+0.15*$G42+0.15*$H42+0.1*$I42+0.15*$J42,2))</x:f>
        <x:v>84</x:v>
      </x:c>
      <x:c r="N42" s="51" t="str">
        <x:f>IF(COUNT($D42:$K42)&lt;8,"seed fallback - analyst rubric pending","analyst-reviewed manager rubric")</x:f>
        <x:v>seed fallback - analyst rubric pending</x:v>
      </x:c>
      <x:c r="O42" s="51" t="str"/>
      <x:c r="P42" s="51" t="str"/>
      <x:c r="Q42" s="51" t="str"/>
    </x:row>
    <x:row r="43">
      <x:c r="A43" s="51" t="str">
        <x:v>J</x:v>
      </x:c>
      <x:c r="B43" s="51" t="str">
        <x:v>Austria</x:v>
      </x:c>
      <x:c r="C43" s="51" t="str">
        <x:v>Ralf Rangnick</x:v>
      </x:c>
      <x:c r="D43" s="72" t="str"/>
      <x:c r="E43" s="72" t="str"/>
      <x:c r="F43" s="72" t="str"/>
      <x:c r="G43" s="72" t="str"/>
      <x:c r="H43" s="72" t="str"/>
      <x:c r="I43" s="72" t="str"/>
      <x:c r="J43" s="72" t="str"/>
      <x:c r="K43" s="72" t="str"/>
      <x:c r="L43" s="55" t="n">
        <x:f>IF(COUNT($D43:$K43)&lt;8,'Seed Profiles'!H43,ROUND(0.22*$D43+0.18*$E43+0.15*$F43+0.1*$G43+0.1*$H43+0.12*$I43+0.08*$J43+0.05*$K43,2))</x:f>
        <x:v>84</x:v>
      </x:c>
      <x:c r="M43" s="55" t="n">
        <x:f>IF(COUNT($F43:$J43)&lt;5,'Seed Profiles'!I43,ROUND(0.45*$F43+0.15*$G43+0.15*$H43+0.1*$I43+0.15*$J43,2))</x:f>
        <x:v>88</x:v>
      </x:c>
      <x:c r="N43" s="51" t="str">
        <x:f>IF(COUNT($D43:$K43)&lt;8,"seed fallback - analyst rubric pending","analyst-reviewed manager rubric")</x:f>
        <x:v>seed fallback - analyst rubric pending</x:v>
      </x:c>
      <x:c r="O43" s="51" t="str"/>
      <x:c r="P43" s="51" t="str"/>
      <x:c r="Q43" s="51" t="str"/>
    </x:row>
    <x:row r="44">
      <x:c r="A44" s="51" t="str">
        <x:v>J</x:v>
      </x:c>
      <x:c r="B44" s="51" t="str">
        <x:v>Jordan</x:v>
      </x:c>
      <x:c r="C44" s="51" t="str">
        <x:v>manual_required</x:v>
      </x:c>
      <x:c r="D44" s="72" t="str"/>
      <x:c r="E44" s="72" t="str"/>
      <x:c r="F44" s="72" t="str"/>
      <x:c r="G44" s="72" t="str"/>
      <x:c r="H44" s="72" t="str"/>
      <x:c r="I44" s="72" t="str"/>
      <x:c r="J44" s="72" t="str"/>
      <x:c r="K44" s="72" t="str"/>
      <x:c r="L44" s="55" t="n">
        <x:f>IF(COUNT($D44:$K44)&lt;8,'Seed Profiles'!H44,ROUND(0.22*$D44+0.18*$E44+0.15*$F44+0.1*$G44+0.1*$H44+0.12*$I44+0.08*$J44+0.05*$K44,2))</x:f>
        <x:v>48.85</x:v>
      </x:c>
      <x:c r="M44" s="55" t="n">
        <x:f>IF(COUNT($F44:$J44)&lt;5,'Seed Profiles'!I44,ROUND(0.45*$F44+0.15*$G44+0.15*$H44+0.1*$I44+0.15*$J44,2))</x:f>
        <x:v>46.85</x:v>
      </x:c>
      <x:c r="N44" s="51" t="str">
        <x:f>IF(COUNT($D44:$K44)&lt;8,"seed fallback - analyst rubric pending","analyst-reviewed manager rubric")</x:f>
        <x:v>seed fallback - analyst rubric pending</x:v>
      </x:c>
      <x:c r="O44" s="51" t="str"/>
      <x:c r="P44" s="51" t="str"/>
      <x:c r="Q44" s="51" t="str"/>
    </x:row>
    <x:row r="45">
      <x:c r="A45" s="51" t="str">
        <x:v>K</x:v>
      </x:c>
      <x:c r="B45" s="51" t="str">
        <x:v>Colombia</x:v>
      </x:c>
      <x:c r="C45" s="51" t="str">
        <x:v>Nestor Lorenzo</x:v>
      </x:c>
      <x:c r="D45" s="72" t="str"/>
      <x:c r="E45" s="72" t="str"/>
      <x:c r="F45" s="72" t="str"/>
      <x:c r="G45" s="72" t="str"/>
      <x:c r="H45" s="72" t="str"/>
      <x:c r="I45" s="72" t="str"/>
      <x:c r="J45" s="72" t="str"/>
      <x:c r="K45" s="72" t="str"/>
      <x:c r="L45" s="55" t="n">
        <x:f>IF(COUNT($D45:$K45)&lt;8,'Seed Profiles'!H45,ROUND(0.22*$D45+0.18*$E45+0.15*$F45+0.1*$G45+0.1*$H45+0.12*$I45+0.08*$J45+0.05*$K45,2))</x:f>
        <x:v>78</x:v>
      </x:c>
      <x:c r="M45" s="55" t="n">
        <x:f>IF(COUNT($F45:$J45)&lt;5,'Seed Profiles'!I45,ROUND(0.45*$F45+0.15*$G45+0.15*$H45+0.1*$I45+0.15*$J45,2))</x:f>
        <x:v>78</x:v>
      </x:c>
      <x:c r="N45" s="51" t="str">
        <x:f>IF(COUNT($D45:$K45)&lt;8,"seed fallback - analyst rubric pending","analyst-reviewed manager rubric")</x:f>
        <x:v>seed fallback - analyst rubric pending</x:v>
      </x:c>
      <x:c r="O45" s="51" t="str"/>
      <x:c r="P45" s="51" t="str"/>
      <x:c r="Q45" s="51" t="str"/>
    </x:row>
    <x:row r="46">
      <x:c r="A46" s="51" t="str">
        <x:v>K</x:v>
      </x:c>
      <x:c r="B46" s="51" t="str">
        <x:v>DR Congo</x:v>
      </x:c>
      <x:c r="C46" s="51" t="str">
        <x:v>Sebastien Desabre</x:v>
      </x:c>
      <x:c r="D46" s="72" t="str"/>
      <x:c r="E46" s="72" t="str"/>
      <x:c r="F46" s="72" t="str"/>
      <x:c r="G46" s="72" t="str"/>
      <x:c r="H46" s="72" t="str"/>
      <x:c r="I46" s="72" t="str"/>
      <x:c r="J46" s="72" t="str"/>
      <x:c r="K46" s="72" t="str"/>
      <x:c r="L46" s="55" t="n">
        <x:f>IF(COUNT($D46:$K46)&lt;8,'Seed Profiles'!H46,ROUND(0.22*$D46+0.18*$E46+0.15*$F46+0.1*$G46+0.1*$H46+0.12*$I46+0.08*$J46+0.05*$K46,2))</x:f>
        <x:v>70</x:v>
      </x:c>
      <x:c r="M46" s="55" t="n">
        <x:f>IF(COUNT($F46:$J46)&lt;5,'Seed Profiles'!I46,ROUND(0.45*$F46+0.15*$G46+0.15*$H46+0.1*$I46+0.15*$J46,2))</x:f>
        <x:v>72</x:v>
      </x:c>
      <x:c r="N46" s="51" t="str">
        <x:f>IF(COUNT($D46:$K46)&lt;8,"seed fallback - analyst rubric pending","analyst-reviewed manager rubric")</x:f>
        <x:v>seed fallback - analyst rubric pending</x:v>
      </x:c>
      <x:c r="O46" s="51" t="str"/>
      <x:c r="P46" s="51" t="str"/>
      <x:c r="Q46" s="51" t="str"/>
    </x:row>
    <x:row r="47">
      <x:c r="A47" s="51" t="str">
        <x:v>K</x:v>
      </x:c>
      <x:c r="B47" s="51" t="str">
        <x:v>Portugal</x:v>
      </x:c>
      <x:c r="C47" s="51" t="str">
        <x:v>Roberto Martinez</x:v>
      </x:c>
      <x:c r="D47" s="72" t="str"/>
      <x:c r="E47" s="72" t="str"/>
      <x:c r="F47" s="72" t="str"/>
      <x:c r="G47" s="72" t="str"/>
      <x:c r="H47" s="72" t="str"/>
      <x:c r="I47" s="72" t="str"/>
      <x:c r="J47" s="72" t="str"/>
      <x:c r="K47" s="72" t="str"/>
      <x:c r="L47" s="55" t="n">
        <x:f>IF(COUNT($D47:$K47)&lt;8,'Seed Profiles'!H47,ROUND(0.22*$D47+0.18*$E47+0.15*$F47+0.1*$G47+0.1*$H47+0.12*$I47+0.08*$J47+0.05*$K47,2))</x:f>
        <x:v>78</x:v>
      </x:c>
      <x:c r="M47" s="55" t="n">
        <x:f>IF(COUNT($F47:$J47)&lt;5,'Seed Profiles'!I47,ROUND(0.45*$F47+0.15*$G47+0.15*$H47+0.1*$I47+0.15*$J47,2))</x:f>
        <x:v>76</x:v>
      </x:c>
      <x:c r="N47" s="51" t="str">
        <x:f>IF(COUNT($D47:$K47)&lt;8,"seed fallback - analyst rubric pending","analyst-reviewed manager rubric")</x:f>
        <x:v>seed fallback - analyst rubric pending</x:v>
      </x:c>
      <x:c r="O47" s="51" t="str"/>
      <x:c r="P47" s="51" t="str"/>
      <x:c r="Q47" s="51" t="str"/>
    </x:row>
    <x:row r="48">
      <x:c r="A48" s="51" t="str">
        <x:v>K</x:v>
      </x:c>
      <x:c r="B48" s="51" t="str">
        <x:v>Uzbekistan</x:v>
      </x:c>
      <x:c r="C48" s="51" t="str">
        <x:v>Timur Kapadze</x:v>
      </x:c>
      <x:c r="D48" s="72" t="str"/>
      <x:c r="E48" s="72" t="str"/>
      <x:c r="F48" s="72" t="str"/>
      <x:c r="G48" s="72" t="str"/>
      <x:c r="H48" s="72" t="str"/>
      <x:c r="I48" s="72" t="str"/>
      <x:c r="J48" s="72" t="str"/>
      <x:c r="K48" s="72" t="str"/>
      <x:c r="L48" s="55" t="n">
        <x:f>IF(COUNT($D48:$K48)&lt;8,'Seed Profiles'!H48,ROUND(0.22*$D48+0.18*$E48+0.15*$F48+0.1*$G48+0.1*$H48+0.12*$I48+0.08*$J48+0.05*$K48,2))</x:f>
        <x:v>66</x:v>
      </x:c>
      <x:c r="M48" s="55" t="n">
        <x:f>IF(COUNT($F48:$J48)&lt;5,'Seed Profiles'!I48,ROUND(0.45*$F48+0.15*$G48+0.15*$H48+0.1*$I48+0.15*$J48,2))</x:f>
        <x:v>68</x:v>
      </x:c>
      <x:c r="N48" s="51" t="str">
        <x:f>IF(COUNT($D48:$K48)&lt;8,"seed fallback - analyst rubric pending","analyst-reviewed manager rubric")</x:f>
        <x:v>seed fallback - analyst rubric pending</x:v>
      </x:c>
      <x:c r="O48" s="51" t="str"/>
      <x:c r="P48" s="51" t="str"/>
      <x:c r="Q48" s="51" t="str"/>
    </x:row>
    <x:row r="49">
      <x:c r="A49" s="51" t="str">
        <x:v>L</x:v>
      </x:c>
      <x:c r="B49" s="51" t="str">
        <x:v>Croatia</x:v>
      </x:c>
      <x:c r="C49" s="51" t="str">
        <x:v>Zlatko Dalic</x:v>
      </x:c>
      <x:c r="D49" s="72" t="str"/>
      <x:c r="E49" s="72" t="str"/>
      <x:c r="F49" s="72" t="str"/>
      <x:c r="G49" s="72" t="str"/>
      <x:c r="H49" s="72" t="str"/>
      <x:c r="I49" s="72" t="str"/>
      <x:c r="J49" s="72" t="str"/>
      <x:c r="K49" s="72" t="str"/>
      <x:c r="L49" s="55" t="n">
        <x:f>IF(COUNT($D49:$K49)&lt;8,'Seed Profiles'!H49,ROUND(0.22*$D49+0.18*$E49+0.15*$F49+0.1*$G49+0.1*$H49+0.12*$I49+0.08*$J49+0.05*$K49,2))</x:f>
        <x:v>87</x:v>
      </x:c>
      <x:c r="M49" s="55" t="n">
        <x:f>IF(COUNT($F49:$J49)&lt;5,'Seed Profiles'!I49,ROUND(0.45*$F49+0.15*$G49+0.15*$H49+0.1*$I49+0.15*$J49,2))</x:f>
        <x:v>78</x:v>
      </x:c>
      <x:c r="N49" s="51" t="str">
        <x:f>IF(COUNT($D49:$K49)&lt;8,"seed fallback - analyst rubric pending","analyst-reviewed manager rubric")</x:f>
        <x:v>seed fallback - analyst rubric pending</x:v>
      </x:c>
      <x:c r="O49" s="51" t="str"/>
      <x:c r="P49" s="51" t="str"/>
      <x:c r="Q49" s="51" t="str"/>
    </x:row>
    <x:row r="50">
      <x:c r="A50" s="51" t="str">
        <x:v>L</x:v>
      </x:c>
      <x:c r="B50" s="51" t="str">
        <x:v>England</x:v>
      </x:c>
      <x:c r="C50" s="51" t="str">
        <x:v>Thomas Tuchel</x:v>
      </x:c>
      <x:c r="D50" s="72" t="str"/>
      <x:c r="E50" s="72" t="str"/>
      <x:c r="F50" s="72" t="str"/>
      <x:c r="G50" s="72" t="str"/>
      <x:c r="H50" s="72" t="str"/>
      <x:c r="I50" s="72" t="str"/>
      <x:c r="J50" s="72" t="str"/>
      <x:c r="K50" s="72" t="str"/>
      <x:c r="L50" s="55" t="n">
        <x:f>IF(COUNT($D50:$K50)&lt;8,'Seed Profiles'!H50,ROUND(0.22*$D50+0.18*$E50+0.15*$F50+0.1*$G50+0.1*$H50+0.12*$I50+0.08*$J50+0.05*$K50,2))</x:f>
        <x:v>86</x:v>
      </x:c>
      <x:c r="M50" s="55" t="n">
        <x:f>IF(COUNT($F50:$J50)&lt;5,'Seed Profiles'!I50,ROUND(0.45*$F50+0.15*$G50+0.15*$H50+0.1*$I50+0.15*$J50,2))</x:f>
        <x:v>88</x:v>
      </x:c>
      <x:c r="N50" s="51" t="str">
        <x:f>IF(COUNT($D50:$K50)&lt;8,"seed fallback - analyst rubric pending","analyst-reviewed manager rubric")</x:f>
        <x:v>seed fallback - analyst rubric pending</x:v>
      </x:c>
      <x:c r="O50" s="51" t="str"/>
      <x:c r="P50" s="51" t="str"/>
      <x:c r="Q50" s="51" t="str"/>
    </x:row>
    <x:row r="51">
      <x:c r="A51" s="51" t="str">
        <x:v>L</x:v>
      </x:c>
      <x:c r="B51" s="51" t="str">
        <x:v>Ghana</x:v>
      </x:c>
      <x:c r="C51" s="51" t="str">
        <x:v>Carlos Queiroz</x:v>
      </x:c>
      <x:c r="D51" s="72" t="str"/>
      <x:c r="E51" s="72" t="str"/>
      <x:c r="F51" s="72" t="str"/>
      <x:c r="G51" s="72" t="str"/>
      <x:c r="H51" s="72" t="str"/>
      <x:c r="I51" s="72" t="str"/>
      <x:c r="J51" s="72" t="str"/>
      <x:c r="K51" s="72" t="str"/>
      <x:c r="L51" s="55" t="n">
        <x:f>IF(COUNT($D51:$K51)&lt;8,'Seed Profiles'!H51,ROUND(0.22*$D51+0.18*$E51+0.15*$F51+0.1*$G51+0.1*$H51+0.12*$I51+0.08*$J51+0.05*$K51,2))</x:f>
        <x:v>86</x:v>
      </x:c>
      <x:c r="M51" s="55" t="n">
        <x:f>IF(COUNT($F51:$J51)&lt;5,'Seed Profiles'!I51,ROUND(0.45*$F51+0.15*$G51+0.15*$H51+0.1*$I51+0.15*$J51,2))</x:f>
        <x:v>78</x:v>
      </x:c>
      <x:c r="N51" s="51" t="str">
        <x:f>IF(COUNT($D51:$K51)&lt;8,"seed fallback - analyst rubric pending","analyst-reviewed manager rubric")</x:f>
        <x:v>seed fallback - analyst rubric pending</x:v>
      </x:c>
      <x:c r="O51" s="51" t="str"/>
      <x:c r="P51" s="51" t="str"/>
      <x:c r="Q51" s="51" t="str"/>
    </x:row>
    <x:row r="52">
      <x:c r="A52" s="51" t="str">
        <x:v>L</x:v>
      </x:c>
      <x:c r="B52" s="51" t="str">
        <x:v>Panama</x:v>
      </x:c>
      <x:c r="C52" s="51" t="str">
        <x:v>Thomas Christiansen</x:v>
      </x:c>
      <x:c r="D52" s="72" t="str"/>
      <x:c r="E52" s="72" t="str"/>
      <x:c r="F52" s="72" t="str"/>
      <x:c r="G52" s="72" t="str"/>
      <x:c r="H52" s="72" t="str"/>
      <x:c r="I52" s="72" t="str"/>
      <x:c r="J52" s="72" t="str"/>
      <x:c r="K52" s="72" t="str"/>
      <x:c r="L52" s="55" t="n">
        <x:f>IF(COUNT($D52:$K52)&lt;8,'Seed Profiles'!H52,ROUND(0.22*$D52+0.18*$E52+0.15*$F52+0.1*$G52+0.1*$H52+0.12*$I52+0.08*$J52+0.05*$K52,2))</x:f>
        <x:v>72</x:v>
      </x:c>
      <x:c r="M52" s="55" t="n">
        <x:f>IF(COUNT($F52:$J52)&lt;5,'Seed Profiles'!I52,ROUND(0.45*$F52+0.15*$G52+0.15*$H52+0.1*$I52+0.15*$J52,2))</x:f>
        <x:v>70</x:v>
      </x:c>
      <x:c r="N52" s="51" t="str">
        <x:f>IF(COUNT($D52:$K52)&lt;8,"seed fallback - analyst rubric pending","analyst-reviewed manager rubric")</x:f>
        <x:v>seed fallback - analyst rubric pending</x:v>
      </x:c>
      <x:c r="O52" s="51" t="str"/>
      <x:c r="P52" s="51" t="str"/>
      <x:c r="Q52" s="51" t="str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cd4dadb28b146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16.559999465942383" hidden="0" customWidth="1"/>
    <x:col min="3" max="3" width="32.66999816894531" hidden="0" customWidth="1"/>
    <x:col min="4" max="4" width="15" hidden="0" customWidth="1"/>
    <x:col min="5" max="5" width="13.220000267028809" hidden="0" customWidth="1"/>
    <x:col min="6" max="6" width="14.4399995803833" hidden="0" customWidth="1"/>
    <x:col min="7" max="7" width="20.219999313354492" hidden="0" customWidth="1"/>
    <x:col min="8" max="8" width="14.329999923706055" hidden="0" customWidth="1"/>
    <x:col min="9" max="9" width="15.329999923706055" hidden="0" customWidth="1"/>
    <x:col min="10" max="10" width="15" hidden="0" customWidth="1"/>
    <x:col min="11" max="11" width="19.110000610351562" hidden="0" customWidth="1"/>
    <x:col min="12" max="12" width="13.4399995803833" hidden="0" customWidth="1"/>
    <x:col min="13" max="13" width="13.670000076293945" hidden="0" customWidth="1"/>
  </x:cols>
  <x:sheetData>
    <x:row r="1" ht="25.5" customHeight="1">
      <x:c r="A1" s="47" t="str">
        <x:v>Formation Profiles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6" customHeight="1">
      <x:c r="A2" s="49" t="str">
        <x:v>Analyst tactical layer. This does not replace event data; it adds a forward-looking tactical profile for current squads and managers.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</x:row>
    <x:row r="4">
      <x:c r="A4" s="60" t="str">
        <x:v>Group</x:v>
      </x:c>
      <x:c r="B4" s="60" t="str">
        <x:v>Team</x:v>
      </x:c>
      <x:c r="C4" s="60" t="str">
        <x:v>Preferred Style</x:v>
      </x:c>
      <x:c r="D4" s="60" t="str">
        <x:v>Base Formation</x:v>
      </x:c>
      <x:c r="E4" s="60" t="str">
        <x:v>Alt Formation</x:v>
      </x:c>
      <x:c r="F4" s="60" t="str">
        <x:v>Pressing Score</x:v>
      </x:c>
      <x:c r="G4" s="60" t="str">
        <x:v>Defensive Block Score</x:v>
      </x:c>
      <x:c r="H4" s="60" t="str">
        <x:v>Build-up Score</x:v>
      </x:c>
      <x:c r="I4" s="60" t="str">
        <x:v>Transition Score</x:v>
      </x:c>
      <x:c r="J4" s="60" t="str">
        <x:v>Set Piece Score</x:v>
      </x:c>
      <x:c r="K4" s="60" t="str">
        <x:v>Tactical Clarity Score</x:v>
      </x:c>
      <x:c r="L4" s="60" t="str">
        <x:v>Analyst Notes</x:v>
      </x:c>
      <x:c r="M4" s="60" t="str">
        <x:v>Source Status</x:v>
      </x:c>
    </x:row>
    <x:row r="5">
      <x:c r="A5" s="51" t="str">
        <x:v>A</x:v>
      </x:c>
      <x:c r="B5" s="51" t="str">
        <x:v>Czech Republic</x:v>
      </x:c>
      <x:c r="C5" s="51" t="str">
        <x:v>profile proxy / manual review required</x:v>
      </x:c>
      <x:c r="D5" s="71" t="str"/>
      <x:c r="E5" s="71" t="str"/>
      <x:c r="F5" s="72" t="str"/>
      <x:c r="G5" s="72" t="str"/>
      <x:c r="H5" s="72" t="str"/>
      <x:c r="I5" s="72" t="str"/>
      <x:c r="J5" s="72" t="str"/>
      <x:c r="K5" s="55" t="n">
        <x:f>IF(COUNT($F5:$J5)&lt;5,50,ROUND(0.22*$F5+0.18*$G5+0.2*$H5+0.25*$I5+0.15*$J5,2))</x:f>
        <x:v>50</x:v>
      </x:c>
      <x:c r="L5" s="51" t="str"/>
      <x:c r="M5" s="51" t="str">
        <x:f>IF(COUNT($F5:$J5)&lt;5,"manual tactical review pending","analyst-reviewed tactical profile")</x:f>
        <x:v>manual tactical review pending</x:v>
      </x:c>
    </x:row>
    <x:row r="6">
      <x:c r="A6" s="51" t="str">
        <x:v>A</x:v>
      </x:c>
      <x:c r="B6" s="51" t="str">
        <x:v>Mexico</x:v>
      </x:c>
      <x:c r="C6" s="51" t="str">
        <x:v>pragmatic tournament management</x:v>
      </x:c>
      <x:c r="D6" s="71" t="str"/>
      <x:c r="E6" s="71" t="str"/>
      <x:c r="F6" s="72" t="str"/>
      <x:c r="G6" s="72" t="str"/>
      <x:c r="H6" s="72" t="str"/>
      <x:c r="I6" s="72" t="str"/>
      <x:c r="J6" s="72" t="str"/>
      <x:c r="K6" s="55" t="n">
        <x:f>IF(COUNT($F6:$J6)&lt;5,50,ROUND(0.22*$F6+0.18*$G6+0.2*$H6+0.25*$I6+0.15*$J6,2))</x:f>
        <x:v>50</x:v>
      </x:c>
      <x:c r="L6" s="51" t="str"/>
      <x:c r="M6" s="51" t="str">
        <x:f>IF(COUNT($F6:$J6)&lt;5,"manual tactical review pending","analyst-reviewed tactical profile")</x:f>
        <x:v>manual tactical review pending</x:v>
      </x:c>
    </x:row>
    <x:row r="7">
      <x:c r="A7" s="51" t="str">
        <x:v>A</x:v>
      </x:c>
      <x:c r="B7" s="51" t="str">
        <x:v>South Africa</x:v>
      </x:c>
      <x:c r="C7" s="51" t="str">
        <x:v>compact / tournament pragmatism</x:v>
      </x:c>
      <x:c r="D7" s="71" t="str"/>
      <x:c r="E7" s="71" t="str"/>
      <x:c r="F7" s="72" t="str"/>
      <x:c r="G7" s="72" t="str"/>
      <x:c r="H7" s="72" t="str"/>
      <x:c r="I7" s="72" t="str"/>
      <x:c r="J7" s="72" t="str"/>
      <x:c r="K7" s="55" t="n">
        <x:f>IF(COUNT($F7:$J7)&lt;5,50,ROUND(0.22*$F7+0.18*$G7+0.2*$H7+0.25*$I7+0.15*$J7,2))</x:f>
        <x:v>50</x:v>
      </x:c>
      <x:c r="L7" s="51" t="str"/>
      <x:c r="M7" s="51" t="str">
        <x:f>IF(COUNT($F7:$J7)&lt;5,"manual tactical review pending","analyst-reviewed tactical profile")</x:f>
        <x:v>manual tactical review pending</x:v>
      </x:c>
    </x:row>
    <x:row r="8">
      <x:c r="A8" s="51" t="str">
        <x:v>A</x:v>
      </x:c>
      <x:c r="B8" s="51" t="str">
        <x:v>South Korea</x:v>
      </x:c>
      <x:c r="C8" s="51" t="str">
        <x:v>balanced / transition pace</x:v>
      </x:c>
      <x:c r="D8" s="71" t="str"/>
      <x:c r="E8" s="71" t="str"/>
      <x:c r="F8" s="72" t="str"/>
      <x:c r="G8" s="72" t="str"/>
      <x:c r="H8" s="72" t="str"/>
      <x:c r="I8" s="72" t="str"/>
      <x:c r="J8" s="72" t="str"/>
      <x:c r="K8" s="55" t="n">
        <x:f>IF(COUNT($F8:$J8)&lt;5,50,ROUND(0.22*$F8+0.18*$G8+0.2*$H8+0.25*$I8+0.15*$J8,2))</x:f>
        <x:v>50</x:v>
      </x:c>
      <x:c r="L8" s="51" t="str"/>
      <x:c r="M8" s="51" t="str">
        <x:f>IF(COUNT($F8:$J8)&lt;5,"manual tactical review pending","analyst-reviewed tactical profile")</x:f>
        <x:v>manual tactical review pending</x:v>
      </x:c>
    </x:row>
    <x:row r="9">
      <x:c r="A9" s="51" t="str">
        <x:v>B</x:v>
      </x:c>
      <x:c r="B9" s="51" t="str">
        <x:v>Bosnia &amp; Herzegovina</x:v>
      </x:c>
      <x:c r="C9" s="51" t="str">
        <x:v>profile proxy / manual review required</x:v>
      </x:c>
      <x:c r="D9" s="71" t="str"/>
      <x:c r="E9" s="71" t="str"/>
      <x:c r="F9" s="72" t="str"/>
      <x:c r="G9" s="72" t="str"/>
      <x:c r="H9" s="72" t="str"/>
      <x:c r="I9" s="72" t="str"/>
      <x:c r="J9" s="72" t="str"/>
      <x:c r="K9" s="55" t="n">
        <x:f>IF(COUNT($F9:$J9)&lt;5,50,ROUND(0.22*$F9+0.18*$G9+0.2*$H9+0.25*$I9+0.15*$J9,2))</x:f>
        <x:v>50</x:v>
      </x:c>
      <x:c r="L9" s="51" t="str"/>
      <x:c r="M9" s="51" t="str">
        <x:f>IF(COUNT($F9:$J9)&lt;5,"manual tactical review pending","analyst-reviewed tactical profile")</x:f>
        <x:v>manual tactical review pending</x:v>
      </x:c>
    </x:row>
    <x:row r="10">
      <x:c r="A10" s="51" t="str">
        <x:v>B</x:v>
      </x:c>
      <x:c r="B10" s="51" t="str">
        <x:v>Canada</x:v>
      </x:c>
      <x:c r="C10" s="51" t="str">
        <x:v>pressing / vertical transitions</x:v>
      </x:c>
      <x:c r="D10" s="71" t="str"/>
      <x:c r="E10" s="71" t="str"/>
      <x:c r="F10" s="72" t="str"/>
      <x:c r="G10" s="72" t="str"/>
      <x:c r="H10" s="72" t="str"/>
      <x:c r="I10" s="72" t="str"/>
      <x:c r="J10" s="72" t="str"/>
      <x:c r="K10" s="55" t="n">
        <x:f>IF(COUNT($F10:$J10)&lt;5,50,ROUND(0.22*$F10+0.18*$G10+0.2*$H10+0.25*$I10+0.15*$J10,2))</x:f>
        <x:v>50</x:v>
      </x:c>
      <x:c r="L10" s="51" t="str"/>
      <x:c r="M10" s="51" t="str">
        <x:f>IF(COUNT($F10:$J10)&lt;5,"manual tactical review pending","analyst-reviewed tactical profile")</x:f>
        <x:v>manual tactical review pending</x:v>
      </x:c>
    </x:row>
    <x:row r="11">
      <x:c r="A11" s="51" t="str">
        <x:v>B</x:v>
      </x:c>
      <x:c r="B11" s="51" t="str">
        <x:v>Qatar</x:v>
      </x:c>
      <x:c r="C11" s="51" t="str">
        <x:v>possession / positional play</x:v>
      </x:c>
      <x:c r="D11" s="71" t="str"/>
      <x:c r="E11" s="71" t="str"/>
      <x:c r="F11" s="72" t="str"/>
      <x:c r="G11" s="72" t="str"/>
      <x:c r="H11" s="72" t="str"/>
      <x:c r="I11" s="72" t="str"/>
      <x:c r="J11" s="72" t="str"/>
      <x:c r="K11" s="55" t="n">
        <x:f>IF(COUNT($F11:$J11)&lt;5,50,ROUND(0.22*$F11+0.18*$G11+0.2*$H11+0.25*$I11+0.15*$J11,2))</x:f>
        <x:v>50</x:v>
      </x:c>
      <x:c r="L11" s="51" t="str"/>
      <x:c r="M11" s="51" t="str">
        <x:f>IF(COUNT($F11:$J11)&lt;5,"manual tactical review pending","analyst-reviewed tactical profile")</x:f>
        <x:v>manual tactical review pending</x:v>
      </x:c>
    </x:row>
    <x:row r="12">
      <x:c r="A12" s="51" t="str">
        <x:v>B</x:v>
      </x:c>
      <x:c r="B12" s="51" t="str">
        <x:v>Switzerland</x:v>
      </x:c>
      <x:c r="C12" s="51" t="str">
        <x:v>compact tournament pragmatism</x:v>
      </x:c>
      <x:c r="D12" s="71" t="str"/>
      <x:c r="E12" s="71" t="str"/>
      <x:c r="F12" s="72" t="str"/>
      <x:c r="G12" s="72" t="str"/>
      <x:c r="H12" s="72" t="str"/>
      <x:c r="I12" s="72" t="str"/>
      <x:c r="J12" s="72" t="str"/>
      <x:c r="K12" s="55" t="n">
        <x:f>IF(COUNT($F12:$J12)&lt;5,50,ROUND(0.22*$F12+0.18*$G12+0.2*$H12+0.25*$I12+0.15*$J12,2))</x:f>
        <x:v>50</x:v>
      </x:c>
      <x:c r="L12" s="51" t="str"/>
      <x:c r="M12" s="51" t="str">
        <x:f>IF(COUNT($F12:$J12)&lt;5,"manual tactical review pending","analyst-reviewed tactical profile")</x:f>
        <x:v>manual tactical review pending</x:v>
      </x:c>
    </x:row>
    <x:row r="13">
      <x:c r="A13" s="51" t="str">
        <x:v>C</x:v>
      </x:c>
      <x:c r="B13" s="51" t="str">
        <x:v>Brazil</x:v>
      </x:c>
      <x:c r="C13" s="51" t="str">
        <x:v>adaptive possession / star-led attack</x:v>
      </x:c>
      <x:c r="D13" s="71" t="str"/>
      <x:c r="E13" s="71" t="str"/>
      <x:c r="F13" s="72" t="str"/>
      <x:c r="G13" s="72" t="str"/>
      <x:c r="H13" s="72" t="str"/>
      <x:c r="I13" s="72" t="str"/>
      <x:c r="J13" s="72" t="str"/>
      <x:c r="K13" s="55" t="n">
        <x:f>IF(COUNT($F13:$J13)&lt;5,50,ROUND(0.22*$F13+0.18*$G13+0.2*$H13+0.25*$I13+0.15*$J13,2))</x:f>
        <x:v>50</x:v>
      </x:c>
      <x:c r="L13" s="51" t="str"/>
      <x:c r="M13" s="51" t="str">
        <x:f>IF(COUNT($F13:$J13)&lt;5,"manual tactical review pending","analyst-reviewed tactical profile")</x:f>
        <x:v>manual tactical review pending</x:v>
      </x:c>
    </x:row>
    <x:row r="14">
      <x:c r="A14" s="51" t="str">
        <x:v>C</x:v>
      </x:c>
      <x:c r="B14" s="51" t="str">
        <x:v>Haiti</x:v>
      </x:c>
      <x:c r="C14" s="51" t="str">
        <x:v>profile proxy / manual review required</x:v>
      </x:c>
      <x:c r="D14" s="71" t="str"/>
      <x:c r="E14" s="71" t="str"/>
      <x:c r="F14" s="72" t="str"/>
      <x:c r="G14" s="72" t="str"/>
      <x:c r="H14" s="72" t="str"/>
      <x:c r="I14" s="72" t="str"/>
      <x:c r="J14" s="72" t="str"/>
      <x:c r="K14" s="55" t="n">
        <x:f>IF(COUNT($F14:$J14)&lt;5,50,ROUND(0.22*$F14+0.18*$G14+0.2*$H14+0.25*$I14+0.15*$J14,2))</x:f>
        <x:v>50</x:v>
      </x:c>
      <x:c r="L14" s="51" t="str"/>
      <x:c r="M14" s="51" t="str">
        <x:f>IF(COUNT($F14:$J14)&lt;5,"manual tactical review pending","analyst-reviewed tactical profile")</x:f>
        <x:v>manual tactical review pending</x:v>
      </x:c>
    </x:row>
    <x:row r="15">
      <x:c r="A15" s="51" t="str">
        <x:v>C</x:v>
      </x:c>
      <x:c r="B15" s="51" t="str">
        <x:v>Morocco</x:v>
      </x:c>
      <x:c r="C15" s="51" t="str">
        <x:v>compact block / transition</x:v>
      </x:c>
      <x:c r="D15" s="71" t="str"/>
      <x:c r="E15" s="71" t="str"/>
      <x:c r="F15" s="72" t="str"/>
      <x:c r="G15" s="72" t="str"/>
      <x:c r="H15" s="72" t="str"/>
      <x:c r="I15" s="72" t="str"/>
      <x:c r="J15" s="72" t="str"/>
      <x:c r="K15" s="55" t="n">
        <x:f>IF(COUNT($F15:$J15)&lt;5,50,ROUND(0.22*$F15+0.18*$G15+0.2*$H15+0.25*$I15+0.15*$J15,2))</x:f>
        <x:v>50</x:v>
      </x:c>
      <x:c r="L15" s="51" t="str"/>
      <x:c r="M15" s="51" t="str">
        <x:f>IF(COUNT($F15:$J15)&lt;5,"manual tactical review pending","analyst-reviewed tactical profile")</x:f>
        <x:v>manual tactical review pending</x:v>
      </x:c>
    </x:row>
    <x:row r="16">
      <x:c r="A16" s="51" t="str">
        <x:v>C</x:v>
      </x:c>
      <x:c r="B16" s="51" t="str">
        <x:v>Scotland</x:v>
      </x:c>
      <x:c r="C16" s="51" t="str">
        <x:v>compact 3/5-back structure</x:v>
      </x:c>
      <x:c r="D16" s="71" t="str"/>
      <x:c r="E16" s="71" t="str"/>
      <x:c r="F16" s="72" t="str"/>
      <x:c r="G16" s="72" t="str"/>
      <x:c r="H16" s="72" t="str"/>
      <x:c r="I16" s="72" t="str"/>
      <x:c r="J16" s="72" t="str"/>
      <x:c r="K16" s="55" t="n">
        <x:f>IF(COUNT($F16:$J16)&lt;5,50,ROUND(0.22*$F16+0.18*$G16+0.2*$H16+0.25*$I16+0.15*$J16,2))</x:f>
        <x:v>50</x:v>
      </x:c>
      <x:c r="L16" s="51" t="str"/>
      <x:c r="M16" s="51" t="str">
        <x:f>IF(COUNT($F16:$J16)&lt;5,"manual tactical review pending","analyst-reviewed tactical profile")</x:f>
        <x:v>manual tactical review pending</x:v>
      </x:c>
    </x:row>
    <x:row r="17">
      <x:c r="A17" s="51" t="str">
        <x:v>D</x:v>
      </x:c>
      <x:c r="B17" s="51" t="str">
        <x:v>Australia</x:v>
      </x:c>
      <x:c r="C17" s="51" t="str">
        <x:v>compact / physical transitions</x:v>
      </x:c>
      <x:c r="D17" s="71" t="str"/>
      <x:c r="E17" s="71" t="str"/>
      <x:c r="F17" s="72" t="str"/>
      <x:c r="G17" s="72" t="str"/>
      <x:c r="H17" s="72" t="str"/>
      <x:c r="I17" s="72" t="str"/>
      <x:c r="J17" s="72" t="str"/>
      <x:c r="K17" s="55" t="n">
        <x:f>IF(COUNT($F17:$J17)&lt;5,50,ROUND(0.22*$F17+0.18*$G17+0.2*$H17+0.25*$I17+0.15*$J17,2))</x:f>
        <x:v>50</x:v>
      </x:c>
      <x:c r="L17" s="51" t="str"/>
      <x:c r="M17" s="51" t="str">
        <x:f>IF(COUNT($F17:$J17)&lt;5,"manual tactical review pending","analyst-reviewed tactical profile")</x:f>
        <x:v>manual tactical review pending</x:v>
      </x:c>
    </x:row>
    <x:row r="18">
      <x:c r="A18" s="51" t="str">
        <x:v>D</x:v>
      </x:c>
      <x:c r="B18" s="51" t="str">
        <x:v>Paraguay</x:v>
      </x:c>
      <x:c r="C18" s="51" t="str">
        <x:v>defensive block / set pieces</x:v>
      </x:c>
      <x:c r="D18" s="71" t="str"/>
      <x:c r="E18" s="71" t="str"/>
      <x:c r="F18" s="72" t="str"/>
      <x:c r="G18" s="72" t="str"/>
      <x:c r="H18" s="72" t="str"/>
      <x:c r="I18" s="72" t="str"/>
      <x:c r="J18" s="72" t="str"/>
      <x:c r="K18" s="55" t="n">
        <x:f>IF(COUNT($F18:$J18)&lt;5,50,ROUND(0.22*$F18+0.18*$G18+0.2*$H18+0.25*$I18+0.15*$J18,2))</x:f>
        <x:v>50</x:v>
      </x:c>
      <x:c r="L18" s="51" t="str"/>
      <x:c r="M18" s="51" t="str">
        <x:f>IF(COUNT($F18:$J18)&lt;5,"manual tactical review pending","analyst-reviewed tactical profile")</x:f>
        <x:v>manual tactical review pending</x:v>
      </x:c>
    </x:row>
    <x:row r="19">
      <x:c r="A19" s="51" t="str">
        <x:v>D</x:v>
      </x:c>
      <x:c r="B19" s="51" t="str">
        <x:v>Turkey</x:v>
      </x:c>
      <x:c r="C19" s="51" t="str">
        <x:v>technical midfield / transitions</x:v>
      </x:c>
      <x:c r="D19" s="71" t="str"/>
      <x:c r="E19" s="71" t="str"/>
      <x:c r="F19" s="72" t="str"/>
      <x:c r="G19" s="72" t="str"/>
      <x:c r="H19" s="72" t="str"/>
      <x:c r="I19" s="72" t="str"/>
      <x:c r="J19" s="72" t="str"/>
      <x:c r="K19" s="55" t="n">
        <x:f>IF(COUNT($F19:$J19)&lt;5,50,ROUND(0.22*$F19+0.18*$G19+0.2*$H19+0.25*$I19+0.15*$J19,2))</x:f>
        <x:v>50</x:v>
      </x:c>
      <x:c r="L19" s="51" t="str"/>
      <x:c r="M19" s="51" t="str">
        <x:f>IF(COUNT($F19:$J19)&lt;5,"manual tactical review pending","analyst-reviewed tactical profile")</x:f>
        <x:v>manual tactical review pending</x:v>
      </x:c>
    </x:row>
    <x:row r="20">
      <x:c r="A20" s="51" t="str">
        <x:v>D</x:v>
      </x:c>
      <x:c r="B20" s="51" t="str">
        <x:v>USA</x:v>
      </x:c>
      <x:c r="C20" s="51" t="str">
        <x:v>pressing / vertical possession</x:v>
      </x:c>
      <x:c r="D20" s="71" t="str"/>
      <x:c r="E20" s="71" t="str"/>
      <x:c r="F20" s="72" t="str"/>
      <x:c r="G20" s="72" t="str"/>
      <x:c r="H20" s="72" t="str"/>
      <x:c r="I20" s="72" t="str"/>
      <x:c r="J20" s="72" t="str"/>
      <x:c r="K20" s="55" t="n">
        <x:f>IF(COUNT($F20:$J20)&lt;5,50,ROUND(0.22*$F20+0.18*$G20+0.2*$H20+0.25*$I20+0.15*$J20,2))</x:f>
        <x:v>50</x:v>
      </x:c>
      <x:c r="L20" s="51" t="str"/>
      <x:c r="M20" s="51" t="str">
        <x:f>IF(COUNT($F20:$J20)&lt;5,"manual tactical review pending","analyst-reviewed tactical profile")</x:f>
        <x:v>manual tactical review pending</x:v>
      </x:c>
    </x:row>
    <x:row r="21">
      <x:c r="A21" s="51" t="str">
        <x:v>E</x:v>
      </x:c>
      <x:c r="B21" s="51" t="str">
        <x:v>Curaçao</x:v>
      </x:c>
      <x:c r="C21" s="51" t="str">
        <x:v>profile proxy / manual review required</x:v>
      </x:c>
      <x:c r="D21" s="71" t="str"/>
      <x:c r="E21" s="71" t="str"/>
      <x:c r="F21" s="72" t="str"/>
      <x:c r="G21" s="72" t="str"/>
      <x:c r="H21" s="72" t="str"/>
      <x:c r="I21" s="72" t="str"/>
      <x:c r="J21" s="72" t="str"/>
      <x:c r="K21" s="55" t="n">
        <x:f>IF(COUNT($F21:$J21)&lt;5,50,ROUND(0.22*$F21+0.18*$G21+0.2*$H21+0.25*$I21+0.15*$J21,2))</x:f>
        <x:v>50</x:v>
      </x:c>
      <x:c r="L21" s="51" t="str"/>
      <x:c r="M21" s="51" t="str">
        <x:f>IF(COUNT($F21:$J21)&lt;5,"manual tactical review pending","analyst-reviewed tactical profile")</x:f>
        <x:v>manual tactical review pending</x:v>
      </x:c>
    </x:row>
    <x:row r="22">
      <x:c r="A22" s="51" t="str">
        <x:v>E</x:v>
      </x:c>
      <x:c r="B22" s="51" t="str">
        <x:v>Ecuador</x:v>
      </x:c>
      <x:c r="C22" s="51" t="str">
        <x:v>aggressive pressing / transitions</x:v>
      </x:c>
      <x:c r="D22" s="71" t="str"/>
      <x:c r="E22" s="71" t="str"/>
      <x:c r="F22" s="72" t="str"/>
      <x:c r="G22" s="72" t="str"/>
      <x:c r="H22" s="72" t="str"/>
      <x:c r="I22" s="72" t="str"/>
      <x:c r="J22" s="72" t="str"/>
      <x:c r="K22" s="55" t="n">
        <x:f>IF(COUNT($F22:$J22)&lt;5,50,ROUND(0.22*$F22+0.18*$G22+0.2*$H22+0.25*$I22+0.15*$J22,2))</x:f>
        <x:v>50</x:v>
      </x:c>
      <x:c r="L22" s="51" t="str"/>
      <x:c r="M22" s="51" t="str">
        <x:f>IF(COUNT($F22:$J22)&lt;5,"manual tactical review pending","analyst-reviewed tactical profile")</x:f>
        <x:v>manual tactical review pending</x:v>
      </x:c>
    </x:row>
    <x:row r="23">
      <x:c r="A23" s="51" t="str">
        <x:v>E</x:v>
      </x:c>
      <x:c r="B23" s="51" t="str">
        <x:v>Germany</x:v>
      </x:c>
      <x:c r="C23" s="51" t="str">
        <x:v>high-tempo positional play</x:v>
      </x:c>
      <x:c r="D23" s="71" t="str"/>
      <x:c r="E23" s="71" t="str"/>
      <x:c r="F23" s="72" t="str"/>
      <x:c r="G23" s="72" t="str"/>
      <x:c r="H23" s="72" t="str"/>
      <x:c r="I23" s="72" t="str"/>
      <x:c r="J23" s="72" t="str"/>
      <x:c r="K23" s="55" t="n">
        <x:f>IF(COUNT($F23:$J23)&lt;5,50,ROUND(0.22*$F23+0.18*$G23+0.2*$H23+0.25*$I23+0.15*$J23,2))</x:f>
        <x:v>50</x:v>
      </x:c>
      <x:c r="L23" s="51" t="str"/>
      <x:c r="M23" s="51" t="str">
        <x:f>IF(COUNT($F23:$J23)&lt;5,"manual tactical review pending","analyst-reviewed tactical profile")</x:f>
        <x:v>manual tactical review pending</x:v>
      </x:c>
    </x:row>
    <x:row r="24">
      <x:c r="A24" s="51" t="str">
        <x:v>E</x:v>
      </x:c>
      <x:c r="B24" s="51" t="str">
        <x:v>Ivory Coast</x:v>
      </x:c>
      <x:c r="C24" s="51" t="str">
        <x:v>profile proxy / manual review required</x:v>
      </x:c>
      <x:c r="D24" s="71" t="str"/>
      <x:c r="E24" s="71" t="str"/>
      <x:c r="F24" s="72" t="str"/>
      <x:c r="G24" s="72" t="str"/>
      <x:c r="H24" s="72" t="str"/>
      <x:c r="I24" s="72" t="str"/>
      <x:c r="J24" s="72" t="str"/>
      <x:c r="K24" s="55" t="n">
        <x:f>IF(COUNT($F24:$J24)&lt;5,50,ROUND(0.22*$F24+0.18*$G24+0.2*$H24+0.25*$I24+0.15*$J24,2))</x:f>
        <x:v>50</x:v>
      </x:c>
      <x:c r="L24" s="51" t="str"/>
      <x:c r="M24" s="51" t="str">
        <x:f>IF(COUNT($F24:$J24)&lt;5,"manual tactical review pending","analyst-reviewed tactical profile")</x:f>
        <x:v>manual tactical review pending</x:v>
      </x:c>
    </x:row>
    <x:row r="25">
      <x:c r="A25" s="51" t="str">
        <x:v>F</x:v>
      </x:c>
      <x:c r="B25" s="51" t="str">
        <x:v>Japan</x:v>
      </x:c>
      <x:c r="C25" s="51" t="str">
        <x:v>compact transitions / tactical flexibility</x:v>
      </x:c>
      <x:c r="D25" s="71" t="str"/>
      <x:c r="E25" s="71" t="str"/>
      <x:c r="F25" s="72" t="str"/>
      <x:c r="G25" s="72" t="str"/>
      <x:c r="H25" s="72" t="str"/>
      <x:c r="I25" s="72" t="str"/>
      <x:c r="J25" s="72" t="str"/>
      <x:c r="K25" s="55" t="n">
        <x:f>IF(COUNT($F25:$J25)&lt;5,50,ROUND(0.22*$F25+0.18*$G25+0.2*$H25+0.25*$I25+0.15*$J25,2))</x:f>
        <x:v>50</x:v>
      </x:c>
      <x:c r="L25" s="51" t="str"/>
      <x:c r="M25" s="51" t="str">
        <x:f>IF(COUNT($F25:$J25)&lt;5,"manual tactical review pending","analyst-reviewed tactical profile")</x:f>
        <x:v>manual tactical review pending</x:v>
      </x:c>
    </x:row>
    <x:row r="26">
      <x:c r="A26" s="51" t="str">
        <x:v>F</x:v>
      </x:c>
      <x:c r="B26" s="51" t="str">
        <x:v>Netherlands</x:v>
      </x:c>
      <x:c r="C26" s="51" t="str">
        <x:v>possession / wing progression</x:v>
      </x:c>
      <x:c r="D26" s="71" t="str"/>
      <x:c r="E26" s="71" t="str"/>
      <x:c r="F26" s="72" t="str"/>
      <x:c r="G26" s="72" t="str"/>
      <x:c r="H26" s="72" t="str"/>
      <x:c r="I26" s="72" t="str"/>
      <x:c r="J26" s="72" t="str"/>
      <x:c r="K26" s="55" t="n">
        <x:f>IF(COUNT($F26:$J26)&lt;5,50,ROUND(0.22*$F26+0.18*$G26+0.2*$H26+0.25*$I26+0.15*$J26,2))</x:f>
        <x:v>50</x:v>
      </x:c>
      <x:c r="L26" s="51" t="str"/>
      <x:c r="M26" s="51" t="str">
        <x:f>IF(COUNT($F26:$J26)&lt;5,"manual tactical review pending","analyst-reviewed tactical profile")</x:f>
        <x:v>manual tactical review pending</x:v>
      </x:c>
    </x:row>
    <x:row r="27">
      <x:c r="A27" s="51" t="str">
        <x:v>F</x:v>
      </x:c>
      <x:c r="B27" s="51" t="str">
        <x:v>Sweden</x:v>
      </x:c>
      <x:c r="C27" s="51" t="str">
        <x:v>profile proxy / manual review required</x:v>
      </x:c>
      <x:c r="D27" s="71" t="str"/>
      <x:c r="E27" s="71" t="str"/>
      <x:c r="F27" s="72" t="str"/>
      <x:c r="G27" s="72" t="str"/>
      <x:c r="H27" s="72" t="str"/>
      <x:c r="I27" s="72" t="str"/>
      <x:c r="J27" s="72" t="str"/>
      <x:c r="K27" s="55" t="n">
        <x:f>IF(COUNT($F27:$J27)&lt;5,50,ROUND(0.22*$F27+0.18*$G27+0.2*$H27+0.25*$I27+0.15*$J27,2))</x:f>
        <x:v>50</x:v>
      </x:c>
      <x:c r="L27" s="51" t="str"/>
      <x:c r="M27" s="51" t="str">
        <x:f>IF(COUNT($F27:$J27)&lt;5,"manual tactical review pending","analyst-reviewed tactical profile")</x:f>
        <x:v>manual tactical review pending</x:v>
      </x:c>
    </x:row>
    <x:row r="28">
      <x:c r="A28" s="51" t="str">
        <x:v>F</x:v>
      </x:c>
      <x:c r="B28" s="51" t="str">
        <x:v>Tunisia</x:v>
      </x:c>
      <x:c r="C28" s="51" t="str">
        <x:v>profile proxy / manual review required</x:v>
      </x:c>
      <x:c r="D28" s="71" t="str"/>
      <x:c r="E28" s="71" t="str"/>
      <x:c r="F28" s="72" t="str"/>
      <x:c r="G28" s="72" t="str"/>
      <x:c r="H28" s="72" t="str"/>
      <x:c r="I28" s="72" t="str"/>
      <x:c r="J28" s="72" t="str"/>
      <x:c r="K28" s="55" t="n">
        <x:f>IF(COUNT($F28:$J28)&lt;5,50,ROUND(0.22*$F28+0.18*$G28+0.2*$H28+0.25*$I28+0.15*$J28,2))</x:f>
        <x:v>50</x:v>
      </x:c>
      <x:c r="L28" s="51" t="str"/>
      <x:c r="M28" s="51" t="str">
        <x:f>IF(COUNT($F28:$J28)&lt;5,"manual tactical review pending","analyst-reviewed tactical profile")</x:f>
        <x:v>manual tactical review pending</x:v>
      </x:c>
    </x:row>
    <x:row r="29">
      <x:c r="A29" s="51" t="str">
        <x:v>G</x:v>
      </x:c>
      <x:c r="B29" s="51" t="str">
        <x:v>Belgium</x:v>
      </x:c>
      <x:c r="C29" s="51" t="str">
        <x:v>possession / direct attacking phases</x:v>
      </x:c>
      <x:c r="D29" s="71" t="str"/>
      <x:c r="E29" s="71" t="str"/>
      <x:c r="F29" s="72" t="str"/>
      <x:c r="G29" s="72" t="str"/>
      <x:c r="H29" s="72" t="str"/>
      <x:c r="I29" s="72" t="str"/>
      <x:c r="J29" s="72" t="str"/>
      <x:c r="K29" s="55" t="n">
        <x:f>IF(COUNT($F29:$J29)&lt;5,50,ROUND(0.22*$F29+0.18*$G29+0.2*$H29+0.25*$I29+0.15*$J29,2))</x:f>
        <x:v>50</x:v>
      </x:c>
      <x:c r="L29" s="51" t="str"/>
      <x:c r="M29" s="51" t="str">
        <x:f>IF(COUNT($F29:$J29)&lt;5,"manual tactical review pending","analyst-reviewed tactical profile")</x:f>
        <x:v>manual tactical review pending</x:v>
      </x:c>
    </x:row>
    <x:row r="30">
      <x:c r="A30" s="51" t="str">
        <x:v>G</x:v>
      </x:c>
      <x:c r="B30" s="51" t="str">
        <x:v>Egypt</x:v>
      </x:c>
      <x:c r="C30" s="51" t="str">
        <x:v>profile proxy / manual review required</x:v>
      </x:c>
      <x:c r="D30" s="71" t="str"/>
      <x:c r="E30" s="71" t="str"/>
      <x:c r="F30" s="72" t="str"/>
      <x:c r="G30" s="72" t="str"/>
      <x:c r="H30" s="72" t="str"/>
      <x:c r="I30" s="72" t="str"/>
      <x:c r="J30" s="72" t="str"/>
      <x:c r="K30" s="55" t="n">
        <x:f>IF(COUNT($F30:$J30)&lt;5,50,ROUND(0.22*$F30+0.18*$G30+0.2*$H30+0.25*$I30+0.15*$J30,2))</x:f>
        <x:v>50</x:v>
      </x:c>
      <x:c r="L30" s="51" t="str"/>
      <x:c r="M30" s="51" t="str">
        <x:f>IF(COUNT($F30:$J30)&lt;5,"manual tactical review pending","analyst-reviewed tactical profile")</x:f>
        <x:v>manual tactical review pending</x:v>
      </x:c>
    </x:row>
    <x:row r="31">
      <x:c r="A31" s="51" t="str">
        <x:v>G</x:v>
      </x:c>
      <x:c r="B31" s="51" t="str">
        <x:v>Iran</x:v>
      </x:c>
      <x:c r="C31" s="51" t="str">
        <x:v>profile proxy / manual review required</x:v>
      </x:c>
      <x:c r="D31" s="71" t="str"/>
      <x:c r="E31" s="71" t="str"/>
      <x:c r="F31" s="72" t="str"/>
      <x:c r="G31" s="72" t="str"/>
      <x:c r="H31" s="72" t="str"/>
      <x:c r="I31" s="72" t="str"/>
      <x:c r="J31" s="72" t="str"/>
      <x:c r="K31" s="55" t="n">
        <x:f>IF(COUNT($F31:$J31)&lt;5,50,ROUND(0.22*$F31+0.18*$G31+0.2*$H31+0.25*$I31+0.15*$J31,2))</x:f>
        <x:v>50</x:v>
      </x:c>
      <x:c r="L31" s="51" t="str"/>
      <x:c r="M31" s="51" t="str">
        <x:f>IF(COUNT($F31:$J31)&lt;5,"manual tactical review pending","analyst-reviewed tactical profile")</x:f>
        <x:v>manual tactical review pending</x:v>
      </x:c>
    </x:row>
    <x:row r="32">
      <x:c r="A32" s="51" t="str">
        <x:v>G</x:v>
      </x:c>
      <x:c r="B32" s="51" t="str">
        <x:v>New Zealand</x:v>
      </x:c>
      <x:c r="C32" s="51" t="str">
        <x:v>compact / direct play</x:v>
      </x:c>
      <x:c r="D32" s="71" t="str"/>
      <x:c r="E32" s="71" t="str"/>
      <x:c r="F32" s="72" t="str"/>
      <x:c r="G32" s="72" t="str"/>
      <x:c r="H32" s="72" t="str"/>
      <x:c r="I32" s="72" t="str"/>
      <x:c r="J32" s="72" t="str"/>
      <x:c r="K32" s="55" t="n">
        <x:f>IF(COUNT($F32:$J32)&lt;5,50,ROUND(0.22*$F32+0.18*$G32+0.2*$H32+0.25*$I32+0.15*$J32,2))</x:f>
        <x:v>50</x:v>
      </x:c>
      <x:c r="L32" s="51" t="str"/>
      <x:c r="M32" s="51" t="str">
        <x:f>IF(COUNT($F32:$J32)&lt;5,"manual tactical review pending","analyst-reviewed tactical profile")</x:f>
        <x:v>manual tactical review pending</x:v>
      </x:c>
    </x:row>
    <x:row r="33">
      <x:c r="A33" s="51" t="str">
        <x:v>H</x:v>
      </x:c>
      <x:c r="B33" s="51" t="str">
        <x:v>Cape Verde</x:v>
      </x:c>
      <x:c r="C33" s="51" t="str">
        <x:v>profile proxy / manual review required</x:v>
      </x:c>
      <x:c r="D33" s="71" t="str"/>
      <x:c r="E33" s="71" t="str"/>
      <x:c r="F33" s="72" t="str"/>
      <x:c r="G33" s="72" t="str"/>
      <x:c r="H33" s="72" t="str"/>
      <x:c r="I33" s="72" t="str"/>
      <x:c r="J33" s="72" t="str"/>
      <x:c r="K33" s="55" t="n">
        <x:f>IF(COUNT($F33:$J33)&lt;5,50,ROUND(0.22*$F33+0.18*$G33+0.2*$H33+0.25*$I33+0.15*$J33,2))</x:f>
        <x:v>50</x:v>
      </x:c>
      <x:c r="L33" s="51" t="str"/>
      <x:c r="M33" s="51" t="str">
        <x:f>IF(COUNT($F33:$J33)&lt;5,"manual tactical review pending","analyst-reviewed tactical profile")</x:f>
        <x:v>manual tactical review pending</x:v>
      </x:c>
    </x:row>
    <x:row r="34">
      <x:c r="A34" s="51" t="str">
        <x:v>H</x:v>
      </x:c>
      <x:c r="B34" s="51" t="str">
        <x:v>Saudi Arabia</x:v>
      </x:c>
      <x:c r="C34" s="51" t="str">
        <x:v>profile proxy / manual review required</x:v>
      </x:c>
      <x:c r="D34" s="71" t="str"/>
      <x:c r="E34" s="71" t="str"/>
      <x:c r="F34" s="72" t="str"/>
      <x:c r="G34" s="72" t="str"/>
      <x:c r="H34" s="72" t="str"/>
      <x:c r="I34" s="72" t="str"/>
      <x:c r="J34" s="72" t="str"/>
      <x:c r="K34" s="55" t="n">
        <x:f>IF(COUNT($F34:$J34)&lt;5,50,ROUND(0.22*$F34+0.18*$G34+0.2*$H34+0.25*$I34+0.15*$J34,2))</x:f>
        <x:v>50</x:v>
      </x:c>
      <x:c r="L34" s="51" t="str"/>
      <x:c r="M34" s="51" t="str">
        <x:f>IF(COUNT($F34:$J34)&lt;5,"manual tactical review pending","analyst-reviewed tactical profile")</x:f>
        <x:v>manual tactical review pending</x:v>
      </x:c>
    </x:row>
    <x:row r="35">
      <x:c r="A35" s="51" t="str">
        <x:v>H</x:v>
      </x:c>
      <x:c r="B35" s="51" t="str">
        <x:v>Spain</x:v>
      </x:c>
      <x:c r="C35" s="51" t="str">
        <x:v>possession / high technical control</x:v>
      </x:c>
      <x:c r="D35" s="71" t="str"/>
      <x:c r="E35" s="71" t="str"/>
      <x:c r="F35" s="72" t="str"/>
      <x:c r="G35" s="72" t="str"/>
      <x:c r="H35" s="72" t="str"/>
      <x:c r="I35" s="72" t="str"/>
      <x:c r="J35" s="72" t="str"/>
      <x:c r="K35" s="55" t="n">
        <x:f>IF(COUNT($F35:$J35)&lt;5,50,ROUND(0.22*$F35+0.18*$G35+0.2*$H35+0.25*$I35+0.15*$J35,2))</x:f>
        <x:v>50</x:v>
      </x:c>
      <x:c r="L35" s="51" t="str"/>
      <x:c r="M35" s="51" t="str">
        <x:f>IF(COUNT($F35:$J35)&lt;5,"manual tactical review pending","analyst-reviewed tactical profile")</x:f>
        <x:v>manual tactical review pending</x:v>
      </x:c>
    </x:row>
    <x:row r="36">
      <x:c r="A36" s="51" t="str">
        <x:v>H</x:v>
      </x:c>
      <x:c r="B36" s="51" t="str">
        <x:v>Uruguay</x:v>
      </x:c>
      <x:c r="C36" s="51" t="str">
        <x:v>high press / direct verticality</x:v>
      </x:c>
      <x:c r="D36" s="71" t="str"/>
      <x:c r="E36" s="71" t="str"/>
      <x:c r="F36" s="72" t="str"/>
      <x:c r="G36" s="72" t="str"/>
      <x:c r="H36" s="72" t="str"/>
      <x:c r="I36" s="72" t="str"/>
      <x:c r="J36" s="72" t="str"/>
      <x:c r="K36" s="55" t="n">
        <x:f>IF(COUNT($F36:$J36)&lt;5,50,ROUND(0.22*$F36+0.18*$G36+0.2*$H36+0.25*$I36+0.15*$J36,2))</x:f>
        <x:v>50</x:v>
      </x:c>
      <x:c r="L36" s="51" t="str"/>
      <x:c r="M36" s="51" t="str">
        <x:f>IF(COUNT($F36:$J36)&lt;5,"manual tactical review pending","analyst-reviewed tactical profile")</x:f>
        <x:v>manual tactical review pending</x:v>
      </x:c>
    </x:row>
    <x:row r="37">
      <x:c r="A37" s="51" t="str">
        <x:v>I</x:v>
      </x:c>
      <x:c r="B37" s="51" t="str">
        <x:v>France</x:v>
      </x:c>
      <x:c r="C37" s="51" t="str">
        <x:v>pragmatic elite-transition</x:v>
      </x:c>
      <x:c r="D37" s="71" t="str"/>
      <x:c r="E37" s="71" t="str"/>
      <x:c r="F37" s="72" t="str"/>
      <x:c r="G37" s="72" t="str"/>
      <x:c r="H37" s="72" t="str"/>
      <x:c r="I37" s="72" t="str"/>
      <x:c r="J37" s="72" t="str"/>
      <x:c r="K37" s="55" t="n">
        <x:f>IF(COUNT($F37:$J37)&lt;5,50,ROUND(0.22*$F37+0.18*$G37+0.2*$H37+0.25*$I37+0.15*$J37,2))</x:f>
        <x:v>50</x:v>
      </x:c>
      <x:c r="L37" s="51" t="str"/>
      <x:c r="M37" s="51" t="str">
        <x:f>IF(COUNT($F37:$J37)&lt;5,"manual tactical review pending","analyst-reviewed tactical profile")</x:f>
        <x:v>manual tactical review pending</x:v>
      </x:c>
    </x:row>
    <x:row r="38">
      <x:c r="A38" s="51" t="str">
        <x:v>I</x:v>
      </x:c>
      <x:c r="B38" s="51" t="str">
        <x:v>Iraq</x:v>
      </x:c>
      <x:c r="C38" s="51" t="str">
        <x:v>profile proxy / manual review required</x:v>
      </x:c>
      <x:c r="D38" s="71" t="str"/>
      <x:c r="E38" s="71" t="str"/>
      <x:c r="F38" s="72" t="str"/>
      <x:c r="G38" s="72" t="str"/>
      <x:c r="H38" s="72" t="str"/>
      <x:c r="I38" s="72" t="str"/>
      <x:c r="J38" s="72" t="str"/>
      <x:c r="K38" s="55" t="n">
        <x:f>IF(COUNT($F38:$J38)&lt;5,50,ROUND(0.22*$F38+0.18*$G38+0.2*$H38+0.25*$I38+0.15*$J38,2))</x:f>
        <x:v>50</x:v>
      </x:c>
      <x:c r="L38" s="51" t="str"/>
      <x:c r="M38" s="51" t="str">
        <x:f>IF(COUNT($F38:$J38)&lt;5,"manual tactical review pending","analyst-reviewed tactical profile")</x:f>
        <x:v>manual tactical review pending</x:v>
      </x:c>
    </x:row>
    <x:row r="39">
      <x:c r="A39" s="51" t="str">
        <x:v>I</x:v>
      </x:c>
      <x:c r="B39" s="51" t="str">
        <x:v>Norway</x:v>
      </x:c>
      <x:c r="C39" s="51" t="str">
        <x:v>direct attack / star focal points</x:v>
      </x:c>
      <x:c r="D39" s="71" t="str"/>
      <x:c r="E39" s="71" t="str"/>
      <x:c r="F39" s="72" t="str"/>
      <x:c r="G39" s="72" t="str"/>
      <x:c r="H39" s="72" t="str"/>
      <x:c r="I39" s="72" t="str"/>
      <x:c r="J39" s="72" t="str"/>
      <x:c r="K39" s="55" t="n">
        <x:f>IF(COUNT($F39:$J39)&lt;5,50,ROUND(0.22*$F39+0.18*$G39+0.2*$H39+0.25*$I39+0.15*$J39,2))</x:f>
        <x:v>50</x:v>
      </x:c>
      <x:c r="L39" s="51" t="str"/>
      <x:c r="M39" s="51" t="str">
        <x:f>IF(COUNT($F39:$J39)&lt;5,"manual tactical review pending","analyst-reviewed tactical profile")</x:f>
        <x:v>manual tactical review pending</x:v>
      </x:c>
    </x:row>
    <x:row r="40">
      <x:c r="A40" s="51" t="str">
        <x:v>I</x:v>
      </x:c>
      <x:c r="B40" s="51" t="str">
        <x:v>Senegal</x:v>
      </x:c>
      <x:c r="C40" s="51" t="str">
        <x:v>athletic transitions</x:v>
      </x:c>
      <x:c r="D40" s="71" t="str"/>
      <x:c r="E40" s="71" t="str"/>
      <x:c r="F40" s="72" t="str"/>
      <x:c r="G40" s="72" t="str"/>
      <x:c r="H40" s="72" t="str"/>
      <x:c r="I40" s="72" t="str"/>
      <x:c r="J40" s="72" t="str"/>
      <x:c r="K40" s="55" t="n">
        <x:f>IF(COUNT($F40:$J40)&lt;5,50,ROUND(0.22*$F40+0.18*$G40+0.2*$H40+0.25*$I40+0.15*$J40,2))</x:f>
        <x:v>50</x:v>
      </x:c>
      <x:c r="L40" s="51" t="str"/>
      <x:c r="M40" s="51" t="str">
        <x:f>IF(COUNT($F40:$J40)&lt;5,"manual tactical review pending","analyst-reviewed tactical profile")</x:f>
        <x:v>manual tactical review pending</x:v>
      </x:c>
    </x:row>
    <x:row r="41">
      <x:c r="A41" s="51" t="str">
        <x:v>J</x:v>
      </x:c>
      <x:c r="B41" s="51" t="str">
        <x:v>Algeria</x:v>
      </x:c>
      <x:c r="C41" s="51" t="str">
        <x:v>balanced / experienced setup</x:v>
      </x:c>
      <x:c r="D41" s="71" t="str"/>
      <x:c r="E41" s="71" t="str"/>
      <x:c r="F41" s="72" t="str"/>
      <x:c r="G41" s="72" t="str"/>
      <x:c r="H41" s="72" t="str"/>
      <x:c r="I41" s="72" t="str"/>
      <x:c r="J41" s="72" t="str"/>
      <x:c r="K41" s="55" t="n">
        <x:f>IF(COUNT($F41:$J41)&lt;5,50,ROUND(0.22*$F41+0.18*$G41+0.2*$H41+0.25*$I41+0.15*$J41,2))</x:f>
        <x:v>50</x:v>
      </x:c>
      <x:c r="L41" s="51" t="str"/>
      <x:c r="M41" s="51" t="str">
        <x:f>IF(COUNT($F41:$J41)&lt;5,"manual tactical review pending","analyst-reviewed tactical profile")</x:f>
        <x:v>manual tactical review pending</x:v>
      </x:c>
    </x:row>
    <x:row r="42">
      <x:c r="A42" s="51" t="str">
        <x:v>J</x:v>
      </x:c>
      <x:c r="B42" s="51" t="str">
        <x:v>Argentina</x:v>
      </x:c>
      <x:c r="C42" s="51" t="str">
        <x:v>balanced possession / transition</x:v>
      </x:c>
      <x:c r="D42" s="71" t="str"/>
      <x:c r="E42" s="71" t="str"/>
      <x:c r="F42" s="72" t="str"/>
      <x:c r="G42" s="72" t="str"/>
      <x:c r="H42" s="72" t="str"/>
      <x:c r="I42" s="72" t="str"/>
      <x:c r="J42" s="72" t="str"/>
      <x:c r="K42" s="55" t="n">
        <x:f>IF(COUNT($F42:$J42)&lt;5,50,ROUND(0.22*$F42+0.18*$G42+0.2*$H42+0.25*$I42+0.15*$J42,2))</x:f>
        <x:v>50</x:v>
      </x:c>
      <x:c r="L42" s="51" t="str"/>
      <x:c r="M42" s="51" t="str">
        <x:f>IF(COUNT($F42:$J42)&lt;5,"manual tactical review pending","analyst-reviewed tactical profile")</x:f>
        <x:v>manual tactical review pending</x:v>
      </x:c>
    </x:row>
    <x:row r="43">
      <x:c r="A43" s="51" t="str">
        <x:v>J</x:v>
      </x:c>
      <x:c r="B43" s="51" t="str">
        <x:v>Austria</x:v>
      </x:c>
      <x:c r="C43" s="51" t="str">
        <x:v>pressing / vertical attacks</x:v>
      </x:c>
      <x:c r="D43" s="71" t="str"/>
      <x:c r="E43" s="71" t="str"/>
      <x:c r="F43" s="72" t="str"/>
      <x:c r="G43" s="72" t="str"/>
      <x:c r="H43" s="72" t="str"/>
      <x:c r="I43" s="72" t="str"/>
      <x:c r="J43" s="72" t="str"/>
      <x:c r="K43" s="55" t="n">
        <x:f>IF(COUNT($F43:$J43)&lt;5,50,ROUND(0.22*$F43+0.18*$G43+0.2*$H43+0.25*$I43+0.15*$J43,2))</x:f>
        <x:v>50</x:v>
      </x:c>
      <x:c r="L43" s="51" t="str"/>
      <x:c r="M43" s="51" t="str">
        <x:f>IF(COUNT($F43:$J43)&lt;5,"manual tactical review pending","analyst-reviewed tactical profile")</x:f>
        <x:v>manual tactical review pending</x:v>
      </x:c>
    </x:row>
    <x:row r="44">
      <x:c r="A44" s="51" t="str">
        <x:v>J</x:v>
      </x:c>
      <x:c r="B44" s="51" t="str">
        <x:v>Jordan</x:v>
      </x:c>
      <x:c r="C44" s="51" t="str">
        <x:v>profile proxy / manual review required</x:v>
      </x:c>
      <x:c r="D44" s="71" t="str"/>
      <x:c r="E44" s="71" t="str"/>
      <x:c r="F44" s="72" t="str"/>
      <x:c r="G44" s="72" t="str"/>
      <x:c r="H44" s="72" t="str"/>
      <x:c r="I44" s="72" t="str"/>
      <x:c r="J44" s="72" t="str"/>
      <x:c r="K44" s="55" t="n">
        <x:f>IF(COUNT($F44:$J44)&lt;5,50,ROUND(0.22*$F44+0.18*$G44+0.2*$H44+0.25*$I44+0.15*$J44,2))</x:f>
        <x:v>50</x:v>
      </x:c>
      <x:c r="L44" s="51" t="str"/>
      <x:c r="M44" s="51" t="str">
        <x:f>IF(COUNT($F44:$J44)&lt;5,"manual tactical review pending","analyst-reviewed tactical profile")</x:f>
        <x:v>manual tactical review pending</x:v>
      </x:c>
    </x:row>
    <x:row r="45">
      <x:c r="A45" s="51" t="str">
        <x:v>K</x:v>
      </x:c>
      <x:c r="B45" s="51" t="str">
        <x:v>Colombia</x:v>
      </x:c>
      <x:c r="C45" s="51" t="str">
        <x:v>balanced possession / counters</x:v>
      </x:c>
      <x:c r="D45" s="71" t="str"/>
      <x:c r="E45" s="71" t="str"/>
      <x:c r="F45" s="72" t="str"/>
      <x:c r="G45" s="72" t="str"/>
      <x:c r="H45" s="72" t="str"/>
      <x:c r="I45" s="72" t="str"/>
      <x:c r="J45" s="72" t="str"/>
      <x:c r="K45" s="55" t="n">
        <x:f>IF(COUNT($F45:$J45)&lt;5,50,ROUND(0.22*$F45+0.18*$G45+0.2*$H45+0.25*$I45+0.15*$J45,2))</x:f>
        <x:v>50</x:v>
      </x:c>
      <x:c r="L45" s="51" t="str"/>
      <x:c r="M45" s="51" t="str">
        <x:f>IF(COUNT($F45:$J45)&lt;5,"manual tactical review pending","analyst-reviewed tactical profile")</x:f>
        <x:v>manual tactical review pending</x:v>
      </x:c>
    </x:row>
    <x:row r="46">
      <x:c r="A46" s="51" t="str">
        <x:v>K</x:v>
      </x:c>
      <x:c r="B46" s="51" t="str">
        <x:v>DR Congo</x:v>
      </x:c>
      <x:c r="C46" s="51" t="str">
        <x:v>transition / athletic structure</x:v>
      </x:c>
      <x:c r="D46" s="71" t="str"/>
      <x:c r="E46" s="71" t="str"/>
      <x:c r="F46" s="72" t="str"/>
      <x:c r="G46" s="72" t="str"/>
      <x:c r="H46" s="72" t="str"/>
      <x:c r="I46" s="72" t="str"/>
      <x:c r="J46" s="72" t="str"/>
      <x:c r="K46" s="55" t="n">
        <x:f>IF(COUNT($F46:$J46)&lt;5,50,ROUND(0.22*$F46+0.18*$G46+0.2*$H46+0.25*$I46+0.15*$J46,2))</x:f>
        <x:v>50</x:v>
      </x:c>
      <x:c r="L46" s="51" t="str"/>
      <x:c r="M46" s="51" t="str">
        <x:f>IF(COUNT($F46:$J46)&lt;5,"manual tactical review pending","analyst-reviewed tactical profile")</x:f>
        <x:v>manual tactical review pending</x:v>
      </x:c>
    </x:row>
    <x:row r="47">
      <x:c r="A47" s="51" t="str">
        <x:v>K</x:v>
      </x:c>
      <x:c r="B47" s="51" t="str">
        <x:v>Portugal</x:v>
      </x:c>
      <x:c r="C47" s="51" t="str">
        <x:v>possession / attacking width</x:v>
      </x:c>
      <x:c r="D47" s="71" t="str"/>
      <x:c r="E47" s="71" t="str"/>
      <x:c r="F47" s="72" t="str"/>
      <x:c r="G47" s="72" t="str"/>
      <x:c r="H47" s="72" t="str"/>
      <x:c r="I47" s="72" t="str"/>
      <x:c r="J47" s="72" t="str"/>
      <x:c r="K47" s="55" t="n">
        <x:f>IF(COUNT($F47:$J47)&lt;5,50,ROUND(0.22*$F47+0.18*$G47+0.2*$H47+0.25*$I47+0.15*$J47,2))</x:f>
        <x:v>50</x:v>
      </x:c>
      <x:c r="L47" s="51" t="str"/>
      <x:c r="M47" s="51" t="str">
        <x:f>IF(COUNT($F47:$J47)&lt;5,"manual tactical review pending","analyst-reviewed tactical profile")</x:f>
        <x:v>manual tactical review pending</x:v>
      </x:c>
    </x:row>
    <x:row r="48">
      <x:c r="A48" s="51" t="str">
        <x:v>K</x:v>
      </x:c>
      <x:c r="B48" s="51" t="str">
        <x:v>Uzbekistan</x:v>
      </x:c>
      <x:c r="C48" s="51" t="str">
        <x:v>compact / fast transitions</x:v>
      </x:c>
      <x:c r="D48" s="71" t="str"/>
      <x:c r="E48" s="71" t="str"/>
      <x:c r="F48" s="72" t="str"/>
      <x:c r="G48" s="72" t="str"/>
      <x:c r="H48" s="72" t="str"/>
      <x:c r="I48" s="72" t="str"/>
      <x:c r="J48" s="72" t="str"/>
      <x:c r="K48" s="55" t="n">
        <x:f>IF(COUNT($F48:$J48)&lt;5,50,ROUND(0.22*$F48+0.18*$G48+0.2*$H48+0.25*$I48+0.15*$J48,2))</x:f>
        <x:v>50</x:v>
      </x:c>
      <x:c r="L48" s="51" t="str"/>
      <x:c r="M48" s="51" t="str">
        <x:f>IF(COUNT($F48:$J48)&lt;5,"manual tactical review pending","analyst-reviewed tactical profile")</x:f>
        <x:v>manual tactical review pending</x:v>
      </x:c>
    </x:row>
    <x:row r="49">
      <x:c r="A49" s="51" t="str">
        <x:v>L</x:v>
      </x:c>
      <x:c r="B49" s="51" t="str">
        <x:v>Croatia</x:v>
      </x:c>
      <x:c r="C49" s="51" t="str">
        <x:v>midfield control / tournament management</x:v>
      </x:c>
      <x:c r="D49" s="71" t="str"/>
      <x:c r="E49" s="71" t="str"/>
      <x:c r="F49" s="72" t="str"/>
      <x:c r="G49" s="72" t="str"/>
      <x:c r="H49" s="72" t="str"/>
      <x:c r="I49" s="72" t="str"/>
      <x:c r="J49" s="72" t="str"/>
      <x:c r="K49" s="55" t="n">
        <x:f>IF(COUNT($F49:$J49)&lt;5,50,ROUND(0.22*$F49+0.18*$G49+0.2*$H49+0.25*$I49+0.15*$J49,2))</x:f>
        <x:v>50</x:v>
      </x:c>
      <x:c r="L49" s="51" t="str"/>
      <x:c r="M49" s="51" t="str">
        <x:f>IF(COUNT($F49:$J49)&lt;5,"manual tactical review pending","analyst-reviewed tactical profile")</x:f>
        <x:v>manual tactical review pending</x:v>
      </x:c>
    </x:row>
    <x:row r="50">
      <x:c r="A50" s="51" t="str">
        <x:v>L</x:v>
      </x:c>
      <x:c r="B50" s="51" t="str">
        <x:v>England</x:v>
      </x:c>
      <x:c r="C50" s="51" t="str">
        <x:v>structured possession / pressing</x:v>
      </x:c>
      <x:c r="D50" s="71" t="str"/>
      <x:c r="E50" s="71" t="str"/>
      <x:c r="F50" s="72" t="str"/>
      <x:c r="G50" s="72" t="str"/>
      <x:c r="H50" s="72" t="str"/>
      <x:c r="I50" s="72" t="str"/>
      <x:c r="J50" s="72" t="str"/>
      <x:c r="K50" s="55" t="n">
        <x:f>IF(COUNT($F50:$J50)&lt;5,50,ROUND(0.22*$F50+0.18*$G50+0.2*$H50+0.25*$I50+0.15*$J50,2))</x:f>
        <x:v>50</x:v>
      </x:c>
      <x:c r="L50" s="51" t="str"/>
      <x:c r="M50" s="51" t="str">
        <x:f>IF(COUNT($F50:$J50)&lt;5,"manual tactical review pending","analyst-reviewed tactical profile")</x:f>
        <x:v>manual tactical review pending</x:v>
      </x:c>
    </x:row>
    <x:row r="51">
      <x:c r="A51" s="51" t="str">
        <x:v>L</x:v>
      </x:c>
      <x:c r="B51" s="51" t="str">
        <x:v>Ghana</x:v>
      </x:c>
      <x:c r="C51" s="51" t="str">
        <x:v>defensive structure / tournament experience</x:v>
      </x:c>
      <x:c r="D51" s="71" t="str"/>
      <x:c r="E51" s="71" t="str"/>
      <x:c r="F51" s="72" t="str"/>
      <x:c r="G51" s="72" t="str"/>
      <x:c r="H51" s="72" t="str"/>
      <x:c r="I51" s="72" t="str"/>
      <x:c r="J51" s="72" t="str"/>
      <x:c r="K51" s="55" t="n">
        <x:f>IF(COUNT($F51:$J51)&lt;5,50,ROUND(0.22*$F51+0.18*$G51+0.2*$H51+0.25*$I51+0.15*$J51,2))</x:f>
        <x:v>50</x:v>
      </x:c>
      <x:c r="L51" s="51" t="str"/>
      <x:c r="M51" s="51" t="str">
        <x:f>IF(COUNT($F51:$J51)&lt;5,"manual tactical review pending","analyst-reviewed tactical profile")</x:f>
        <x:v>manual tactical review pending</x:v>
      </x:c>
    </x:row>
    <x:row r="52">
      <x:c r="A52" s="51" t="str">
        <x:v>L</x:v>
      </x:c>
      <x:c r="B52" s="51" t="str">
        <x:v>Panama</x:v>
      </x:c>
      <x:c r="C52" s="51" t="str">
        <x:v>compact / direct transitions</x:v>
      </x:c>
      <x:c r="D52" s="71" t="str"/>
      <x:c r="E52" s="71" t="str"/>
      <x:c r="F52" s="72" t="str"/>
      <x:c r="G52" s="72" t="str"/>
      <x:c r="H52" s="72" t="str"/>
      <x:c r="I52" s="72" t="str"/>
      <x:c r="J52" s="72" t="str"/>
      <x:c r="K52" s="55" t="n">
        <x:f>IF(COUNT($F52:$J52)&lt;5,50,ROUND(0.22*$F52+0.18*$G52+0.2*$H52+0.25*$I52+0.15*$J52,2))</x:f>
        <x:v>50</x:v>
      </x:c>
      <x:c r="L52" s="51" t="str"/>
      <x:c r="M52" s="51" t="str">
        <x:f>IF(COUNT($F52:$J52)&lt;5,"manual tactical review pending","analyst-reviewed tactical profile")</x:f>
        <x:v>manual tactical review pending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90da444e59e41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16.559999465942383" hidden="0" customWidth="1"/>
    <x:col min="3" max="3" width="9.890000343322754" hidden="0" customWidth="1"/>
    <x:col min="4" max="4" width="12.4399995803833" hidden="0" customWidth="1"/>
    <x:col min="5" max="5" width="19" hidden="0" customWidth="1"/>
    <x:col min="6" max="6" width="16.670000076293945" hidden="0" customWidth="1"/>
    <x:col min="7" max="7" width="20" hidden="0" customWidth="1"/>
    <x:col min="8" max="8" width="23.780000686645508" hidden="0" customWidth="1"/>
    <x:col min="9" max="9" width="17.329999923706055" hidden="0" customWidth="1"/>
    <x:col min="10" max="10" width="14.779999732971191" hidden="0" customWidth="1"/>
    <x:col min="11" max="11" width="12.220000267028809" hidden="0" customWidth="1"/>
    <x:col min="12" max="12" width="14.779999732971191" hidden="0" customWidth="1"/>
    <x:col min="13" max="13" width="16.780000686645508" hidden="0" customWidth="1"/>
    <x:col min="14" max="14" width="15.779999732971191" hidden="0" customWidth="1"/>
    <x:col min="15" max="15" width="14.670000076293945" hidden="0" customWidth="1"/>
  </x:cols>
  <x:sheetData>
    <x:row r="1" ht="25.5" customHeight="1">
      <x:c r="A1" s="47" t="str">
        <x:v>Analyst Review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6" customHeight="1">
      <x:c r="A2" s="49" t="str">
        <x:v>Use this for deliberate human overrides and approval. The model should know when a number came from data, an analyst, or a fallback.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</x:row>
    <x:row r="4">
      <x:c r="A4" s="64" t="str">
        <x:v>Group</x:v>
      </x:c>
      <x:c r="B4" s="64" t="str">
        <x:v>Team</x:v>
      </x:c>
      <x:c r="C4" s="64" t="str">
        <x:v>Reviewer</x:v>
      </x:c>
      <x:c r="D4" s="64" t="str">
        <x:v>Review Date</x:v>
      </x:c>
      <x:c r="E4" s="64" t="str">
        <x:v>Approved for Model?</x:v>
      </x:c>
      <x:c r="F4" s="64" t="str">
        <x:v>Confidence Score</x:v>
      </x:c>
      <x:c r="G4" s="64" t="str">
        <x:v>Star Dependency Risk</x:v>
      </x:c>
      <x:c r="H4" s="64" t="str">
        <x:v>Replacement Gap Concern</x:v>
      </x:c>
      <x:c r="I4" s="64" t="str">
        <x:v>Tactical Edge Note</x:v>
      </x:c>
      <x:c r="J4" s="64" t="str">
        <x:v>Weakness Note</x:v>
      </x:c>
      <x:c r="K4" s="64" t="str">
        <x:v>Ceiling Note</x:v>
      </x:c>
      <x:c r="L4" s="64" t="str">
        <x:v>Squad Override</x:v>
      </x:c>
      <x:c r="M4" s="64" t="str">
        <x:v>Manager Override</x:v>
      </x:c>
      <x:c r="N4" s="64" t="str">
        <x:v>Tactical Override</x:v>
      </x:c>
      <x:c r="O4" s="64" t="str">
        <x:v>Approval Notes</x:v>
      </x:c>
    </x:row>
    <x:row r="5">
      <x:c r="A5" s="51" t="str">
        <x:v>A</x:v>
      </x:c>
      <x:c r="B5" s="51" t="str">
        <x:v>Czech Republic</x:v>
      </x:c>
      <x:c r="C5" s="71" t="str"/>
      <x:c r="D5" s="71" t="str"/>
      <x:c r="E5" s="71" t="str">
        <x:v>No</x:v>
      </x:c>
      <x:c r="F5" s="72" t="str"/>
      <x:c r="G5" s="72" t="str"/>
      <x:c r="H5" s="72" t="str"/>
      <x:c r="I5" s="71" t="str"/>
      <x:c r="J5" s="71" t="str"/>
      <x:c r="K5" s="71" t="str"/>
      <x:c r="L5" s="72" t="str"/>
      <x:c r="M5" s="72" t="str"/>
      <x:c r="N5" s="72" t="str"/>
      <x:c r="O5" s="51" t="str"/>
    </x:row>
    <x:row r="6">
      <x:c r="A6" s="51" t="str">
        <x:v>A</x:v>
      </x:c>
      <x:c r="B6" s="51" t="str">
        <x:v>Mexico</x:v>
      </x:c>
      <x:c r="C6" s="71" t="str"/>
      <x:c r="D6" s="71" t="str"/>
      <x:c r="E6" s="71" t="str">
        <x:v>No</x:v>
      </x:c>
      <x:c r="F6" s="72" t="str"/>
      <x:c r="G6" s="72" t="str"/>
      <x:c r="H6" s="72" t="str"/>
      <x:c r="I6" s="71" t="str"/>
      <x:c r="J6" s="71" t="str"/>
      <x:c r="K6" s="71" t="str"/>
      <x:c r="L6" s="72" t="str"/>
      <x:c r="M6" s="72" t="str"/>
      <x:c r="N6" s="72" t="str"/>
      <x:c r="O6" s="51" t="str"/>
    </x:row>
    <x:row r="7">
      <x:c r="A7" s="51" t="str">
        <x:v>A</x:v>
      </x:c>
      <x:c r="B7" s="51" t="str">
        <x:v>South Africa</x:v>
      </x:c>
      <x:c r="C7" s="71" t="str"/>
      <x:c r="D7" s="71" t="str"/>
      <x:c r="E7" s="71" t="str">
        <x:v>No</x:v>
      </x:c>
      <x:c r="F7" s="72" t="str"/>
      <x:c r="G7" s="72" t="str"/>
      <x:c r="H7" s="72" t="str"/>
      <x:c r="I7" s="71" t="str"/>
      <x:c r="J7" s="71" t="str"/>
      <x:c r="K7" s="71" t="str"/>
      <x:c r="L7" s="72" t="str"/>
      <x:c r="M7" s="72" t="str"/>
      <x:c r="N7" s="72" t="str"/>
      <x:c r="O7" s="51" t="str"/>
    </x:row>
    <x:row r="8">
      <x:c r="A8" s="51" t="str">
        <x:v>A</x:v>
      </x:c>
      <x:c r="B8" s="51" t="str">
        <x:v>South Korea</x:v>
      </x:c>
      <x:c r="C8" s="71" t="str"/>
      <x:c r="D8" s="71" t="str"/>
      <x:c r="E8" s="71" t="str">
        <x:v>No</x:v>
      </x:c>
      <x:c r="F8" s="72" t="str"/>
      <x:c r="G8" s="72" t="str"/>
      <x:c r="H8" s="72" t="str"/>
      <x:c r="I8" s="71" t="str"/>
      <x:c r="J8" s="71" t="str"/>
      <x:c r="K8" s="71" t="str"/>
      <x:c r="L8" s="72" t="str"/>
      <x:c r="M8" s="72" t="str"/>
      <x:c r="N8" s="72" t="str"/>
      <x:c r="O8" s="51" t="str"/>
    </x:row>
    <x:row r="9">
      <x:c r="A9" s="51" t="str">
        <x:v>B</x:v>
      </x:c>
      <x:c r="B9" s="51" t="str">
        <x:v>Bosnia &amp; Herzegovina</x:v>
      </x:c>
      <x:c r="C9" s="71" t="str"/>
      <x:c r="D9" s="71" t="str"/>
      <x:c r="E9" s="71" t="str">
        <x:v>No</x:v>
      </x:c>
      <x:c r="F9" s="72" t="str"/>
      <x:c r="G9" s="72" t="str"/>
      <x:c r="H9" s="72" t="str"/>
      <x:c r="I9" s="71" t="str"/>
      <x:c r="J9" s="71" t="str"/>
      <x:c r="K9" s="71" t="str"/>
      <x:c r="L9" s="72" t="str"/>
      <x:c r="M9" s="72" t="str"/>
      <x:c r="N9" s="72" t="str"/>
      <x:c r="O9" s="51" t="str"/>
    </x:row>
    <x:row r="10">
      <x:c r="A10" s="51" t="str">
        <x:v>B</x:v>
      </x:c>
      <x:c r="B10" s="51" t="str">
        <x:v>Canada</x:v>
      </x:c>
      <x:c r="C10" s="71" t="str"/>
      <x:c r="D10" s="71" t="str"/>
      <x:c r="E10" s="71" t="str">
        <x:v>No</x:v>
      </x:c>
      <x:c r="F10" s="72" t="str"/>
      <x:c r="G10" s="72" t="str"/>
      <x:c r="H10" s="72" t="str"/>
      <x:c r="I10" s="71" t="str"/>
      <x:c r="J10" s="71" t="str"/>
      <x:c r="K10" s="71" t="str"/>
      <x:c r="L10" s="72" t="str"/>
      <x:c r="M10" s="72" t="str"/>
      <x:c r="N10" s="72" t="str"/>
      <x:c r="O10" s="51" t="str"/>
    </x:row>
    <x:row r="11">
      <x:c r="A11" s="51" t="str">
        <x:v>B</x:v>
      </x:c>
      <x:c r="B11" s="51" t="str">
        <x:v>Qatar</x:v>
      </x:c>
      <x:c r="C11" s="71" t="str"/>
      <x:c r="D11" s="71" t="str"/>
      <x:c r="E11" s="71" t="str">
        <x:v>No</x:v>
      </x:c>
      <x:c r="F11" s="72" t="str"/>
      <x:c r="G11" s="72" t="str"/>
      <x:c r="H11" s="72" t="str"/>
      <x:c r="I11" s="71" t="str"/>
      <x:c r="J11" s="71" t="str"/>
      <x:c r="K11" s="71" t="str"/>
      <x:c r="L11" s="72" t="str"/>
      <x:c r="M11" s="72" t="str"/>
      <x:c r="N11" s="72" t="str"/>
      <x:c r="O11" s="51" t="str"/>
    </x:row>
    <x:row r="12">
      <x:c r="A12" s="51" t="str">
        <x:v>B</x:v>
      </x:c>
      <x:c r="B12" s="51" t="str">
        <x:v>Switzerland</x:v>
      </x:c>
      <x:c r="C12" s="71" t="str"/>
      <x:c r="D12" s="71" t="str"/>
      <x:c r="E12" s="71" t="str">
        <x:v>No</x:v>
      </x:c>
      <x:c r="F12" s="72" t="str"/>
      <x:c r="G12" s="72" t="str"/>
      <x:c r="H12" s="72" t="str"/>
      <x:c r="I12" s="71" t="str"/>
      <x:c r="J12" s="71" t="str"/>
      <x:c r="K12" s="71" t="str"/>
      <x:c r="L12" s="72" t="str"/>
      <x:c r="M12" s="72" t="str"/>
      <x:c r="N12" s="72" t="str"/>
      <x:c r="O12" s="51" t="str"/>
    </x:row>
    <x:row r="13">
      <x:c r="A13" s="51" t="str">
        <x:v>C</x:v>
      </x:c>
      <x:c r="B13" s="51" t="str">
        <x:v>Brazil</x:v>
      </x:c>
      <x:c r="C13" s="71" t="str"/>
      <x:c r="D13" s="71" t="str"/>
      <x:c r="E13" s="71" t="str">
        <x:v>No</x:v>
      </x:c>
      <x:c r="F13" s="72" t="str"/>
      <x:c r="G13" s="72" t="str"/>
      <x:c r="H13" s="72" t="str"/>
      <x:c r="I13" s="71" t="str"/>
      <x:c r="J13" s="71" t="str"/>
      <x:c r="K13" s="71" t="str"/>
      <x:c r="L13" s="72" t="str"/>
      <x:c r="M13" s="72" t="str"/>
      <x:c r="N13" s="72" t="str"/>
      <x:c r="O13" s="51" t="str"/>
    </x:row>
    <x:row r="14">
      <x:c r="A14" s="51" t="str">
        <x:v>C</x:v>
      </x:c>
      <x:c r="B14" s="51" t="str">
        <x:v>Haiti</x:v>
      </x:c>
      <x:c r="C14" s="71" t="str"/>
      <x:c r="D14" s="71" t="str"/>
      <x:c r="E14" s="71" t="str">
        <x:v>No</x:v>
      </x:c>
      <x:c r="F14" s="72" t="str"/>
      <x:c r="G14" s="72" t="str"/>
      <x:c r="H14" s="72" t="str"/>
      <x:c r="I14" s="71" t="str"/>
      <x:c r="J14" s="71" t="str"/>
      <x:c r="K14" s="71" t="str"/>
      <x:c r="L14" s="72" t="str"/>
      <x:c r="M14" s="72" t="str"/>
      <x:c r="N14" s="72" t="str"/>
      <x:c r="O14" s="51" t="str"/>
    </x:row>
    <x:row r="15">
      <x:c r="A15" s="51" t="str">
        <x:v>C</x:v>
      </x:c>
      <x:c r="B15" s="51" t="str">
        <x:v>Morocco</x:v>
      </x:c>
      <x:c r="C15" s="71" t="str"/>
      <x:c r="D15" s="71" t="str"/>
      <x:c r="E15" s="71" t="str">
        <x:v>No</x:v>
      </x:c>
      <x:c r="F15" s="72" t="str"/>
      <x:c r="G15" s="72" t="str"/>
      <x:c r="H15" s="72" t="str"/>
      <x:c r="I15" s="71" t="str"/>
      <x:c r="J15" s="71" t="str"/>
      <x:c r="K15" s="71" t="str"/>
      <x:c r="L15" s="72" t="str"/>
      <x:c r="M15" s="72" t="str"/>
      <x:c r="N15" s="72" t="str"/>
      <x:c r="O15" s="51" t="str"/>
    </x:row>
    <x:row r="16">
      <x:c r="A16" s="51" t="str">
        <x:v>C</x:v>
      </x:c>
      <x:c r="B16" s="51" t="str">
        <x:v>Scotland</x:v>
      </x:c>
      <x:c r="C16" s="71" t="str"/>
      <x:c r="D16" s="71" t="str"/>
      <x:c r="E16" s="71" t="str">
        <x:v>No</x:v>
      </x:c>
      <x:c r="F16" s="72" t="str"/>
      <x:c r="G16" s="72" t="str"/>
      <x:c r="H16" s="72" t="str"/>
      <x:c r="I16" s="71" t="str"/>
      <x:c r="J16" s="71" t="str"/>
      <x:c r="K16" s="71" t="str"/>
      <x:c r="L16" s="72" t="str"/>
      <x:c r="M16" s="72" t="str"/>
      <x:c r="N16" s="72" t="str"/>
      <x:c r="O16" s="51" t="str"/>
    </x:row>
    <x:row r="17">
      <x:c r="A17" s="51" t="str">
        <x:v>D</x:v>
      </x:c>
      <x:c r="B17" s="51" t="str">
        <x:v>Australia</x:v>
      </x:c>
      <x:c r="C17" s="71" t="str"/>
      <x:c r="D17" s="71" t="str"/>
      <x:c r="E17" s="71" t="str">
        <x:v>No</x:v>
      </x:c>
      <x:c r="F17" s="72" t="str"/>
      <x:c r="G17" s="72" t="str"/>
      <x:c r="H17" s="72" t="str"/>
      <x:c r="I17" s="71" t="str"/>
      <x:c r="J17" s="71" t="str"/>
      <x:c r="K17" s="71" t="str"/>
      <x:c r="L17" s="72" t="str"/>
      <x:c r="M17" s="72" t="str"/>
      <x:c r="N17" s="72" t="str"/>
      <x:c r="O17" s="51" t="str"/>
    </x:row>
    <x:row r="18">
      <x:c r="A18" s="51" t="str">
        <x:v>D</x:v>
      </x:c>
      <x:c r="B18" s="51" t="str">
        <x:v>Paraguay</x:v>
      </x:c>
      <x:c r="C18" s="71" t="str"/>
      <x:c r="D18" s="71" t="str"/>
      <x:c r="E18" s="71" t="str">
        <x:v>No</x:v>
      </x:c>
      <x:c r="F18" s="72" t="str"/>
      <x:c r="G18" s="72" t="str"/>
      <x:c r="H18" s="72" t="str"/>
      <x:c r="I18" s="71" t="str"/>
      <x:c r="J18" s="71" t="str"/>
      <x:c r="K18" s="71" t="str"/>
      <x:c r="L18" s="72" t="str"/>
      <x:c r="M18" s="72" t="str"/>
      <x:c r="N18" s="72" t="str"/>
      <x:c r="O18" s="51" t="str"/>
    </x:row>
    <x:row r="19">
      <x:c r="A19" s="51" t="str">
        <x:v>D</x:v>
      </x:c>
      <x:c r="B19" s="51" t="str">
        <x:v>Turkey</x:v>
      </x:c>
      <x:c r="C19" s="71" t="str"/>
      <x:c r="D19" s="71" t="str"/>
      <x:c r="E19" s="71" t="str">
        <x:v>No</x:v>
      </x:c>
      <x:c r="F19" s="72" t="str"/>
      <x:c r="G19" s="72" t="str"/>
      <x:c r="H19" s="72" t="str"/>
      <x:c r="I19" s="71" t="str"/>
      <x:c r="J19" s="71" t="str"/>
      <x:c r="K19" s="71" t="str"/>
      <x:c r="L19" s="72" t="str"/>
      <x:c r="M19" s="72" t="str"/>
      <x:c r="N19" s="72" t="str"/>
      <x:c r="O19" s="51" t="str"/>
    </x:row>
    <x:row r="20">
      <x:c r="A20" s="51" t="str">
        <x:v>D</x:v>
      </x:c>
      <x:c r="B20" s="51" t="str">
        <x:v>USA</x:v>
      </x:c>
      <x:c r="C20" s="71" t="str"/>
      <x:c r="D20" s="71" t="str"/>
      <x:c r="E20" s="71" t="str">
        <x:v>No</x:v>
      </x:c>
      <x:c r="F20" s="72" t="str"/>
      <x:c r="G20" s="72" t="str"/>
      <x:c r="H20" s="72" t="str"/>
      <x:c r="I20" s="71" t="str"/>
      <x:c r="J20" s="71" t="str"/>
      <x:c r="K20" s="71" t="str"/>
      <x:c r="L20" s="72" t="str"/>
      <x:c r="M20" s="72" t="str"/>
      <x:c r="N20" s="72" t="str"/>
      <x:c r="O20" s="51" t="str"/>
    </x:row>
    <x:row r="21">
      <x:c r="A21" s="51" t="str">
        <x:v>E</x:v>
      </x:c>
      <x:c r="B21" s="51" t="str">
        <x:v>Curaçao</x:v>
      </x:c>
      <x:c r="C21" s="71" t="str"/>
      <x:c r="D21" s="71" t="str"/>
      <x:c r="E21" s="71" t="str">
        <x:v>No</x:v>
      </x:c>
      <x:c r="F21" s="72" t="str"/>
      <x:c r="G21" s="72" t="str"/>
      <x:c r="H21" s="72" t="str"/>
      <x:c r="I21" s="71" t="str"/>
      <x:c r="J21" s="71" t="str"/>
      <x:c r="K21" s="71" t="str"/>
      <x:c r="L21" s="72" t="str"/>
      <x:c r="M21" s="72" t="str"/>
      <x:c r="N21" s="72" t="str"/>
      <x:c r="O21" s="51" t="str"/>
    </x:row>
    <x:row r="22">
      <x:c r="A22" s="51" t="str">
        <x:v>E</x:v>
      </x:c>
      <x:c r="B22" s="51" t="str">
        <x:v>Ecuador</x:v>
      </x:c>
      <x:c r="C22" s="71" t="str"/>
      <x:c r="D22" s="71" t="str"/>
      <x:c r="E22" s="71" t="str">
        <x:v>No</x:v>
      </x:c>
      <x:c r="F22" s="72" t="str"/>
      <x:c r="G22" s="72" t="str"/>
      <x:c r="H22" s="72" t="str"/>
      <x:c r="I22" s="71" t="str"/>
      <x:c r="J22" s="71" t="str"/>
      <x:c r="K22" s="71" t="str"/>
      <x:c r="L22" s="72" t="str"/>
      <x:c r="M22" s="72" t="str"/>
      <x:c r="N22" s="72" t="str"/>
      <x:c r="O22" s="51" t="str"/>
    </x:row>
    <x:row r="23">
      <x:c r="A23" s="51" t="str">
        <x:v>E</x:v>
      </x:c>
      <x:c r="B23" s="51" t="str">
        <x:v>Germany</x:v>
      </x:c>
      <x:c r="C23" s="71" t="str"/>
      <x:c r="D23" s="71" t="str"/>
      <x:c r="E23" s="71" t="str">
        <x:v>No</x:v>
      </x:c>
      <x:c r="F23" s="72" t="str"/>
      <x:c r="G23" s="72" t="str"/>
      <x:c r="H23" s="72" t="str"/>
      <x:c r="I23" s="71" t="str"/>
      <x:c r="J23" s="71" t="str"/>
      <x:c r="K23" s="71" t="str"/>
      <x:c r="L23" s="72" t="str"/>
      <x:c r="M23" s="72" t="str"/>
      <x:c r="N23" s="72" t="str"/>
      <x:c r="O23" s="51" t="str"/>
    </x:row>
    <x:row r="24">
      <x:c r="A24" s="51" t="str">
        <x:v>E</x:v>
      </x:c>
      <x:c r="B24" s="51" t="str">
        <x:v>Ivory Coast</x:v>
      </x:c>
      <x:c r="C24" s="71" t="str"/>
      <x:c r="D24" s="71" t="str"/>
      <x:c r="E24" s="71" t="str">
        <x:v>No</x:v>
      </x:c>
      <x:c r="F24" s="72" t="str"/>
      <x:c r="G24" s="72" t="str"/>
      <x:c r="H24" s="72" t="str"/>
      <x:c r="I24" s="71" t="str"/>
      <x:c r="J24" s="71" t="str"/>
      <x:c r="K24" s="71" t="str"/>
      <x:c r="L24" s="72" t="str"/>
      <x:c r="M24" s="72" t="str"/>
      <x:c r="N24" s="72" t="str"/>
      <x:c r="O24" s="51" t="str"/>
    </x:row>
    <x:row r="25">
      <x:c r="A25" s="51" t="str">
        <x:v>F</x:v>
      </x:c>
      <x:c r="B25" s="51" t="str">
        <x:v>Japan</x:v>
      </x:c>
      <x:c r="C25" s="71" t="str"/>
      <x:c r="D25" s="71" t="str"/>
      <x:c r="E25" s="71" t="str">
        <x:v>No</x:v>
      </x:c>
      <x:c r="F25" s="72" t="str"/>
      <x:c r="G25" s="72" t="str"/>
      <x:c r="H25" s="72" t="str"/>
      <x:c r="I25" s="71" t="str"/>
      <x:c r="J25" s="71" t="str"/>
      <x:c r="K25" s="71" t="str"/>
      <x:c r="L25" s="72" t="str"/>
      <x:c r="M25" s="72" t="str"/>
      <x:c r="N25" s="72" t="str"/>
      <x:c r="O25" s="51" t="str"/>
    </x:row>
    <x:row r="26">
      <x:c r="A26" s="51" t="str">
        <x:v>F</x:v>
      </x:c>
      <x:c r="B26" s="51" t="str">
        <x:v>Netherlands</x:v>
      </x:c>
      <x:c r="C26" s="71" t="str"/>
      <x:c r="D26" s="71" t="str"/>
      <x:c r="E26" s="71" t="str">
        <x:v>No</x:v>
      </x:c>
      <x:c r="F26" s="72" t="str"/>
      <x:c r="G26" s="72" t="str"/>
      <x:c r="H26" s="72" t="str"/>
      <x:c r="I26" s="71" t="str"/>
      <x:c r="J26" s="71" t="str"/>
      <x:c r="K26" s="71" t="str"/>
      <x:c r="L26" s="72" t="str"/>
      <x:c r="M26" s="72" t="str"/>
      <x:c r="N26" s="72" t="str"/>
      <x:c r="O26" s="51" t="str"/>
    </x:row>
    <x:row r="27">
      <x:c r="A27" s="51" t="str">
        <x:v>F</x:v>
      </x:c>
      <x:c r="B27" s="51" t="str">
        <x:v>Sweden</x:v>
      </x:c>
      <x:c r="C27" s="71" t="str"/>
      <x:c r="D27" s="71" t="str"/>
      <x:c r="E27" s="71" t="str">
        <x:v>No</x:v>
      </x:c>
      <x:c r="F27" s="72" t="str"/>
      <x:c r="G27" s="72" t="str"/>
      <x:c r="H27" s="72" t="str"/>
      <x:c r="I27" s="71" t="str"/>
      <x:c r="J27" s="71" t="str"/>
      <x:c r="K27" s="71" t="str"/>
      <x:c r="L27" s="72" t="str"/>
      <x:c r="M27" s="72" t="str"/>
      <x:c r="N27" s="72" t="str"/>
      <x:c r="O27" s="51" t="str"/>
    </x:row>
    <x:row r="28">
      <x:c r="A28" s="51" t="str">
        <x:v>F</x:v>
      </x:c>
      <x:c r="B28" s="51" t="str">
        <x:v>Tunisia</x:v>
      </x:c>
      <x:c r="C28" s="71" t="str"/>
      <x:c r="D28" s="71" t="str"/>
      <x:c r="E28" s="71" t="str">
        <x:v>No</x:v>
      </x:c>
      <x:c r="F28" s="72" t="str"/>
      <x:c r="G28" s="72" t="str"/>
      <x:c r="H28" s="72" t="str"/>
      <x:c r="I28" s="71" t="str"/>
      <x:c r="J28" s="71" t="str"/>
      <x:c r="K28" s="71" t="str"/>
      <x:c r="L28" s="72" t="str"/>
      <x:c r="M28" s="72" t="str"/>
      <x:c r="N28" s="72" t="str"/>
      <x:c r="O28" s="51" t="str"/>
    </x:row>
    <x:row r="29">
      <x:c r="A29" s="51" t="str">
        <x:v>G</x:v>
      </x:c>
      <x:c r="B29" s="51" t="str">
        <x:v>Belgium</x:v>
      </x:c>
      <x:c r="C29" s="71" t="str"/>
      <x:c r="D29" s="71" t="str"/>
      <x:c r="E29" s="71" t="str">
        <x:v>No</x:v>
      </x:c>
      <x:c r="F29" s="72" t="str"/>
      <x:c r="G29" s="72" t="str"/>
      <x:c r="H29" s="72" t="str"/>
      <x:c r="I29" s="71" t="str"/>
      <x:c r="J29" s="71" t="str"/>
      <x:c r="K29" s="71" t="str"/>
      <x:c r="L29" s="72" t="str"/>
      <x:c r="M29" s="72" t="str"/>
      <x:c r="N29" s="72" t="str"/>
      <x:c r="O29" s="51" t="str"/>
    </x:row>
    <x:row r="30">
      <x:c r="A30" s="51" t="str">
        <x:v>G</x:v>
      </x:c>
      <x:c r="B30" s="51" t="str">
        <x:v>Egypt</x:v>
      </x:c>
      <x:c r="C30" s="71" t="str"/>
      <x:c r="D30" s="71" t="str"/>
      <x:c r="E30" s="71" t="str">
        <x:v>No</x:v>
      </x:c>
      <x:c r="F30" s="72" t="str"/>
      <x:c r="G30" s="72" t="str"/>
      <x:c r="H30" s="72" t="str"/>
      <x:c r="I30" s="71" t="str"/>
      <x:c r="J30" s="71" t="str"/>
      <x:c r="K30" s="71" t="str"/>
      <x:c r="L30" s="72" t="str"/>
      <x:c r="M30" s="72" t="str"/>
      <x:c r="N30" s="72" t="str"/>
      <x:c r="O30" s="51" t="str"/>
    </x:row>
    <x:row r="31">
      <x:c r="A31" s="51" t="str">
        <x:v>G</x:v>
      </x:c>
      <x:c r="B31" s="51" t="str">
        <x:v>Iran</x:v>
      </x:c>
      <x:c r="C31" s="71" t="str"/>
      <x:c r="D31" s="71" t="str"/>
      <x:c r="E31" s="71" t="str">
        <x:v>No</x:v>
      </x:c>
      <x:c r="F31" s="72" t="str"/>
      <x:c r="G31" s="72" t="str"/>
      <x:c r="H31" s="72" t="str"/>
      <x:c r="I31" s="71" t="str"/>
      <x:c r="J31" s="71" t="str"/>
      <x:c r="K31" s="71" t="str"/>
      <x:c r="L31" s="72" t="str"/>
      <x:c r="M31" s="72" t="str"/>
      <x:c r="N31" s="72" t="str"/>
      <x:c r="O31" s="51" t="str"/>
    </x:row>
    <x:row r="32">
      <x:c r="A32" s="51" t="str">
        <x:v>G</x:v>
      </x:c>
      <x:c r="B32" s="51" t="str">
        <x:v>New Zealand</x:v>
      </x:c>
      <x:c r="C32" s="71" t="str"/>
      <x:c r="D32" s="71" t="str"/>
      <x:c r="E32" s="71" t="str">
        <x:v>No</x:v>
      </x:c>
      <x:c r="F32" s="72" t="str"/>
      <x:c r="G32" s="72" t="str"/>
      <x:c r="H32" s="72" t="str"/>
      <x:c r="I32" s="71" t="str"/>
      <x:c r="J32" s="71" t="str"/>
      <x:c r="K32" s="71" t="str"/>
      <x:c r="L32" s="72" t="str"/>
      <x:c r="M32" s="72" t="str"/>
      <x:c r="N32" s="72" t="str"/>
      <x:c r="O32" s="51" t="str"/>
    </x:row>
    <x:row r="33">
      <x:c r="A33" s="51" t="str">
        <x:v>H</x:v>
      </x:c>
      <x:c r="B33" s="51" t="str">
        <x:v>Cape Verde</x:v>
      </x:c>
      <x:c r="C33" s="71" t="str"/>
      <x:c r="D33" s="71" t="str"/>
      <x:c r="E33" s="71" t="str">
        <x:v>No</x:v>
      </x:c>
      <x:c r="F33" s="72" t="str"/>
      <x:c r="G33" s="72" t="str"/>
      <x:c r="H33" s="72" t="str"/>
      <x:c r="I33" s="71" t="str"/>
      <x:c r="J33" s="71" t="str"/>
      <x:c r="K33" s="71" t="str"/>
      <x:c r="L33" s="72" t="str"/>
      <x:c r="M33" s="72" t="str"/>
      <x:c r="N33" s="72" t="str"/>
      <x:c r="O33" s="51" t="str"/>
    </x:row>
    <x:row r="34">
      <x:c r="A34" s="51" t="str">
        <x:v>H</x:v>
      </x:c>
      <x:c r="B34" s="51" t="str">
        <x:v>Saudi Arabia</x:v>
      </x:c>
      <x:c r="C34" s="71" t="str"/>
      <x:c r="D34" s="71" t="str"/>
      <x:c r="E34" s="71" t="str">
        <x:v>No</x:v>
      </x:c>
      <x:c r="F34" s="72" t="str"/>
      <x:c r="G34" s="72" t="str"/>
      <x:c r="H34" s="72" t="str"/>
      <x:c r="I34" s="71" t="str"/>
      <x:c r="J34" s="71" t="str"/>
      <x:c r="K34" s="71" t="str"/>
      <x:c r="L34" s="72" t="str"/>
      <x:c r="M34" s="72" t="str"/>
      <x:c r="N34" s="72" t="str"/>
      <x:c r="O34" s="51" t="str"/>
    </x:row>
    <x:row r="35">
      <x:c r="A35" s="51" t="str">
        <x:v>H</x:v>
      </x:c>
      <x:c r="B35" s="51" t="str">
        <x:v>Spain</x:v>
      </x:c>
      <x:c r="C35" s="71" t="str"/>
      <x:c r="D35" s="71" t="str"/>
      <x:c r="E35" s="71" t="str">
        <x:v>No</x:v>
      </x:c>
      <x:c r="F35" s="72" t="str"/>
      <x:c r="G35" s="72" t="str"/>
      <x:c r="H35" s="72" t="str"/>
      <x:c r="I35" s="71" t="str"/>
      <x:c r="J35" s="71" t="str"/>
      <x:c r="K35" s="71" t="str"/>
      <x:c r="L35" s="72" t="str"/>
      <x:c r="M35" s="72" t="str"/>
      <x:c r="N35" s="72" t="str"/>
      <x:c r="O35" s="51" t="str"/>
    </x:row>
    <x:row r="36">
      <x:c r="A36" s="51" t="str">
        <x:v>H</x:v>
      </x:c>
      <x:c r="B36" s="51" t="str">
        <x:v>Uruguay</x:v>
      </x:c>
      <x:c r="C36" s="71" t="str"/>
      <x:c r="D36" s="71" t="str"/>
      <x:c r="E36" s="71" t="str">
        <x:v>No</x:v>
      </x:c>
      <x:c r="F36" s="72" t="str"/>
      <x:c r="G36" s="72" t="str"/>
      <x:c r="H36" s="72" t="str"/>
      <x:c r="I36" s="71" t="str"/>
      <x:c r="J36" s="71" t="str"/>
      <x:c r="K36" s="71" t="str"/>
      <x:c r="L36" s="72" t="str"/>
      <x:c r="M36" s="72" t="str"/>
      <x:c r="N36" s="72" t="str"/>
      <x:c r="O36" s="51" t="str"/>
    </x:row>
    <x:row r="37">
      <x:c r="A37" s="51" t="str">
        <x:v>I</x:v>
      </x:c>
      <x:c r="B37" s="51" t="str">
        <x:v>France</x:v>
      </x:c>
      <x:c r="C37" s="71" t="str"/>
      <x:c r="D37" s="71" t="str"/>
      <x:c r="E37" s="71" t="str">
        <x:v>No</x:v>
      </x:c>
      <x:c r="F37" s="72" t="str"/>
      <x:c r="G37" s="72" t="str"/>
      <x:c r="H37" s="72" t="str"/>
      <x:c r="I37" s="71" t="str"/>
      <x:c r="J37" s="71" t="str"/>
      <x:c r="K37" s="71" t="str"/>
      <x:c r="L37" s="72" t="str"/>
      <x:c r="M37" s="72" t="str"/>
      <x:c r="N37" s="72" t="str"/>
      <x:c r="O37" s="51" t="str"/>
    </x:row>
    <x:row r="38">
      <x:c r="A38" s="51" t="str">
        <x:v>I</x:v>
      </x:c>
      <x:c r="B38" s="51" t="str">
        <x:v>Iraq</x:v>
      </x:c>
      <x:c r="C38" s="71" t="str"/>
      <x:c r="D38" s="71" t="str"/>
      <x:c r="E38" s="71" t="str">
        <x:v>No</x:v>
      </x:c>
      <x:c r="F38" s="72" t="str"/>
      <x:c r="G38" s="72" t="str"/>
      <x:c r="H38" s="72" t="str"/>
      <x:c r="I38" s="71" t="str"/>
      <x:c r="J38" s="71" t="str"/>
      <x:c r="K38" s="71" t="str"/>
      <x:c r="L38" s="72" t="str"/>
      <x:c r="M38" s="72" t="str"/>
      <x:c r="N38" s="72" t="str"/>
      <x:c r="O38" s="51" t="str"/>
    </x:row>
    <x:row r="39">
      <x:c r="A39" s="51" t="str">
        <x:v>I</x:v>
      </x:c>
      <x:c r="B39" s="51" t="str">
        <x:v>Norway</x:v>
      </x:c>
      <x:c r="C39" s="71" t="str"/>
      <x:c r="D39" s="71" t="str"/>
      <x:c r="E39" s="71" t="str">
        <x:v>No</x:v>
      </x:c>
      <x:c r="F39" s="72" t="str"/>
      <x:c r="G39" s="72" t="str"/>
      <x:c r="H39" s="72" t="str"/>
      <x:c r="I39" s="71" t="str"/>
      <x:c r="J39" s="71" t="str"/>
      <x:c r="K39" s="71" t="str"/>
      <x:c r="L39" s="72" t="str"/>
      <x:c r="M39" s="72" t="str"/>
      <x:c r="N39" s="72" t="str"/>
      <x:c r="O39" s="51" t="str"/>
    </x:row>
    <x:row r="40">
      <x:c r="A40" s="51" t="str">
        <x:v>I</x:v>
      </x:c>
      <x:c r="B40" s="51" t="str">
        <x:v>Senegal</x:v>
      </x:c>
      <x:c r="C40" s="71" t="str"/>
      <x:c r="D40" s="71" t="str"/>
      <x:c r="E40" s="71" t="str">
        <x:v>No</x:v>
      </x:c>
      <x:c r="F40" s="72" t="str"/>
      <x:c r="G40" s="72" t="str"/>
      <x:c r="H40" s="72" t="str"/>
      <x:c r="I40" s="71" t="str"/>
      <x:c r="J40" s="71" t="str"/>
      <x:c r="K40" s="71" t="str"/>
      <x:c r="L40" s="72" t="str"/>
      <x:c r="M40" s="72" t="str"/>
      <x:c r="N40" s="72" t="str"/>
      <x:c r="O40" s="51" t="str"/>
    </x:row>
    <x:row r="41">
      <x:c r="A41" s="51" t="str">
        <x:v>J</x:v>
      </x:c>
      <x:c r="B41" s="51" t="str">
        <x:v>Algeria</x:v>
      </x:c>
      <x:c r="C41" s="71" t="str"/>
      <x:c r="D41" s="71" t="str"/>
      <x:c r="E41" s="71" t="str">
        <x:v>No</x:v>
      </x:c>
      <x:c r="F41" s="72" t="str"/>
      <x:c r="G41" s="72" t="str"/>
      <x:c r="H41" s="72" t="str"/>
      <x:c r="I41" s="71" t="str"/>
      <x:c r="J41" s="71" t="str"/>
      <x:c r="K41" s="71" t="str"/>
      <x:c r="L41" s="72" t="str"/>
      <x:c r="M41" s="72" t="str"/>
      <x:c r="N41" s="72" t="str"/>
      <x:c r="O41" s="51" t="str"/>
    </x:row>
    <x:row r="42">
      <x:c r="A42" s="51" t="str">
        <x:v>J</x:v>
      </x:c>
      <x:c r="B42" s="51" t="str">
        <x:v>Argentina</x:v>
      </x:c>
      <x:c r="C42" s="71" t="str"/>
      <x:c r="D42" s="71" t="str"/>
      <x:c r="E42" s="71" t="str">
        <x:v>No</x:v>
      </x:c>
      <x:c r="F42" s="72" t="str"/>
      <x:c r="G42" s="72" t="str"/>
      <x:c r="H42" s="72" t="str"/>
      <x:c r="I42" s="71" t="str"/>
      <x:c r="J42" s="71" t="str"/>
      <x:c r="K42" s="71" t="str"/>
      <x:c r="L42" s="72" t="str"/>
      <x:c r="M42" s="72" t="str"/>
      <x:c r="N42" s="72" t="str"/>
      <x:c r="O42" s="51" t="str"/>
    </x:row>
    <x:row r="43">
      <x:c r="A43" s="51" t="str">
        <x:v>J</x:v>
      </x:c>
      <x:c r="B43" s="51" t="str">
        <x:v>Austria</x:v>
      </x:c>
      <x:c r="C43" s="71" t="str"/>
      <x:c r="D43" s="71" t="str"/>
      <x:c r="E43" s="71" t="str">
        <x:v>No</x:v>
      </x:c>
      <x:c r="F43" s="72" t="str"/>
      <x:c r="G43" s="72" t="str"/>
      <x:c r="H43" s="72" t="str"/>
      <x:c r="I43" s="71" t="str"/>
      <x:c r="J43" s="71" t="str"/>
      <x:c r="K43" s="71" t="str"/>
      <x:c r="L43" s="72" t="str"/>
      <x:c r="M43" s="72" t="str"/>
      <x:c r="N43" s="72" t="str"/>
      <x:c r="O43" s="51" t="str"/>
    </x:row>
    <x:row r="44">
      <x:c r="A44" s="51" t="str">
        <x:v>J</x:v>
      </x:c>
      <x:c r="B44" s="51" t="str">
        <x:v>Jordan</x:v>
      </x:c>
      <x:c r="C44" s="71" t="str"/>
      <x:c r="D44" s="71" t="str"/>
      <x:c r="E44" s="71" t="str">
        <x:v>No</x:v>
      </x:c>
      <x:c r="F44" s="72" t="str"/>
      <x:c r="G44" s="72" t="str"/>
      <x:c r="H44" s="72" t="str"/>
      <x:c r="I44" s="71" t="str"/>
      <x:c r="J44" s="71" t="str"/>
      <x:c r="K44" s="71" t="str"/>
      <x:c r="L44" s="72" t="str"/>
      <x:c r="M44" s="72" t="str"/>
      <x:c r="N44" s="72" t="str"/>
      <x:c r="O44" s="51" t="str"/>
    </x:row>
    <x:row r="45">
      <x:c r="A45" s="51" t="str">
        <x:v>K</x:v>
      </x:c>
      <x:c r="B45" s="51" t="str">
        <x:v>Colombia</x:v>
      </x:c>
      <x:c r="C45" s="71" t="str"/>
      <x:c r="D45" s="71" t="str"/>
      <x:c r="E45" s="71" t="str">
        <x:v>No</x:v>
      </x:c>
      <x:c r="F45" s="72" t="str"/>
      <x:c r="G45" s="72" t="str"/>
      <x:c r="H45" s="72" t="str"/>
      <x:c r="I45" s="71" t="str"/>
      <x:c r="J45" s="71" t="str"/>
      <x:c r="K45" s="71" t="str"/>
      <x:c r="L45" s="72" t="str"/>
      <x:c r="M45" s="72" t="str"/>
      <x:c r="N45" s="72" t="str"/>
      <x:c r="O45" s="51" t="str"/>
    </x:row>
    <x:row r="46">
      <x:c r="A46" s="51" t="str">
        <x:v>K</x:v>
      </x:c>
      <x:c r="B46" s="51" t="str">
        <x:v>DR Congo</x:v>
      </x:c>
      <x:c r="C46" s="71" t="str"/>
      <x:c r="D46" s="71" t="str"/>
      <x:c r="E46" s="71" t="str">
        <x:v>No</x:v>
      </x:c>
      <x:c r="F46" s="72" t="str"/>
      <x:c r="G46" s="72" t="str"/>
      <x:c r="H46" s="72" t="str"/>
      <x:c r="I46" s="71" t="str"/>
      <x:c r="J46" s="71" t="str"/>
      <x:c r="K46" s="71" t="str"/>
      <x:c r="L46" s="72" t="str"/>
      <x:c r="M46" s="72" t="str"/>
      <x:c r="N46" s="72" t="str"/>
      <x:c r="O46" s="51" t="str"/>
    </x:row>
    <x:row r="47">
      <x:c r="A47" s="51" t="str">
        <x:v>K</x:v>
      </x:c>
      <x:c r="B47" s="51" t="str">
        <x:v>Portugal</x:v>
      </x:c>
      <x:c r="C47" s="71" t="str"/>
      <x:c r="D47" s="71" t="str"/>
      <x:c r="E47" s="71" t="str">
        <x:v>No</x:v>
      </x:c>
      <x:c r="F47" s="72" t="str"/>
      <x:c r="G47" s="72" t="str"/>
      <x:c r="H47" s="72" t="str"/>
      <x:c r="I47" s="71" t="str"/>
      <x:c r="J47" s="71" t="str"/>
      <x:c r="K47" s="71" t="str"/>
      <x:c r="L47" s="72" t="str"/>
      <x:c r="M47" s="72" t="str"/>
      <x:c r="N47" s="72" t="str"/>
      <x:c r="O47" s="51" t="str"/>
    </x:row>
    <x:row r="48">
      <x:c r="A48" s="51" t="str">
        <x:v>K</x:v>
      </x:c>
      <x:c r="B48" s="51" t="str">
        <x:v>Uzbekistan</x:v>
      </x:c>
      <x:c r="C48" s="71" t="str"/>
      <x:c r="D48" s="71" t="str"/>
      <x:c r="E48" s="71" t="str">
        <x:v>No</x:v>
      </x:c>
      <x:c r="F48" s="72" t="str"/>
      <x:c r="G48" s="72" t="str"/>
      <x:c r="H48" s="72" t="str"/>
      <x:c r="I48" s="71" t="str"/>
      <x:c r="J48" s="71" t="str"/>
      <x:c r="K48" s="71" t="str"/>
      <x:c r="L48" s="72" t="str"/>
      <x:c r="M48" s="72" t="str"/>
      <x:c r="N48" s="72" t="str"/>
      <x:c r="O48" s="51" t="str"/>
    </x:row>
    <x:row r="49">
      <x:c r="A49" s="51" t="str">
        <x:v>L</x:v>
      </x:c>
      <x:c r="B49" s="51" t="str">
        <x:v>Croatia</x:v>
      </x:c>
      <x:c r="C49" s="71" t="str"/>
      <x:c r="D49" s="71" t="str"/>
      <x:c r="E49" s="71" t="str">
        <x:v>No</x:v>
      </x:c>
      <x:c r="F49" s="72" t="str"/>
      <x:c r="G49" s="72" t="str"/>
      <x:c r="H49" s="72" t="str"/>
      <x:c r="I49" s="71" t="str"/>
      <x:c r="J49" s="71" t="str"/>
      <x:c r="K49" s="71" t="str"/>
      <x:c r="L49" s="72" t="str"/>
      <x:c r="M49" s="72" t="str"/>
      <x:c r="N49" s="72" t="str"/>
      <x:c r="O49" s="51" t="str"/>
    </x:row>
    <x:row r="50">
      <x:c r="A50" s="51" t="str">
        <x:v>L</x:v>
      </x:c>
      <x:c r="B50" s="51" t="str">
        <x:v>England</x:v>
      </x:c>
      <x:c r="C50" s="71" t="str"/>
      <x:c r="D50" s="71" t="str"/>
      <x:c r="E50" s="71" t="str">
        <x:v>No</x:v>
      </x:c>
      <x:c r="F50" s="72" t="str"/>
      <x:c r="G50" s="72" t="str"/>
      <x:c r="H50" s="72" t="str"/>
      <x:c r="I50" s="71" t="str"/>
      <x:c r="J50" s="71" t="str"/>
      <x:c r="K50" s="71" t="str"/>
      <x:c r="L50" s="72" t="str"/>
      <x:c r="M50" s="72" t="str"/>
      <x:c r="N50" s="72" t="str"/>
      <x:c r="O50" s="51" t="str"/>
    </x:row>
    <x:row r="51">
      <x:c r="A51" s="51" t="str">
        <x:v>L</x:v>
      </x:c>
      <x:c r="B51" s="51" t="str">
        <x:v>Ghana</x:v>
      </x:c>
      <x:c r="C51" s="71" t="str"/>
      <x:c r="D51" s="71" t="str"/>
      <x:c r="E51" s="71" t="str">
        <x:v>No</x:v>
      </x:c>
      <x:c r="F51" s="72" t="str"/>
      <x:c r="G51" s="72" t="str"/>
      <x:c r="H51" s="72" t="str"/>
      <x:c r="I51" s="71" t="str"/>
      <x:c r="J51" s="71" t="str"/>
      <x:c r="K51" s="71" t="str"/>
      <x:c r="L51" s="72" t="str"/>
      <x:c r="M51" s="72" t="str"/>
      <x:c r="N51" s="72" t="str"/>
      <x:c r="O51" s="51" t="str"/>
    </x:row>
    <x:row r="52">
      <x:c r="A52" s="51" t="str">
        <x:v>L</x:v>
      </x:c>
      <x:c r="B52" s="51" t="str">
        <x:v>Panama</x:v>
      </x:c>
      <x:c r="C52" s="71" t="str"/>
      <x:c r="D52" s="71" t="str"/>
      <x:c r="E52" s="71" t="str">
        <x:v>No</x:v>
      </x:c>
      <x:c r="F52" s="72" t="str"/>
      <x:c r="G52" s="72" t="str"/>
      <x:c r="H52" s="72" t="str"/>
      <x:c r="I52" s="71" t="str"/>
      <x:c r="J52" s="71" t="str"/>
      <x:c r="K52" s="71" t="str"/>
      <x:c r="L52" s="72" t="str"/>
      <x:c r="M52" s="72" t="str"/>
      <x:c r="N52" s="72" t="str"/>
      <x:c r="O52" s="51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1bb0c58dd6544f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8.329999923706055" hidden="0" customWidth="1"/>
    <x:col min="3" max="3" width="18.889999389648438" hidden="0" customWidth="1"/>
    <x:col min="4" max="4" width="27.780000686645508" hidden="0" customWidth="1"/>
    <x:col min="5" max="5" width="16.110000610351562" hidden="0" customWidth="1"/>
    <x:col min="6" max="6" width="16.110000610351562" hidden="0" customWidth="1"/>
    <x:col min="7" max="7" width="16.110000610351562" hidden="0" customWidth="1"/>
    <x:col min="8" max="8" width="18.329999923706055" hidden="0" customWidth="1"/>
    <x:col min="9" max="9" width="19.440000534057617" hidden="0" customWidth="1"/>
    <x:col min="10" max="10" width="23.329999923706055" hidden="0" customWidth="1"/>
    <x:col min="11" max="11" width="57.779998779296875" hidden="0" customWidth="1"/>
    <x:col min="12" max="12" width="18.889999389648438" hidden="0" customWidth="1"/>
    <x:col min="13" max="13" width="18.329999923706055" hidden="0" customWidth="1"/>
    <x:col min="14" max="14" width="16.110000610351562" hidden="0" customWidth="1"/>
    <x:col min="15" max="15" width="16.670000076293945" hidden="0" customWidth="1"/>
  </x:cols>
  <x:sheetData>
    <x:row r="1" ht="25.5" customHeight="1">
      <x:c r="A1" s="47" t="str">
        <x:v>Model Ready Profiles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6" customHeight="1">
      <x:c r="A2" s="49" t="str">
        <x:v>The first 11 columns mirror data/inputs/model_v2_team_profiles.csv. Export/copy those columns when the intake is approved.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</x:row>
    <x:row r="4">
      <x:c r="A4" s="67" t="str">
        <x:v>team</x:v>
      </x:c>
      <x:c r="B4" s="67" t="str">
        <x:v>normalized_team</x:v>
      </x:c>
      <x:c r="C4" s="67" t="str">
        <x:v>manager_name</x:v>
      </x:c>
      <x:c r="D4" s="67" t="str">
        <x:v>preferred_style</x:v>
      </x:c>
      <x:c r="E4" s="67" t="str">
        <x:v>squad_quality_score</x:v>
      </x:c>
      <x:c r="F4" s="67" t="str">
        <x:v>expected_xi_score</x:v>
      </x:c>
      <x:c r="G4" s="67" t="str">
        <x:v>bench_depth_score</x:v>
      </x:c>
      <x:c r="H4" s="67" t="str">
        <x:v>manager_pedigree_score</x:v>
      </x:c>
      <x:c r="I4" s="67" t="str">
        <x:v>tactical_flexibility_score</x:v>
      </x:c>
      <x:c r="J4" s="67" t="str">
        <x:v>profile_source_status</x:v>
      </x:c>
      <x:c r="K4" s="67" t="str">
        <x:v>notes</x:v>
      </x:c>
      <x:c r="L4" s="67" t="str">
        <x:v>availability_score_override</x:v>
      </x:c>
      <x:c r="M4" s="67" t="str">
        <x:v>tactical_clarity_score</x:v>
      </x:c>
      <x:c r="N4" s="67" t="str">
        <x:v>analyst_confidence</x:v>
      </x:c>
      <x:c r="O4" s="67" t="str">
        <x:v>approved_for_model</x:v>
      </x:c>
    </x:row>
    <x:row r="5" ht="25.5" customHeight="1">
      <x:c r="A5" s="51" t="str">
        <x:f>'Seed Profiles'!A5</x:f>
        <x:v>Czech Republic</x:v>
      </x:c>
      <x:c r="B5" s="51" t="str">
        <x:f>'Seed Profiles'!B5</x:f>
        <x:v>Czech Republic</x:v>
      </x:c>
      <x:c r="C5" s="51" t="str">
        <x:f>'Manager Profiles'!C5</x:f>
        <x:v>manual_required</x:v>
      </x:c>
      <x:c r="D5" s="51" t="str">
        <x:f>'Formation Profiles'!C5</x:f>
        <x:v>profile proxy / manual review required</x:v>
      </x:c>
      <x:c r="E5" s="55" t="n">
        <x:f>IF('Analyst Review'!L5&lt;&gt;"",'Analyst Review'!L5,'Team Scoring'!C5)</x:f>
        <x:v>71</x:v>
      </x:c>
      <x:c r="F5" s="55" t="n">
        <x:f>'Team Scoring'!D5</x:f>
        <x:v>71</x:v>
      </x:c>
      <x:c r="G5" s="55" t="n">
        <x:f>'Team Scoring'!E5</x:f>
        <x:v>68</x:v>
      </x:c>
      <x:c r="H5" s="55" t="n">
        <x:f>IF('Analyst Review'!M5&lt;&gt;"",'Analyst Review'!M5,'Manager Profiles'!L5)</x:f>
        <x:v>49.53</x:v>
      </x:c>
      <x:c r="I5" s="55" t="n">
        <x:f>'Manager Profiles'!M5</x:f>
        <x:v>47.53</x:v>
      </x:c>
      <x:c r="J5" s="68" t="str">
        <x:f>IF('Analyst Review'!E5="Yes","verified/intake approved",IF('Team Scoring'!K5=0,"seed fallback - intake pending","partial intake - review required"))</x:f>
        <x:v>seed fallback - intake pending</x:v>
      </x:c>
      <x:c r="K5" s="68" t="str">
        <x:f>"Squad: "&amp;'Team Scoring'!L5&amp;"; Manager: "&amp;'Manager Profiles'!N5&amp;"; Tactical: "&amp;'Formation Profiles'!M5</x:f>
        <x:v>Squad: seed fallback - player ratings pending; Manager: seed fallback - analyst rubric pending; Tactical: manual tactical review pending</x:v>
      </x:c>
      <x:c r="L5" s="55" t="n">
        <x:f>'Team Scoring'!I5</x:f>
        <x:v>100</x:v>
      </x:c>
      <x:c r="M5" s="55" t="n">
        <x:f>IF('Analyst Review'!N5&lt;&gt;"",'Analyst Review'!N5,'Formation Profiles'!K5)</x:f>
        <x:v>50</x:v>
      </x:c>
      <x:c r="N5" s="55" t="n">
        <x:f>'Analyst Review'!F5</x:f>
        <x:v>0</x:v>
      </x:c>
      <x:c r="O5" s="51" t="str">
        <x:f>'Analyst Review'!E5</x:f>
        <x:v>No</x:v>
      </x:c>
    </x:row>
    <x:row r="6" ht="25.5" customHeight="1">
      <x:c r="A6" s="51" t="str">
        <x:f>'Seed Profiles'!A6</x:f>
        <x:v>Mexico</x:v>
      </x:c>
      <x:c r="B6" s="51" t="str">
        <x:f>'Seed Profiles'!B6</x:f>
        <x:v>Mexico</x:v>
      </x:c>
      <x:c r="C6" s="51" t="str">
        <x:f>'Manager Profiles'!C6</x:f>
        <x:v>Javier Aguirre</x:v>
      </x:c>
      <x:c r="D6" s="51" t="str">
        <x:f>'Formation Profiles'!C6</x:f>
        <x:v>pragmatic tournament management</x:v>
      </x:c>
      <x:c r="E6" s="55" t="n">
        <x:f>IF('Analyst Review'!L6&lt;&gt;"",'Analyst Review'!L6,'Team Scoring'!C6)</x:f>
        <x:v>76</x:v>
      </x:c>
      <x:c r="F6" s="55" t="n">
        <x:f>'Team Scoring'!D6</x:f>
        <x:v>76</x:v>
      </x:c>
      <x:c r="G6" s="55" t="n">
        <x:f>'Team Scoring'!E6</x:f>
        <x:v>74</x:v>
      </x:c>
      <x:c r="H6" s="55" t="n">
        <x:f>IF('Analyst Review'!M6&lt;&gt;"",'Analyst Review'!M6,'Manager Profiles'!L6)</x:f>
        <x:v>78</x:v>
      </x:c>
      <x:c r="I6" s="55" t="n">
        <x:f>'Manager Profiles'!M6</x:f>
        <x:v>72</x:v>
      </x:c>
      <x:c r="J6" s="68" t="str">
        <x:f>IF('Analyst Review'!E6="Yes","verified/intake approved",IF('Team Scoring'!K6=0,"seed fallback - intake pending","partial intake - review required"))</x:f>
        <x:v>seed fallback - intake pending</x:v>
      </x:c>
      <x:c r="K6" s="68" t="str">
        <x:f>"Squad: "&amp;'Team Scoring'!L6&amp;"; Manager: "&amp;'Manager Profiles'!N6&amp;"; Tactical: "&amp;'Formation Profiles'!M6</x:f>
        <x:v>Squad: seed fallback - player ratings pending; Manager: seed fallback - analyst rubric pending; Tactical: manual tactical review pending</x:v>
      </x:c>
      <x:c r="L6" s="55" t="n">
        <x:f>'Team Scoring'!I6</x:f>
        <x:v>100</x:v>
      </x:c>
      <x:c r="M6" s="55" t="n">
        <x:f>IF('Analyst Review'!N6&lt;&gt;"",'Analyst Review'!N6,'Formation Profiles'!K6)</x:f>
        <x:v>50</x:v>
      </x:c>
      <x:c r="N6" s="55" t="n">
        <x:f>'Analyst Review'!F6</x:f>
        <x:v>0</x:v>
      </x:c>
      <x:c r="O6" s="51" t="str">
        <x:f>'Analyst Review'!E6</x:f>
        <x:v>No</x:v>
      </x:c>
    </x:row>
    <x:row r="7" ht="25.5" customHeight="1">
      <x:c r="A7" s="51" t="str">
        <x:f>'Seed Profiles'!A7</x:f>
        <x:v>South Africa</x:v>
      </x:c>
      <x:c r="B7" s="51" t="str">
        <x:f>'Seed Profiles'!B7</x:f>
        <x:v>South Africa</x:v>
      </x:c>
      <x:c r="C7" s="51" t="str">
        <x:f>'Manager Profiles'!C7</x:f>
        <x:v>Hugo Broos</x:v>
      </x:c>
      <x:c r="D7" s="51" t="str">
        <x:f>'Formation Profiles'!C7</x:f>
        <x:v>compact / tournament pragmatism</x:v>
      </x:c>
      <x:c r="E7" s="55" t="n">
        <x:f>IF('Analyst Review'!L7&lt;&gt;"",'Analyst Review'!L7,'Team Scoring'!C7)</x:f>
        <x:v>37</x:v>
      </x:c>
      <x:c r="F7" s="55" t="n">
        <x:f>'Team Scoring'!D7</x:f>
        <x:v>38</x:v>
      </x:c>
      <x:c r="G7" s="55" t="n">
        <x:f>'Team Scoring'!E7</x:f>
        <x:v>33</x:v>
      </x:c>
      <x:c r="H7" s="55" t="n">
        <x:f>IF('Analyst Review'!M7&lt;&gt;"",'Analyst Review'!M7,'Manager Profiles'!L7)</x:f>
        <x:v>76</x:v>
      </x:c>
      <x:c r="I7" s="55" t="n">
        <x:f>'Manager Profiles'!M7</x:f>
        <x:v>70</x:v>
      </x:c>
      <x:c r="J7" s="68" t="str">
        <x:f>IF('Analyst Review'!E7="Yes","verified/intake approved",IF('Team Scoring'!K7=0,"seed fallback - intake pending","partial intake - review required"))</x:f>
        <x:v>seed fallback - intake pending</x:v>
      </x:c>
      <x:c r="K7" s="68" t="str">
        <x:f>"Squad: "&amp;'Team Scoring'!L7&amp;"; Manager: "&amp;'Manager Profiles'!N7&amp;"; Tactical: "&amp;'Formation Profiles'!M7</x:f>
        <x:v>Squad: seed fallback - player ratings pending; Manager: seed fallback - analyst rubric pending; Tactical: manual tactical review pending</x:v>
      </x:c>
      <x:c r="L7" s="55" t="n">
        <x:f>'Team Scoring'!I7</x:f>
        <x:v>100</x:v>
      </x:c>
      <x:c r="M7" s="55" t="n">
        <x:f>IF('Analyst Review'!N7&lt;&gt;"",'Analyst Review'!N7,'Formation Profiles'!K7)</x:f>
        <x:v>50</x:v>
      </x:c>
      <x:c r="N7" s="55" t="n">
        <x:f>'Analyst Review'!F7</x:f>
        <x:v>0</x:v>
      </x:c>
      <x:c r="O7" s="51" t="str">
        <x:f>'Analyst Review'!E7</x:f>
        <x:v>No</x:v>
      </x:c>
    </x:row>
    <x:row r="8" ht="25.5" customHeight="1">
      <x:c r="A8" s="51" t="str">
        <x:f>'Seed Profiles'!A8</x:f>
        <x:v>South Korea</x:v>
      </x:c>
      <x:c r="B8" s="51" t="str">
        <x:f>'Seed Profiles'!B8</x:f>
        <x:v>South Korea</x:v>
      </x:c>
      <x:c r="C8" s="51" t="str">
        <x:f>'Manager Profiles'!C8</x:f>
        <x:v>Hong Myung-bo</x:v>
      </x:c>
      <x:c r="D8" s="51" t="str">
        <x:f>'Formation Profiles'!C8</x:f>
        <x:v>balanced / transition pace</x:v>
      </x:c>
      <x:c r="E8" s="55" t="n">
        <x:f>IF('Analyst Review'!L8&lt;&gt;"",'Analyst Review'!L8,'Team Scoring'!C8)</x:f>
        <x:v>72</x:v>
      </x:c>
      <x:c r="F8" s="55" t="n">
        <x:f>'Team Scoring'!D8</x:f>
        <x:v>72</x:v>
      </x:c>
      <x:c r="G8" s="55" t="n">
        <x:f>'Team Scoring'!E8</x:f>
        <x:v>69</x:v>
      </x:c>
      <x:c r="H8" s="55" t="n">
        <x:f>IF('Analyst Review'!M8&lt;&gt;"",'Analyst Review'!M8,'Manager Profiles'!L8)</x:f>
        <x:v>70</x:v>
      </x:c>
      <x:c r="I8" s="55" t="n">
        <x:f>'Manager Profiles'!M8</x:f>
        <x:v>70</x:v>
      </x:c>
      <x:c r="J8" s="68" t="str">
        <x:f>IF('Analyst Review'!E8="Yes","verified/intake approved",IF('Team Scoring'!K8=0,"seed fallback - intake pending","partial intake - review required"))</x:f>
        <x:v>seed fallback - intake pending</x:v>
      </x:c>
      <x:c r="K8" s="68" t="str">
        <x:f>"Squad: "&amp;'Team Scoring'!L8&amp;"; Manager: "&amp;'Manager Profiles'!N8&amp;"; Tactical: "&amp;'Formation Profiles'!M8</x:f>
        <x:v>Squad: seed fallback - player ratings pending; Manager: seed fallback - analyst rubric pending; Tactical: manual tactical review pending</x:v>
      </x:c>
      <x:c r="L8" s="55" t="n">
        <x:f>'Team Scoring'!I8</x:f>
        <x:v>100</x:v>
      </x:c>
      <x:c r="M8" s="55" t="n">
        <x:f>IF('Analyst Review'!N8&lt;&gt;"",'Analyst Review'!N8,'Formation Profiles'!K8)</x:f>
        <x:v>50</x:v>
      </x:c>
      <x:c r="N8" s="55" t="n">
        <x:f>'Analyst Review'!F8</x:f>
        <x:v>0</x:v>
      </x:c>
      <x:c r="O8" s="51" t="str">
        <x:f>'Analyst Review'!E8</x:f>
        <x:v>No</x:v>
      </x:c>
    </x:row>
    <x:row r="9" ht="25.5" customHeight="1">
      <x:c r="A9" s="51" t="str">
        <x:f>'Seed Profiles'!A9</x:f>
        <x:v>Bosnia &amp; Herzegovina</x:v>
      </x:c>
      <x:c r="B9" s="51" t="str">
        <x:f>'Seed Profiles'!B9</x:f>
        <x:v>Bosnia and Herzegovina</x:v>
      </x:c>
      <x:c r="C9" s="51" t="str">
        <x:f>'Manager Profiles'!C9</x:f>
        <x:v>manual_required</x:v>
      </x:c>
      <x:c r="D9" s="51" t="str">
        <x:f>'Formation Profiles'!C9</x:f>
        <x:v>profile proxy / manual review required</x:v>
      </x:c>
      <x:c r="E9" s="55" t="n">
        <x:f>IF('Analyst Review'!L9&lt;&gt;"",'Analyst Review'!L9,'Team Scoring'!C9)</x:f>
        <x:v>36</x:v>
      </x:c>
      <x:c r="F9" s="55" t="n">
        <x:f>'Team Scoring'!D9</x:f>
        <x:v>37</x:v>
      </x:c>
      <x:c r="G9" s="55" t="n">
        <x:f>'Team Scoring'!E9</x:f>
        <x:v>32</x:v>
      </x:c>
      <x:c r="H9" s="55" t="n">
        <x:f>IF('Analyst Review'!M9&lt;&gt;"",'Analyst Review'!M9,'Manager Profiles'!L9)</x:f>
        <x:v>45</x:v>
      </x:c>
      <x:c r="I9" s="55" t="n">
        <x:f>'Manager Profiles'!M9</x:f>
        <x:v>42</x:v>
      </x:c>
      <x:c r="J9" s="68" t="str">
        <x:f>IF('Analyst Review'!E9="Yes","verified/intake approved",IF('Team Scoring'!K9=0,"seed fallback - intake pending","partial intake - review required"))</x:f>
        <x:v>seed fallback - intake pending</x:v>
      </x:c>
      <x:c r="K9" s="68" t="str">
        <x:f>"Squad: "&amp;'Team Scoring'!L9&amp;"; Manager: "&amp;'Manager Profiles'!N9&amp;"; Tactical: "&amp;'Formation Profiles'!M9</x:f>
        <x:v>Squad: seed fallback - player ratings pending; Manager: seed fallback - analyst rubric pending; Tactical: manual tactical review pending</x:v>
      </x:c>
      <x:c r="L9" s="55" t="n">
        <x:f>'Team Scoring'!I9</x:f>
        <x:v>100</x:v>
      </x:c>
      <x:c r="M9" s="55" t="n">
        <x:f>IF('Analyst Review'!N9&lt;&gt;"",'Analyst Review'!N9,'Formation Profiles'!K9)</x:f>
        <x:v>50</x:v>
      </x:c>
      <x:c r="N9" s="55" t="n">
        <x:f>'Analyst Review'!F9</x:f>
        <x:v>0</x:v>
      </x:c>
      <x:c r="O9" s="51" t="str">
        <x:f>'Analyst Review'!E9</x:f>
        <x:v>No</x:v>
      </x:c>
    </x:row>
    <x:row r="10" ht="25.5" customHeight="1">
      <x:c r="A10" s="51" t="str">
        <x:f>'Seed Profiles'!A10</x:f>
        <x:v>Canada</x:v>
      </x:c>
      <x:c r="B10" s="51" t="str">
        <x:f>'Seed Profiles'!B10</x:f>
        <x:v>Canada</x:v>
      </x:c>
      <x:c r="C10" s="51" t="str">
        <x:f>'Manager Profiles'!C10</x:f>
        <x:v>Jesse Marsch</x:v>
      </x:c>
      <x:c r="D10" s="51" t="str">
        <x:f>'Formation Profiles'!C10</x:f>
        <x:v>pressing / vertical transitions</x:v>
      </x:c>
      <x:c r="E10" s="55" t="n">
        <x:f>IF('Analyst Review'!L10&lt;&gt;"",'Analyst Review'!L10,'Team Scoring'!C10)</x:f>
        <x:v>74</x:v>
      </x:c>
      <x:c r="F10" s="55" t="n">
        <x:f>'Team Scoring'!D10</x:f>
        <x:v>75</x:v>
      </x:c>
      <x:c r="G10" s="55" t="n">
        <x:f>'Team Scoring'!E10</x:f>
        <x:v>70</x:v>
      </x:c>
      <x:c r="H10" s="55" t="n">
        <x:f>IF('Analyst Review'!M10&lt;&gt;"",'Analyst Review'!M10,'Manager Profiles'!L10)</x:f>
        <x:v>72</x:v>
      </x:c>
      <x:c r="I10" s="55" t="n">
        <x:f>'Manager Profiles'!M10</x:f>
        <x:v>80</x:v>
      </x:c>
      <x:c r="J10" s="68" t="str">
        <x:f>IF('Analyst Review'!E10="Yes","verified/intake approved",IF('Team Scoring'!K10=0,"seed fallback - intake pending","partial intake - review required"))</x:f>
        <x:v>seed fallback - intake pending</x:v>
      </x:c>
      <x:c r="K10" s="68" t="str">
        <x:f>"Squad: "&amp;'Team Scoring'!L10&amp;"; Manager: "&amp;'Manager Profiles'!N10&amp;"; Tactical: "&amp;'Formation Profiles'!M10</x:f>
        <x:v>Squad: seed fallback - player ratings pending; Manager: seed fallback - analyst rubric pending; Tactical: manual tactical review pending</x:v>
      </x:c>
      <x:c r="L10" s="55" t="n">
        <x:f>'Team Scoring'!I10</x:f>
        <x:v>100</x:v>
      </x:c>
      <x:c r="M10" s="55" t="n">
        <x:f>IF('Analyst Review'!N10&lt;&gt;"",'Analyst Review'!N10,'Formation Profiles'!K10)</x:f>
        <x:v>50</x:v>
      </x:c>
      <x:c r="N10" s="55" t="n">
        <x:f>'Analyst Review'!F10</x:f>
        <x:v>0</x:v>
      </x:c>
      <x:c r="O10" s="51" t="str">
        <x:f>'Analyst Review'!E10</x:f>
        <x:v>No</x:v>
      </x:c>
    </x:row>
    <x:row r="11" ht="25.5" customHeight="1">
      <x:c r="A11" s="51" t="str">
        <x:f>'Seed Profiles'!A11</x:f>
        <x:v>Qatar</x:v>
      </x:c>
      <x:c r="B11" s="51" t="str">
        <x:f>'Seed Profiles'!B11</x:f>
        <x:v>Qatar</x:v>
      </x:c>
      <x:c r="C11" s="51" t="str">
        <x:f>'Manager Profiles'!C11</x:f>
        <x:v>Julen Lopetegui</x:v>
      </x:c>
      <x:c r="D11" s="51" t="str">
        <x:f>'Formation Profiles'!C11</x:f>
        <x:v>possession / positional play</x:v>
      </x:c>
      <x:c r="E11" s="55" t="n">
        <x:f>IF('Analyst Review'!L11&lt;&gt;"",'Analyst Review'!L11,'Team Scoring'!C11)</x:f>
        <x:v>35</x:v>
      </x:c>
      <x:c r="F11" s="55" t="n">
        <x:f>'Team Scoring'!D11</x:f>
        <x:v>36</x:v>
      </x:c>
      <x:c r="G11" s="55" t="n">
        <x:f>'Team Scoring'!E11</x:f>
        <x:v>31</x:v>
      </x:c>
      <x:c r="H11" s="55" t="n">
        <x:f>IF('Analyst Review'!M11&lt;&gt;"",'Analyst Review'!M11,'Manager Profiles'!L11)</x:f>
        <x:v>78</x:v>
      </x:c>
      <x:c r="I11" s="55" t="n">
        <x:f>'Manager Profiles'!M11</x:f>
        <x:v>80</x:v>
      </x:c>
      <x:c r="J11" s="68" t="str">
        <x:f>IF('Analyst Review'!E11="Yes","verified/intake approved",IF('Team Scoring'!K11=0,"seed fallback - intake pending","partial intake - review required"))</x:f>
        <x:v>seed fallback - intake pending</x:v>
      </x:c>
      <x:c r="K11" s="68" t="str">
        <x:f>"Squad: "&amp;'Team Scoring'!L11&amp;"; Manager: "&amp;'Manager Profiles'!N11&amp;"; Tactical: "&amp;'Formation Profiles'!M11</x:f>
        <x:v>Squad: seed fallback - player ratings pending; Manager: seed fallback - analyst rubric pending; Tactical: manual tactical review pending</x:v>
      </x:c>
      <x:c r="L11" s="55" t="n">
        <x:f>'Team Scoring'!I11</x:f>
        <x:v>100</x:v>
      </x:c>
      <x:c r="M11" s="55" t="n">
        <x:f>IF('Analyst Review'!N11&lt;&gt;"",'Analyst Review'!N11,'Formation Profiles'!K11)</x:f>
        <x:v>50</x:v>
      </x:c>
      <x:c r="N11" s="55" t="n">
        <x:f>'Analyst Review'!F11</x:f>
        <x:v>0</x:v>
      </x:c>
      <x:c r="O11" s="51" t="str">
        <x:f>'Analyst Review'!E11</x:f>
        <x:v>No</x:v>
      </x:c>
    </x:row>
    <x:row r="12" ht="25.5" customHeight="1">
      <x:c r="A12" s="51" t="str">
        <x:f>'Seed Profiles'!A12</x:f>
        <x:v>Switzerland</x:v>
      </x:c>
      <x:c r="B12" s="51" t="str">
        <x:f>'Seed Profiles'!B12</x:f>
        <x:v>Switzerland</x:v>
      </x:c>
      <x:c r="C12" s="51" t="str">
        <x:f>'Manager Profiles'!C12</x:f>
        <x:v>Murat Yakin</x:v>
      </x:c>
      <x:c r="D12" s="51" t="str">
        <x:f>'Formation Profiles'!C12</x:f>
        <x:v>compact tournament pragmatism</x:v>
      </x:c>
      <x:c r="E12" s="55" t="n">
        <x:f>IF('Analyst Review'!L12&lt;&gt;"",'Analyst Review'!L12,'Team Scoring'!C12)</x:f>
        <x:v>77</x:v>
      </x:c>
      <x:c r="F12" s="55" t="n">
        <x:f>'Team Scoring'!D12</x:f>
        <x:v>77</x:v>
      </x:c>
      <x:c r="G12" s="55" t="n">
        <x:f>'Team Scoring'!E12</x:f>
        <x:v>75</x:v>
      </x:c>
      <x:c r="H12" s="55" t="n">
        <x:f>IF('Analyst Review'!M12&lt;&gt;"",'Analyst Review'!M12,'Manager Profiles'!L12)</x:f>
        <x:v>76</x:v>
      </x:c>
      <x:c r="I12" s="55" t="n">
        <x:f>'Manager Profiles'!M12</x:f>
        <x:v>74</x:v>
      </x:c>
      <x:c r="J12" s="68" t="str">
        <x:f>IF('Analyst Review'!E12="Yes","verified/intake approved",IF('Team Scoring'!K12=0,"seed fallback - intake pending","partial intake - review required"))</x:f>
        <x:v>seed fallback - intake pending</x:v>
      </x:c>
      <x:c r="K12" s="68" t="str">
        <x:f>"Squad: "&amp;'Team Scoring'!L12&amp;"; Manager: "&amp;'Manager Profiles'!N12&amp;"; Tactical: "&amp;'Formation Profiles'!M12</x:f>
        <x:v>Squad: seed fallback - player ratings pending; Manager: seed fallback - analyst rubric pending; Tactical: manual tactical review pending</x:v>
      </x:c>
      <x:c r="L12" s="55" t="n">
        <x:f>'Team Scoring'!I12</x:f>
        <x:v>100</x:v>
      </x:c>
      <x:c r="M12" s="55" t="n">
        <x:f>IF('Analyst Review'!N12&lt;&gt;"",'Analyst Review'!N12,'Formation Profiles'!K12)</x:f>
        <x:v>50</x:v>
      </x:c>
      <x:c r="N12" s="55" t="n">
        <x:f>'Analyst Review'!F12</x:f>
        <x:v>0</x:v>
      </x:c>
      <x:c r="O12" s="51" t="str">
        <x:f>'Analyst Review'!E12</x:f>
        <x:v>No</x:v>
      </x:c>
    </x:row>
    <x:row r="13" ht="25.5" customHeight="1">
      <x:c r="A13" s="51" t="str">
        <x:f>'Seed Profiles'!A13</x:f>
        <x:v>Brazil</x:v>
      </x:c>
      <x:c r="B13" s="51" t="str">
        <x:f>'Seed Profiles'!B13</x:f>
        <x:v>Brazil</x:v>
      </x:c>
      <x:c r="C13" s="51" t="str">
        <x:f>'Manager Profiles'!C13</x:f>
        <x:v>Carlo Ancelotti</x:v>
      </x:c>
      <x:c r="D13" s="51" t="str">
        <x:f>'Formation Profiles'!C13</x:f>
        <x:v>adaptive possession / star-led attack</x:v>
      </x:c>
      <x:c r="E13" s="55" t="n">
        <x:f>IF('Analyst Review'!L13&lt;&gt;"",'Analyst Review'!L13,'Team Scoring'!C13)</x:f>
        <x:v>90</x:v>
      </x:c>
      <x:c r="F13" s="55" t="n">
        <x:f>'Team Scoring'!D13</x:f>
        <x:v>90</x:v>
      </x:c>
      <x:c r="G13" s="55" t="n">
        <x:f>'Team Scoring'!E13</x:f>
        <x:v>89</x:v>
      </x:c>
      <x:c r="H13" s="55" t="n">
        <x:f>IF('Analyst Review'!M13&lt;&gt;"",'Analyst Review'!M13,'Manager Profiles'!L13)</x:f>
        <x:v>89</x:v>
      </x:c>
      <x:c r="I13" s="55" t="n">
        <x:f>'Manager Profiles'!M13</x:f>
        <x:v>86</x:v>
      </x:c>
      <x:c r="J13" s="68" t="str">
        <x:f>IF('Analyst Review'!E13="Yes","verified/intake approved",IF('Team Scoring'!K13=0,"seed fallback - intake pending","partial intake - review required"))</x:f>
        <x:v>seed fallback - intake pending</x:v>
      </x:c>
      <x:c r="K13" s="68" t="str">
        <x:f>"Squad: "&amp;'Team Scoring'!L13&amp;"; Manager: "&amp;'Manager Profiles'!N13&amp;"; Tactical: "&amp;'Formation Profiles'!M13</x:f>
        <x:v>Squad: seed fallback - player ratings pending; Manager: seed fallback - analyst rubric pending; Tactical: manual tactical review pending</x:v>
      </x:c>
      <x:c r="L13" s="55" t="n">
        <x:f>'Team Scoring'!I13</x:f>
        <x:v>100</x:v>
      </x:c>
      <x:c r="M13" s="55" t="n">
        <x:f>IF('Analyst Review'!N13&lt;&gt;"",'Analyst Review'!N13,'Formation Profiles'!K13)</x:f>
        <x:v>50</x:v>
      </x:c>
      <x:c r="N13" s="55" t="n">
        <x:f>'Analyst Review'!F13</x:f>
        <x:v>0</x:v>
      </x:c>
      <x:c r="O13" s="51" t="str">
        <x:f>'Analyst Review'!E13</x:f>
        <x:v>No</x:v>
      </x:c>
    </x:row>
    <x:row r="14" ht="25.5" customHeight="1">
      <x:c r="A14" s="51" t="str">
        <x:f>'Seed Profiles'!A14</x:f>
        <x:v>Haiti</x:v>
      </x:c>
      <x:c r="B14" s="51" t="str">
        <x:f>'Seed Profiles'!B14</x:f>
        <x:v>Haiti</x:v>
      </x:c>
      <x:c r="C14" s="51" t="str">
        <x:f>'Manager Profiles'!C14</x:f>
        <x:v>manual_required</x:v>
      </x:c>
      <x:c r="D14" s="51" t="str">
        <x:f>'Formation Profiles'!C14</x:f>
        <x:v>profile proxy / manual review required</x:v>
      </x:c>
      <x:c r="E14" s="55" t="n">
        <x:f>IF('Analyst Review'!L14&lt;&gt;"",'Analyst Review'!L14,'Team Scoring'!C14)</x:f>
        <x:v>40</x:v>
      </x:c>
      <x:c r="F14" s="55" t="n">
        <x:f>'Team Scoring'!D14</x:f>
        <x:v>41</x:v>
      </x:c>
      <x:c r="G14" s="55" t="n">
        <x:f>'Team Scoring'!E14</x:f>
        <x:v>36</x:v>
      </x:c>
      <x:c r="H14" s="55" t="n">
        <x:f>IF('Analyst Review'!M14&lt;&gt;"",'Analyst Review'!M14,'Manager Profiles'!L14)</x:f>
        <x:v>45</x:v>
      </x:c>
      <x:c r="I14" s="55" t="n">
        <x:f>'Manager Profiles'!M14</x:f>
        <x:v>42.77</x:v>
      </x:c>
      <x:c r="J14" s="68" t="str">
        <x:f>IF('Analyst Review'!E14="Yes","verified/intake approved",IF('Team Scoring'!K14=0,"seed fallback - intake pending","partial intake - review required"))</x:f>
        <x:v>seed fallback - intake pending</x:v>
      </x:c>
      <x:c r="K14" s="68" t="str">
        <x:f>"Squad: "&amp;'Team Scoring'!L14&amp;"; Manager: "&amp;'Manager Profiles'!N14&amp;"; Tactical: "&amp;'Formation Profiles'!M14</x:f>
        <x:v>Squad: seed fallback - player ratings pending; Manager: seed fallback - analyst rubric pending; Tactical: manual tactical review pending</x:v>
      </x:c>
      <x:c r="L14" s="55" t="n">
        <x:f>'Team Scoring'!I14</x:f>
        <x:v>100</x:v>
      </x:c>
      <x:c r="M14" s="55" t="n">
        <x:f>IF('Analyst Review'!N14&lt;&gt;"",'Analyst Review'!N14,'Formation Profiles'!K14)</x:f>
        <x:v>50</x:v>
      </x:c>
      <x:c r="N14" s="55" t="n">
        <x:f>'Analyst Review'!F14</x:f>
        <x:v>0</x:v>
      </x:c>
      <x:c r="O14" s="51" t="str">
        <x:f>'Analyst Review'!E14</x:f>
        <x:v>No</x:v>
      </x:c>
    </x:row>
    <x:row r="15" ht="25.5" customHeight="1">
      <x:c r="A15" s="51" t="str">
        <x:f>'Seed Profiles'!A15</x:f>
        <x:v>Morocco</x:v>
      </x:c>
      <x:c r="B15" s="51" t="str">
        <x:f>'Seed Profiles'!B15</x:f>
        <x:v>Morocco</x:v>
      </x:c>
      <x:c r="C15" s="51" t="str">
        <x:f>'Manager Profiles'!C15</x:f>
        <x:v>Walid Regragui</x:v>
      </x:c>
      <x:c r="D15" s="51" t="str">
        <x:f>'Formation Profiles'!C15</x:f>
        <x:v>compact block / transition</x:v>
      </x:c>
      <x:c r="E15" s="55" t="n">
        <x:f>IF('Analyst Review'!L15&lt;&gt;"",'Analyst Review'!L15,'Team Scoring'!C15)</x:f>
        <x:v>80</x:v>
      </x:c>
      <x:c r="F15" s="55" t="n">
        <x:f>'Team Scoring'!D15</x:f>
        <x:v>81</x:v>
      </x:c>
      <x:c r="G15" s="55" t="n">
        <x:f>'Team Scoring'!E15</x:f>
        <x:v>76</x:v>
      </x:c>
      <x:c r="H15" s="55" t="n">
        <x:f>IF('Analyst Review'!M15&lt;&gt;"",'Analyst Review'!M15,'Manager Profiles'!L15)</x:f>
        <x:v>84</x:v>
      </x:c>
      <x:c r="I15" s="55" t="n">
        <x:f>'Manager Profiles'!M15</x:f>
        <x:v>80</x:v>
      </x:c>
      <x:c r="J15" s="68" t="str">
        <x:f>IF('Analyst Review'!E15="Yes","verified/intake approved",IF('Team Scoring'!K15=0,"seed fallback - intake pending","partial intake - review required"))</x:f>
        <x:v>seed fallback - intake pending</x:v>
      </x:c>
      <x:c r="K15" s="68" t="str">
        <x:f>"Squad: "&amp;'Team Scoring'!L15&amp;"; Manager: "&amp;'Manager Profiles'!N15&amp;"; Tactical: "&amp;'Formation Profiles'!M15</x:f>
        <x:v>Squad: seed fallback - player ratings pending; Manager: seed fallback - analyst rubric pending; Tactical: manual tactical review pending</x:v>
      </x:c>
      <x:c r="L15" s="55" t="n">
        <x:f>'Team Scoring'!I15</x:f>
        <x:v>100</x:v>
      </x:c>
      <x:c r="M15" s="55" t="n">
        <x:f>IF('Analyst Review'!N15&lt;&gt;"",'Analyst Review'!N15,'Formation Profiles'!K15)</x:f>
        <x:v>50</x:v>
      </x:c>
      <x:c r="N15" s="55" t="n">
        <x:f>'Analyst Review'!F15</x:f>
        <x:v>0</x:v>
      </x:c>
      <x:c r="O15" s="51" t="str">
        <x:f>'Analyst Review'!E15</x:f>
        <x:v>No</x:v>
      </x:c>
    </x:row>
    <x:row r="16" ht="25.5" customHeight="1">
      <x:c r="A16" s="51" t="str">
        <x:f>'Seed Profiles'!A16</x:f>
        <x:v>Scotland</x:v>
      </x:c>
      <x:c r="B16" s="51" t="str">
        <x:f>'Seed Profiles'!B16</x:f>
        <x:v>Scotland</x:v>
      </x:c>
      <x:c r="C16" s="51" t="str">
        <x:f>'Manager Profiles'!C16</x:f>
        <x:v>Steve Clarke</x:v>
      </x:c>
      <x:c r="D16" s="51" t="str">
        <x:f>'Formation Profiles'!C16</x:f>
        <x:v>compact 3/5-back structure</x:v>
      </x:c>
      <x:c r="E16" s="55" t="n">
        <x:f>IF('Analyst Review'!L16&lt;&gt;"",'Analyst Review'!L16,'Team Scoring'!C16)</x:f>
        <x:v>55</x:v>
      </x:c>
      <x:c r="F16" s="55" t="n">
        <x:f>'Team Scoring'!D16</x:f>
        <x:v>56</x:v>
      </x:c>
      <x:c r="G16" s="55" t="n">
        <x:f>'Team Scoring'!E16</x:f>
        <x:v>51</x:v>
      </x:c>
      <x:c r="H16" s="55" t="n">
        <x:f>IF('Analyst Review'!M16&lt;&gt;"",'Analyst Review'!M16,'Manager Profiles'!L16)</x:f>
        <x:v>73</x:v>
      </x:c>
      <x:c r="I16" s="55" t="n">
        <x:f>'Manager Profiles'!M16</x:f>
        <x:v>70</x:v>
      </x:c>
      <x:c r="J16" s="68" t="str">
        <x:f>IF('Analyst Review'!E16="Yes","verified/intake approved",IF('Team Scoring'!K16=0,"seed fallback - intake pending","partial intake - review required"))</x:f>
        <x:v>seed fallback - intake pending</x:v>
      </x:c>
      <x:c r="K16" s="68" t="str">
        <x:f>"Squad: "&amp;'Team Scoring'!L16&amp;"; Manager: "&amp;'Manager Profiles'!N16&amp;"; Tactical: "&amp;'Formation Profiles'!M16</x:f>
        <x:v>Squad: seed fallback - player ratings pending; Manager: seed fallback - analyst rubric pending; Tactical: manual tactical review pending</x:v>
      </x:c>
      <x:c r="L16" s="55" t="n">
        <x:f>'Team Scoring'!I16</x:f>
        <x:v>100</x:v>
      </x:c>
      <x:c r="M16" s="55" t="n">
        <x:f>IF('Analyst Review'!N16&lt;&gt;"",'Analyst Review'!N16,'Formation Profiles'!K16)</x:f>
        <x:v>50</x:v>
      </x:c>
      <x:c r="N16" s="55" t="n">
        <x:f>'Analyst Review'!F16</x:f>
        <x:v>0</x:v>
      </x:c>
      <x:c r="O16" s="51" t="str">
        <x:f>'Analyst Review'!E16</x:f>
        <x:v>No</x:v>
      </x:c>
    </x:row>
    <x:row r="17" ht="25.5" customHeight="1">
      <x:c r="A17" s="51" t="str">
        <x:f>'Seed Profiles'!A17</x:f>
        <x:v>Australia</x:v>
      </x:c>
      <x:c r="B17" s="51" t="str">
        <x:f>'Seed Profiles'!B17</x:f>
        <x:v>Australia</x:v>
      </x:c>
      <x:c r="C17" s="51" t="str">
        <x:f>'Manager Profiles'!C17</x:f>
        <x:v>Tony Popovic</x:v>
      </x:c>
      <x:c r="D17" s="51" t="str">
        <x:f>'Formation Profiles'!C17</x:f>
        <x:v>compact / physical transitions</x:v>
      </x:c>
      <x:c r="E17" s="55" t="n">
        <x:f>IF('Analyst Review'!L17&lt;&gt;"",'Analyst Review'!L17,'Team Scoring'!C17)</x:f>
        <x:v>72</x:v>
      </x:c>
      <x:c r="F17" s="55" t="n">
        <x:f>'Team Scoring'!D17</x:f>
        <x:v>72</x:v>
      </x:c>
      <x:c r="G17" s="55" t="n">
        <x:f>'Team Scoring'!E17</x:f>
        <x:v>69</x:v>
      </x:c>
      <x:c r="H17" s="55" t="n">
        <x:f>IF('Analyst Review'!M17&lt;&gt;"",'Analyst Review'!M17,'Manager Profiles'!L17)</x:f>
        <x:v>70</x:v>
      </x:c>
      <x:c r="I17" s="55" t="n">
        <x:f>'Manager Profiles'!M17</x:f>
        <x:v>70</x:v>
      </x:c>
      <x:c r="J17" s="68" t="str">
        <x:f>IF('Analyst Review'!E17="Yes","verified/intake approved",IF('Team Scoring'!K17=0,"seed fallback - intake pending","partial intake - review required"))</x:f>
        <x:v>seed fallback - intake pending</x:v>
      </x:c>
      <x:c r="K17" s="68" t="str">
        <x:f>"Squad: "&amp;'Team Scoring'!L17&amp;"; Manager: "&amp;'Manager Profiles'!N17&amp;"; Tactical: "&amp;'Formation Profiles'!M17</x:f>
        <x:v>Squad: seed fallback - player ratings pending; Manager: seed fallback - analyst rubric pending; Tactical: manual tactical review pending</x:v>
      </x:c>
      <x:c r="L17" s="55" t="n">
        <x:f>'Team Scoring'!I17</x:f>
        <x:v>100</x:v>
      </x:c>
      <x:c r="M17" s="55" t="n">
        <x:f>IF('Analyst Review'!N17&lt;&gt;"",'Analyst Review'!N17,'Formation Profiles'!K17)</x:f>
        <x:v>50</x:v>
      </x:c>
      <x:c r="N17" s="55" t="n">
        <x:f>'Analyst Review'!F17</x:f>
        <x:v>0</x:v>
      </x:c>
      <x:c r="O17" s="51" t="str">
        <x:f>'Analyst Review'!E17</x:f>
        <x:v>No</x:v>
      </x:c>
    </x:row>
    <x:row r="18" ht="25.5" customHeight="1">
      <x:c r="A18" s="51" t="str">
        <x:f>'Seed Profiles'!A18</x:f>
        <x:v>Paraguay</x:v>
      </x:c>
      <x:c r="B18" s="51" t="str">
        <x:f>'Seed Profiles'!B18</x:f>
        <x:v>Paraguay</x:v>
      </x:c>
      <x:c r="C18" s="51" t="str">
        <x:f>'Manager Profiles'!C18</x:f>
        <x:v>Gustavo Alfaro</x:v>
      </x:c>
      <x:c r="D18" s="51" t="str">
        <x:f>'Formation Profiles'!C18</x:f>
        <x:v>defensive block / set pieces</x:v>
      </x:c>
      <x:c r="E18" s="55" t="n">
        <x:f>IF('Analyst Review'!L18&lt;&gt;"",'Analyst Review'!L18,'Team Scoring'!C18)</x:f>
        <x:v>73</x:v>
      </x:c>
      <x:c r="F18" s="55" t="n">
        <x:f>'Team Scoring'!D18</x:f>
        <x:v>73</x:v>
      </x:c>
      <x:c r="G18" s="55" t="n">
        <x:f>'Team Scoring'!E18</x:f>
        <x:v>70</x:v>
      </x:c>
      <x:c r="H18" s="55" t="n">
        <x:f>IF('Analyst Review'!M18&lt;&gt;"",'Analyst Review'!M18,'Manager Profiles'!L18)</x:f>
        <x:v>76</x:v>
      </x:c>
      <x:c r="I18" s="55" t="n">
        <x:f>'Manager Profiles'!M18</x:f>
        <x:v>72</x:v>
      </x:c>
      <x:c r="J18" s="68" t="str">
        <x:f>IF('Analyst Review'!E18="Yes","verified/intake approved",IF('Team Scoring'!K18=0,"seed fallback - intake pending","partial intake - review required"))</x:f>
        <x:v>seed fallback - intake pending</x:v>
      </x:c>
      <x:c r="K18" s="68" t="str">
        <x:f>"Squad: "&amp;'Team Scoring'!L18&amp;"; Manager: "&amp;'Manager Profiles'!N18&amp;"; Tactical: "&amp;'Formation Profiles'!M18</x:f>
        <x:v>Squad: seed fallback - player ratings pending; Manager: seed fallback - analyst rubric pending; Tactical: manual tactical review pending</x:v>
      </x:c>
      <x:c r="L18" s="55" t="n">
        <x:f>'Team Scoring'!I18</x:f>
        <x:v>100</x:v>
      </x:c>
      <x:c r="M18" s="55" t="n">
        <x:f>IF('Analyst Review'!N18&lt;&gt;"",'Analyst Review'!N18,'Formation Profiles'!K18)</x:f>
        <x:v>50</x:v>
      </x:c>
      <x:c r="N18" s="55" t="n">
        <x:f>'Analyst Review'!F18</x:f>
        <x:v>0</x:v>
      </x:c>
      <x:c r="O18" s="51" t="str">
        <x:f>'Analyst Review'!E18</x:f>
        <x:v>No</x:v>
      </x:c>
    </x:row>
    <x:row r="19" ht="25.5" customHeight="1">
      <x:c r="A19" s="51" t="str">
        <x:f>'Seed Profiles'!A19</x:f>
        <x:v>Turkey</x:v>
      </x:c>
      <x:c r="B19" s="51" t="str">
        <x:f>'Seed Profiles'!B19</x:f>
        <x:v>Turkey</x:v>
      </x:c>
      <x:c r="C19" s="51" t="str">
        <x:f>'Manager Profiles'!C19</x:f>
        <x:v>Vincenzo Montella</x:v>
      </x:c>
      <x:c r="D19" s="51" t="str">
        <x:f>'Formation Profiles'!C19</x:f>
        <x:v>technical midfield / transitions</x:v>
      </x:c>
      <x:c r="E19" s="55" t="n">
        <x:f>IF('Analyst Review'!L19&lt;&gt;"",'Analyst Review'!L19,'Team Scoring'!C19)</x:f>
        <x:v>78</x:v>
      </x:c>
      <x:c r="F19" s="55" t="n">
        <x:f>'Team Scoring'!D19</x:f>
        <x:v>78</x:v>
      </x:c>
      <x:c r="G19" s="55" t="n">
        <x:f>'Team Scoring'!E19</x:f>
        <x:v>75</x:v>
      </x:c>
      <x:c r="H19" s="55" t="n">
        <x:f>IF('Analyst Review'!M19&lt;&gt;"",'Analyst Review'!M19,'Manager Profiles'!L19)</x:f>
        <x:v>74</x:v>
      </x:c>
      <x:c r="I19" s="55" t="n">
        <x:f>'Manager Profiles'!M19</x:f>
        <x:v>76</x:v>
      </x:c>
      <x:c r="J19" s="68" t="str">
        <x:f>IF('Analyst Review'!E19="Yes","verified/intake approved",IF('Team Scoring'!K19=0,"seed fallback - intake pending","partial intake - review required"))</x:f>
        <x:v>seed fallback - intake pending</x:v>
      </x:c>
      <x:c r="K19" s="68" t="str">
        <x:f>"Squad: "&amp;'Team Scoring'!L19&amp;"; Manager: "&amp;'Manager Profiles'!N19&amp;"; Tactical: "&amp;'Formation Profiles'!M19</x:f>
        <x:v>Squad: seed fallback - player ratings pending; Manager: seed fallback - analyst rubric pending; Tactical: manual tactical review pending</x:v>
      </x:c>
      <x:c r="L19" s="55" t="n">
        <x:f>'Team Scoring'!I19</x:f>
        <x:v>100</x:v>
      </x:c>
      <x:c r="M19" s="55" t="n">
        <x:f>IF('Analyst Review'!N19&lt;&gt;"",'Analyst Review'!N19,'Formation Profiles'!K19)</x:f>
        <x:v>50</x:v>
      </x:c>
      <x:c r="N19" s="55" t="n">
        <x:f>'Analyst Review'!F19</x:f>
        <x:v>0</x:v>
      </x:c>
      <x:c r="O19" s="51" t="str">
        <x:f>'Analyst Review'!E19</x:f>
        <x:v>No</x:v>
      </x:c>
    </x:row>
    <x:row r="20" ht="25.5" customHeight="1">
      <x:c r="A20" s="51" t="str">
        <x:f>'Seed Profiles'!A20</x:f>
        <x:v>USA</x:v>
      </x:c>
      <x:c r="B20" s="51" t="str">
        <x:f>'Seed Profiles'!B20</x:f>
        <x:v>United States</x:v>
      </x:c>
      <x:c r="C20" s="51" t="str">
        <x:f>'Manager Profiles'!C20</x:f>
        <x:v>Mauricio Pochettino</x:v>
      </x:c>
      <x:c r="D20" s="51" t="str">
        <x:f>'Formation Profiles'!C20</x:f>
        <x:v>pressing / vertical possession</x:v>
      </x:c>
      <x:c r="E20" s="55" t="n">
        <x:f>IF('Analyst Review'!L20&lt;&gt;"",'Analyst Review'!L20,'Team Scoring'!C20)</x:f>
        <x:v>77</x:v>
      </x:c>
      <x:c r="F20" s="55" t="n">
        <x:f>'Team Scoring'!D20</x:f>
        <x:v>77</x:v>
      </x:c>
      <x:c r="G20" s="55" t="n">
        <x:f>'Team Scoring'!E20</x:f>
        <x:v>75</x:v>
      </x:c>
      <x:c r="H20" s="55" t="n">
        <x:f>IF('Analyst Review'!M20&lt;&gt;"",'Analyst Review'!M20,'Manager Profiles'!L20)</x:f>
        <x:v>82</x:v>
      </x:c>
      <x:c r="I20" s="55" t="n">
        <x:f>'Manager Profiles'!M20</x:f>
        <x:v>86</x:v>
      </x:c>
      <x:c r="J20" s="68" t="str">
        <x:f>IF('Analyst Review'!E20="Yes","verified/intake approved",IF('Team Scoring'!K20=0,"seed fallback - intake pending","partial intake - review required"))</x:f>
        <x:v>seed fallback - intake pending</x:v>
      </x:c>
      <x:c r="K20" s="68" t="str">
        <x:f>"Squad: "&amp;'Team Scoring'!L20&amp;"; Manager: "&amp;'Manager Profiles'!N20&amp;"; Tactical: "&amp;'Formation Profiles'!M20</x:f>
        <x:v>Squad: seed fallback - player ratings pending; Manager: seed fallback - analyst rubric pending; Tactical: manual tactical review pending</x:v>
      </x:c>
      <x:c r="L20" s="55" t="n">
        <x:f>'Team Scoring'!I20</x:f>
        <x:v>100</x:v>
      </x:c>
      <x:c r="M20" s="55" t="n">
        <x:f>IF('Analyst Review'!N20&lt;&gt;"",'Analyst Review'!N20,'Formation Profiles'!K20)</x:f>
        <x:v>50</x:v>
      </x:c>
      <x:c r="N20" s="55" t="n">
        <x:f>'Analyst Review'!F20</x:f>
        <x:v>0</x:v>
      </x:c>
      <x:c r="O20" s="51" t="str">
        <x:f>'Analyst Review'!E20</x:f>
        <x:v>No</x:v>
      </x:c>
    </x:row>
    <x:row r="21" ht="25.5" customHeight="1">
      <x:c r="A21" s="51" t="str">
        <x:f>'Seed Profiles'!A21</x:f>
        <x:v>Curaçao</x:v>
      </x:c>
      <x:c r="B21" s="51" t="str">
        <x:f>'Seed Profiles'!B21</x:f>
        <x:v>Curaçao</x:v>
      </x:c>
      <x:c r="C21" s="51" t="str">
        <x:f>'Manager Profiles'!C21</x:f>
        <x:v>manual_required</x:v>
      </x:c>
      <x:c r="D21" s="51" t="str">
        <x:f>'Formation Profiles'!C21</x:f>
        <x:v>profile proxy / manual review required</x:v>
      </x:c>
      <x:c r="E21" s="55" t="n">
        <x:f>IF('Analyst Review'!L21&lt;&gt;"",'Analyst Review'!L21,'Team Scoring'!C21)</x:f>
        <x:v>35</x:v>
      </x:c>
      <x:c r="F21" s="55" t="n">
        <x:f>'Team Scoring'!D21</x:f>
        <x:v>36</x:v>
      </x:c>
      <x:c r="G21" s="55" t="n">
        <x:f>'Team Scoring'!E21</x:f>
        <x:v>31</x:v>
      </x:c>
      <x:c r="H21" s="55" t="n">
        <x:f>IF('Analyst Review'!M21&lt;&gt;"",'Analyst Review'!M21,'Manager Profiles'!L21)</x:f>
        <x:v>45</x:v>
      </x:c>
      <x:c r="I21" s="55" t="n">
        <x:f>'Manager Profiles'!M21</x:f>
        <x:v>42</x:v>
      </x:c>
      <x:c r="J21" s="68" t="str">
        <x:f>IF('Analyst Review'!E21="Yes","verified/intake approved",IF('Team Scoring'!K21=0,"seed fallback - intake pending","partial intake - review required"))</x:f>
        <x:v>seed fallback - intake pending</x:v>
      </x:c>
      <x:c r="K21" s="68" t="str">
        <x:f>"Squad: "&amp;'Team Scoring'!L21&amp;"; Manager: "&amp;'Manager Profiles'!N21&amp;"; Tactical: "&amp;'Formation Profiles'!M21</x:f>
        <x:v>Squad: seed fallback - player ratings pending; Manager: seed fallback - analyst rubric pending; Tactical: manual tactical review pending</x:v>
      </x:c>
      <x:c r="L21" s="55" t="n">
        <x:f>'Team Scoring'!I21</x:f>
        <x:v>100</x:v>
      </x:c>
      <x:c r="M21" s="55" t="n">
        <x:f>IF('Analyst Review'!N21&lt;&gt;"",'Analyst Review'!N21,'Formation Profiles'!K21)</x:f>
        <x:v>50</x:v>
      </x:c>
      <x:c r="N21" s="55" t="n">
        <x:f>'Analyst Review'!F21</x:f>
        <x:v>0</x:v>
      </x:c>
      <x:c r="O21" s="51" t="str">
        <x:f>'Analyst Review'!E21</x:f>
        <x:v>No</x:v>
      </x:c>
    </x:row>
    <x:row r="22" ht="25.5" customHeight="1">
      <x:c r="A22" s="51" t="str">
        <x:f>'Seed Profiles'!A22</x:f>
        <x:v>Ecuador</x:v>
      </x:c>
      <x:c r="B22" s="51" t="str">
        <x:f>'Seed Profiles'!B22</x:f>
        <x:v>Ecuador</x:v>
      </x:c>
      <x:c r="C22" s="51" t="str">
        <x:f>'Manager Profiles'!C22</x:f>
        <x:v>Sebastian Beccacece</x:v>
      </x:c>
      <x:c r="D22" s="51" t="str">
        <x:f>'Formation Profiles'!C22</x:f>
        <x:v>aggressive pressing / transitions</x:v>
      </x:c>
      <x:c r="E22" s="55" t="n">
        <x:f>IF('Analyst Review'!L22&lt;&gt;"",'Analyst Review'!L22,'Team Scoring'!C22)</x:f>
        <x:v>78</x:v>
      </x:c>
      <x:c r="F22" s="55" t="n">
        <x:f>'Team Scoring'!D22</x:f>
        <x:v>79</x:v>
      </x:c>
      <x:c r="G22" s="55" t="n">
        <x:f>'Team Scoring'!E22</x:f>
        <x:v>74</x:v>
      </x:c>
      <x:c r="H22" s="55" t="n">
        <x:f>IF('Analyst Review'!M22&lt;&gt;"",'Analyst Review'!M22,'Manager Profiles'!L22)</x:f>
        <x:v>73</x:v>
      </x:c>
      <x:c r="I22" s="55" t="n">
        <x:f>'Manager Profiles'!M22</x:f>
        <x:v>76</x:v>
      </x:c>
      <x:c r="J22" s="68" t="str">
        <x:f>IF('Analyst Review'!E22="Yes","verified/intake approved",IF('Team Scoring'!K22=0,"seed fallback - intake pending","partial intake - review required"))</x:f>
        <x:v>seed fallback - intake pending</x:v>
      </x:c>
      <x:c r="K22" s="68" t="str">
        <x:f>"Squad: "&amp;'Team Scoring'!L22&amp;"; Manager: "&amp;'Manager Profiles'!N22&amp;"; Tactical: "&amp;'Formation Profiles'!M22</x:f>
        <x:v>Squad: seed fallback - player ratings pending; Manager: seed fallback - analyst rubric pending; Tactical: manual tactical review pending</x:v>
      </x:c>
      <x:c r="L22" s="55" t="n">
        <x:f>'Team Scoring'!I22</x:f>
        <x:v>100</x:v>
      </x:c>
      <x:c r="M22" s="55" t="n">
        <x:f>IF('Analyst Review'!N22&lt;&gt;"",'Analyst Review'!N22,'Formation Profiles'!K22)</x:f>
        <x:v>50</x:v>
      </x:c>
      <x:c r="N22" s="55" t="n">
        <x:f>'Analyst Review'!F22</x:f>
        <x:v>0</x:v>
      </x:c>
      <x:c r="O22" s="51" t="str">
        <x:f>'Analyst Review'!E22</x:f>
        <x:v>No</x:v>
      </x:c>
    </x:row>
    <x:row r="23" ht="25.5" customHeight="1">
      <x:c r="A23" s="51" t="str">
        <x:f>'Seed Profiles'!A23</x:f>
        <x:v>Germany</x:v>
      </x:c>
      <x:c r="B23" s="51" t="str">
        <x:f>'Seed Profiles'!B23</x:f>
        <x:v>Germany</x:v>
      </x:c>
      <x:c r="C23" s="51" t="str">
        <x:f>'Manager Profiles'!C23</x:f>
        <x:v>Julian Nagelsmann</x:v>
      </x:c>
      <x:c r="D23" s="51" t="str">
        <x:f>'Formation Profiles'!C23</x:f>
        <x:v>high-tempo positional play</x:v>
      </x:c>
      <x:c r="E23" s="55" t="n">
        <x:f>IF('Analyst Review'!L23&lt;&gt;"",'Analyst Review'!L23,'Team Scoring'!C23)</x:f>
        <x:v>86</x:v>
      </x:c>
      <x:c r="F23" s="55" t="n">
        <x:f>'Team Scoring'!D23</x:f>
        <x:v>86</x:v>
      </x:c>
      <x:c r="G23" s="55" t="n">
        <x:f>'Team Scoring'!E23</x:f>
        <x:v>85</x:v>
      </x:c>
      <x:c r="H23" s="55" t="n">
        <x:f>IF('Analyst Review'!M23&lt;&gt;"",'Analyst Review'!M23,'Manager Profiles'!L23)</x:f>
        <x:v>82</x:v>
      </x:c>
      <x:c r="I23" s="55" t="n">
        <x:f>'Manager Profiles'!M23</x:f>
        <x:v>90</x:v>
      </x:c>
      <x:c r="J23" s="68" t="str">
        <x:f>IF('Analyst Review'!E23="Yes","verified/intake approved",IF('Team Scoring'!K23=0,"seed fallback - intake pending","partial intake - review required"))</x:f>
        <x:v>seed fallback - intake pending</x:v>
      </x:c>
      <x:c r="K23" s="68" t="str">
        <x:f>"Squad: "&amp;'Team Scoring'!L23&amp;"; Manager: "&amp;'Manager Profiles'!N23&amp;"; Tactical: "&amp;'Formation Profiles'!M23</x:f>
        <x:v>Squad: seed fallback - player ratings pending; Manager: seed fallback - analyst rubric pending; Tactical: manual tactical review pending</x:v>
      </x:c>
      <x:c r="L23" s="55" t="n">
        <x:f>'Team Scoring'!I23</x:f>
        <x:v>100</x:v>
      </x:c>
      <x:c r="M23" s="55" t="n">
        <x:f>IF('Analyst Review'!N23&lt;&gt;"",'Analyst Review'!N23,'Formation Profiles'!K23)</x:f>
        <x:v>50</x:v>
      </x:c>
      <x:c r="N23" s="55" t="n">
        <x:f>'Analyst Review'!F23</x:f>
        <x:v>0</x:v>
      </x:c>
      <x:c r="O23" s="51" t="str">
        <x:f>'Analyst Review'!E23</x:f>
        <x:v>No</x:v>
      </x:c>
    </x:row>
    <x:row r="24" ht="25.5" customHeight="1">
      <x:c r="A24" s="51" t="str">
        <x:f>'Seed Profiles'!A24</x:f>
        <x:v>Ivory Coast</x:v>
      </x:c>
      <x:c r="B24" s="51" t="str">
        <x:f>'Seed Profiles'!B24</x:f>
        <x:v>Ivory Coast</x:v>
      </x:c>
      <x:c r="C24" s="51" t="str">
        <x:f>'Manager Profiles'!C24</x:f>
        <x:v>manual_required</x:v>
      </x:c>
      <x:c r="D24" s="51" t="str">
        <x:f>'Formation Profiles'!C24</x:f>
        <x:v>profile proxy / manual review required</x:v>
      </x:c>
      <x:c r="E24" s="55" t="n">
        <x:f>IF('Analyst Review'!L24&lt;&gt;"",'Analyst Review'!L24,'Team Scoring'!C24)</x:f>
        <x:v>74</x:v>
      </x:c>
      <x:c r="F24" s="55" t="n">
        <x:f>'Team Scoring'!D24</x:f>
        <x:v>74</x:v>
      </x:c>
      <x:c r="G24" s="55" t="n">
        <x:f>'Team Scoring'!E24</x:f>
        <x:v>72</x:v>
      </x:c>
      <x:c r="H24" s="55" t="n">
        <x:f>IF('Analyst Review'!M24&lt;&gt;"",'Analyst Review'!M24,'Manager Profiles'!L24)</x:f>
        <x:v>50.21</x:v>
      </x:c>
      <x:c r="I24" s="55" t="n">
        <x:f>'Manager Profiles'!M24</x:f>
        <x:v>48.21</x:v>
      </x:c>
      <x:c r="J24" s="68" t="str">
        <x:f>IF('Analyst Review'!E24="Yes","verified/intake approved",IF('Team Scoring'!K24=0,"seed fallback - intake pending","partial intake - review required"))</x:f>
        <x:v>seed fallback - intake pending</x:v>
      </x:c>
      <x:c r="K24" s="68" t="str">
        <x:f>"Squad: "&amp;'Team Scoring'!L24&amp;"; Manager: "&amp;'Manager Profiles'!N24&amp;"; Tactical: "&amp;'Formation Profiles'!M24</x:f>
        <x:v>Squad: seed fallback - player ratings pending; Manager: seed fallback - analyst rubric pending; Tactical: manual tactical review pending</x:v>
      </x:c>
      <x:c r="L24" s="55" t="n">
        <x:f>'Team Scoring'!I24</x:f>
        <x:v>100</x:v>
      </x:c>
      <x:c r="M24" s="55" t="n">
        <x:f>IF('Analyst Review'!N24&lt;&gt;"",'Analyst Review'!N24,'Formation Profiles'!K24)</x:f>
        <x:v>50</x:v>
      </x:c>
      <x:c r="N24" s="55" t="n">
        <x:f>'Analyst Review'!F24</x:f>
        <x:v>0</x:v>
      </x:c>
      <x:c r="O24" s="51" t="str">
        <x:f>'Analyst Review'!E24</x:f>
        <x:v>No</x:v>
      </x:c>
    </x:row>
    <x:row r="25" ht="25.5" customHeight="1">
      <x:c r="A25" s="51" t="str">
        <x:f>'Seed Profiles'!A25</x:f>
        <x:v>Japan</x:v>
      </x:c>
      <x:c r="B25" s="51" t="str">
        <x:f>'Seed Profiles'!B25</x:f>
        <x:v>Japan</x:v>
      </x:c>
      <x:c r="C25" s="51" t="str">
        <x:f>'Manager Profiles'!C25</x:f>
        <x:v>Hajime Moriyasu</x:v>
      </x:c>
      <x:c r="D25" s="51" t="str">
        <x:f>'Formation Profiles'!C25</x:f>
        <x:v>compact transitions / tactical flexibility</x:v>
      </x:c>
      <x:c r="E25" s="55" t="n">
        <x:f>IF('Analyst Review'!L25&lt;&gt;"",'Analyst Review'!L25,'Team Scoring'!C25)</x:f>
        <x:v>79</x:v>
      </x:c>
      <x:c r="F25" s="55" t="n">
        <x:f>'Team Scoring'!D25</x:f>
        <x:v>78</x:v>
      </x:c>
      <x:c r="G25" s="55" t="n">
        <x:f>'Team Scoring'!E25</x:f>
        <x:v>78</x:v>
      </x:c>
      <x:c r="H25" s="55" t="n">
        <x:f>IF('Analyst Review'!M25&lt;&gt;"",'Analyst Review'!M25,'Manager Profiles'!L25)</x:f>
        <x:v>80</x:v>
      </x:c>
      <x:c r="I25" s="55" t="n">
        <x:f>'Manager Profiles'!M25</x:f>
        <x:v>82</x:v>
      </x:c>
      <x:c r="J25" s="68" t="str">
        <x:f>IF('Analyst Review'!E25="Yes","verified/intake approved",IF('Team Scoring'!K25=0,"seed fallback - intake pending","partial intake - review required"))</x:f>
        <x:v>seed fallback - intake pending</x:v>
      </x:c>
      <x:c r="K25" s="68" t="str">
        <x:f>"Squad: "&amp;'Team Scoring'!L25&amp;"; Manager: "&amp;'Manager Profiles'!N25&amp;"; Tactical: "&amp;'Formation Profiles'!M25</x:f>
        <x:v>Squad: seed fallback - player ratings pending; Manager: seed fallback - analyst rubric pending; Tactical: manual tactical review pending</x:v>
      </x:c>
      <x:c r="L25" s="55" t="n">
        <x:f>'Team Scoring'!I25</x:f>
        <x:v>100</x:v>
      </x:c>
      <x:c r="M25" s="55" t="n">
        <x:f>IF('Analyst Review'!N25&lt;&gt;"",'Analyst Review'!N25,'Formation Profiles'!K25)</x:f>
        <x:v>50</x:v>
      </x:c>
      <x:c r="N25" s="55" t="n">
        <x:f>'Analyst Review'!F25</x:f>
        <x:v>0</x:v>
      </x:c>
      <x:c r="O25" s="51" t="str">
        <x:f>'Analyst Review'!E25</x:f>
        <x:v>No</x:v>
      </x:c>
    </x:row>
    <x:row r="26" ht="25.5" customHeight="1">
      <x:c r="A26" s="51" t="str">
        <x:f>'Seed Profiles'!A26</x:f>
        <x:v>Netherlands</x:v>
      </x:c>
      <x:c r="B26" s="51" t="str">
        <x:f>'Seed Profiles'!B26</x:f>
        <x:v>Netherlands</x:v>
      </x:c>
      <x:c r="C26" s="51" t="str">
        <x:f>'Manager Profiles'!C26</x:f>
        <x:v>Ronald Koeman</x:v>
      </x:c>
      <x:c r="D26" s="51" t="str">
        <x:f>'Formation Profiles'!C26</x:f>
        <x:v>possession / wing progression</x:v>
      </x:c>
      <x:c r="E26" s="55" t="n">
        <x:f>IF('Analyst Review'!L26&lt;&gt;"",'Analyst Review'!L26,'Team Scoring'!C26)</x:f>
        <x:v>86</x:v>
      </x:c>
      <x:c r="F26" s="55" t="n">
        <x:f>'Team Scoring'!D26</x:f>
        <x:v>86</x:v>
      </x:c>
      <x:c r="G26" s="55" t="n">
        <x:f>'Team Scoring'!E26</x:f>
        <x:v>84</x:v>
      </x:c>
      <x:c r="H26" s="55" t="n">
        <x:f>IF('Analyst Review'!M26&lt;&gt;"",'Analyst Review'!M26,'Manager Profiles'!L26)</x:f>
        <x:v>76</x:v>
      </x:c>
      <x:c r="I26" s="55" t="n">
        <x:f>'Manager Profiles'!M26</x:f>
        <x:v>74</x:v>
      </x:c>
      <x:c r="J26" s="68" t="str">
        <x:f>IF('Analyst Review'!E26="Yes","verified/intake approved",IF('Team Scoring'!K26=0,"seed fallback - intake pending","partial intake - review required"))</x:f>
        <x:v>seed fallback - intake pending</x:v>
      </x:c>
      <x:c r="K26" s="68" t="str">
        <x:f>"Squad: "&amp;'Team Scoring'!L26&amp;"; Manager: "&amp;'Manager Profiles'!N26&amp;"; Tactical: "&amp;'Formation Profiles'!M26</x:f>
        <x:v>Squad: seed fallback - player ratings pending; Manager: seed fallback - analyst rubric pending; Tactical: manual tactical review pending</x:v>
      </x:c>
      <x:c r="L26" s="55" t="n">
        <x:f>'Team Scoring'!I26</x:f>
        <x:v>100</x:v>
      </x:c>
      <x:c r="M26" s="55" t="n">
        <x:f>IF('Analyst Review'!N26&lt;&gt;"",'Analyst Review'!N26,'Formation Profiles'!K26)</x:f>
        <x:v>50</x:v>
      </x:c>
      <x:c r="N26" s="55" t="n">
        <x:f>'Analyst Review'!F26</x:f>
        <x:v>0</x:v>
      </x:c>
      <x:c r="O26" s="51" t="str">
        <x:f>'Analyst Review'!E26</x:f>
        <x:v>No</x:v>
      </x:c>
    </x:row>
    <x:row r="27" ht="25.5" customHeight="1">
      <x:c r="A27" s="51" t="str">
        <x:f>'Seed Profiles'!A27</x:f>
        <x:v>Sweden</x:v>
      </x:c>
      <x:c r="B27" s="51" t="str">
        <x:f>'Seed Profiles'!B27</x:f>
        <x:v>Sweden</x:v>
      </x:c>
      <x:c r="C27" s="51" t="str">
        <x:f>'Manager Profiles'!C27</x:f>
        <x:v>manual_required</x:v>
      </x:c>
      <x:c r="D27" s="51" t="str">
        <x:f>'Formation Profiles'!C27</x:f>
        <x:v>profile proxy / manual review required</x:v>
      </x:c>
      <x:c r="E27" s="55" t="n">
        <x:f>IF('Analyst Review'!L27&lt;&gt;"",'Analyst Review'!L27,'Team Scoring'!C27)</x:f>
        <x:v>72</x:v>
      </x:c>
      <x:c r="F27" s="55" t="n">
        <x:f>'Team Scoring'!D27</x:f>
        <x:v>72</x:v>
      </x:c>
      <x:c r="G27" s="55" t="n">
        <x:f>'Team Scoring'!E27</x:f>
        <x:v>69</x:v>
      </x:c>
      <x:c r="H27" s="55" t="n">
        <x:f>IF('Analyst Review'!M27&lt;&gt;"",'Analyst Review'!M27,'Manager Profiles'!L27)</x:f>
        <x:v>48.17</x:v>
      </x:c>
      <x:c r="I27" s="55" t="n">
        <x:f>'Manager Profiles'!M27</x:f>
        <x:v>46.17</x:v>
      </x:c>
      <x:c r="J27" s="68" t="str">
        <x:f>IF('Analyst Review'!E27="Yes","verified/intake approved",IF('Team Scoring'!K27=0,"seed fallback - intake pending","partial intake - review required"))</x:f>
        <x:v>seed fallback - intake pending</x:v>
      </x:c>
      <x:c r="K27" s="68" t="str">
        <x:f>"Squad: "&amp;'Team Scoring'!L27&amp;"; Manager: "&amp;'Manager Profiles'!N27&amp;"; Tactical: "&amp;'Formation Profiles'!M27</x:f>
        <x:v>Squad: seed fallback - player ratings pending; Manager: seed fallback - analyst rubric pending; Tactical: manual tactical review pending</x:v>
      </x:c>
      <x:c r="L27" s="55" t="n">
        <x:f>'Team Scoring'!I27</x:f>
        <x:v>100</x:v>
      </x:c>
      <x:c r="M27" s="55" t="n">
        <x:f>IF('Analyst Review'!N27&lt;&gt;"",'Analyst Review'!N27,'Formation Profiles'!K27)</x:f>
        <x:v>50</x:v>
      </x:c>
      <x:c r="N27" s="55" t="n">
        <x:f>'Analyst Review'!F27</x:f>
        <x:v>0</x:v>
      </x:c>
      <x:c r="O27" s="51" t="str">
        <x:f>'Analyst Review'!E27</x:f>
        <x:v>No</x:v>
      </x:c>
    </x:row>
    <x:row r="28" ht="25.5" customHeight="1">
      <x:c r="A28" s="51" t="str">
        <x:f>'Seed Profiles'!A28</x:f>
        <x:v>Tunisia</x:v>
      </x:c>
      <x:c r="B28" s="51" t="str">
        <x:f>'Seed Profiles'!B28</x:f>
        <x:v>Tunisia</x:v>
      </x:c>
      <x:c r="C28" s="51" t="str">
        <x:f>'Manager Profiles'!C28</x:f>
        <x:v>manual_required</x:v>
      </x:c>
      <x:c r="D28" s="51" t="str">
        <x:f>'Formation Profiles'!C28</x:f>
        <x:v>profile proxy / manual review required</x:v>
      </x:c>
      <x:c r="E28" s="55" t="n">
        <x:f>IF('Analyst Review'!L28&lt;&gt;"",'Analyst Review'!L28,'Team Scoring'!C28)</x:f>
        <x:v>41</x:v>
      </x:c>
      <x:c r="F28" s="55" t="n">
        <x:f>'Team Scoring'!D28</x:f>
        <x:v>42</x:v>
      </x:c>
      <x:c r="G28" s="55" t="n">
        <x:f>'Team Scoring'!E28</x:f>
        <x:v>37</x:v>
      </x:c>
      <x:c r="H28" s="55" t="n">
        <x:f>IF('Analyst Review'!M28&lt;&gt;"",'Analyst Review'!M28,'Manager Profiles'!L28)</x:f>
        <x:v>45.45</x:v>
      </x:c>
      <x:c r="I28" s="55" t="n">
        <x:f>'Manager Profiles'!M28</x:f>
        <x:v>43.45</x:v>
      </x:c>
      <x:c r="J28" s="68" t="str">
        <x:f>IF('Analyst Review'!E28="Yes","verified/intake approved",IF('Team Scoring'!K28=0,"seed fallback - intake pending","partial intake - review required"))</x:f>
        <x:v>seed fallback - intake pending</x:v>
      </x:c>
      <x:c r="K28" s="68" t="str">
        <x:f>"Squad: "&amp;'Team Scoring'!L28&amp;"; Manager: "&amp;'Manager Profiles'!N28&amp;"; Tactical: "&amp;'Formation Profiles'!M28</x:f>
        <x:v>Squad: seed fallback - player ratings pending; Manager: seed fallback - analyst rubric pending; Tactical: manual tactical review pending</x:v>
      </x:c>
      <x:c r="L28" s="55" t="n">
        <x:f>'Team Scoring'!I28</x:f>
        <x:v>100</x:v>
      </x:c>
      <x:c r="M28" s="55" t="n">
        <x:f>IF('Analyst Review'!N28&lt;&gt;"",'Analyst Review'!N28,'Formation Profiles'!K28)</x:f>
        <x:v>50</x:v>
      </x:c>
      <x:c r="N28" s="55" t="n">
        <x:f>'Analyst Review'!F28</x:f>
        <x:v>0</x:v>
      </x:c>
      <x:c r="O28" s="51" t="str">
        <x:f>'Analyst Review'!E28</x:f>
        <x:v>No</x:v>
      </x:c>
    </x:row>
    <x:row r="29" ht="25.5" customHeight="1">
      <x:c r="A29" s="51" t="str">
        <x:f>'Seed Profiles'!A29</x:f>
        <x:v>Belgium</x:v>
      </x:c>
      <x:c r="B29" s="51" t="str">
        <x:f>'Seed Profiles'!B29</x:f>
        <x:v>Belgium</x:v>
      </x:c>
      <x:c r="C29" s="51" t="str">
        <x:f>'Manager Profiles'!C29</x:f>
        <x:v>Rudi Garcia</x:v>
      </x:c>
      <x:c r="D29" s="51" t="str">
        <x:f>'Formation Profiles'!C29</x:f>
        <x:v>possession / direct attacking phases</x:v>
      </x:c>
      <x:c r="E29" s="55" t="n">
        <x:f>IF('Analyst Review'!L29&lt;&gt;"",'Analyst Review'!L29,'Team Scoring'!C29)</x:f>
        <x:v>81</x:v>
      </x:c>
      <x:c r="F29" s="55" t="n">
        <x:f>'Team Scoring'!D29</x:f>
        <x:v>82</x:v>
      </x:c>
      <x:c r="G29" s="55" t="n">
        <x:f>'Team Scoring'!E29</x:f>
        <x:v>77</x:v>
      </x:c>
      <x:c r="H29" s="55" t="n">
        <x:f>IF('Analyst Review'!M29&lt;&gt;"",'Analyst Review'!M29,'Manager Profiles'!L29)</x:f>
        <x:v>74</x:v>
      </x:c>
      <x:c r="I29" s="55" t="n">
        <x:f>'Manager Profiles'!M29</x:f>
        <x:v>72</x:v>
      </x:c>
      <x:c r="J29" s="68" t="str">
        <x:f>IF('Analyst Review'!E29="Yes","verified/intake approved",IF('Team Scoring'!K29=0,"seed fallback - intake pending","partial intake - review required"))</x:f>
        <x:v>seed fallback - intake pending</x:v>
      </x:c>
      <x:c r="K29" s="68" t="str">
        <x:f>"Squad: "&amp;'Team Scoring'!L29&amp;"; Manager: "&amp;'Manager Profiles'!N29&amp;"; Tactical: "&amp;'Formation Profiles'!M29</x:f>
        <x:v>Squad: seed fallback - player ratings pending; Manager: seed fallback - analyst rubric pending; Tactical: manual tactical review pending</x:v>
      </x:c>
      <x:c r="L29" s="55" t="n">
        <x:f>'Team Scoring'!I29</x:f>
        <x:v>100</x:v>
      </x:c>
      <x:c r="M29" s="55" t="n">
        <x:f>IF('Analyst Review'!N29&lt;&gt;"",'Analyst Review'!N29,'Formation Profiles'!K29)</x:f>
        <x:v>50</x:v>
      </x:c>
      <x:c r="N29" s="55" t="n">
        <x:f>'Analyst Review'!F29</x:f>
        <x:v>0</x:v>
      </x:c>
      <x:c r="O29" s="51" t="str">
        <x:f>'Analyst Review'!E29</x:f>
        <x:v>No</x:v>
      </x:c>
    </x:row>
    <x:row r="30" ht="25.5" customHeight="1">
      <x:c r="A30" s="51" t="str">
        <x:f>'Seed Profiles'!A30</x:f>
        <x:v>Egypt</x:v>
      </x:c>
      <x:c r="B30" s="51" t="str">
        <x:f>'Seed Profiles'!B30</x:f>
        <x:v>Egypt</x:v>
      </x:c>
      <x:c r="C30" s="51" t="str">
        <x:f>'Manager Profiles'!C30</x:f>
        <x:v>manual_required</x:v>
      </x:c>
      <x:c r="D30" s="51" t="str">
        <x:f>'Formation Profiles'!C30</x:f>
        <x:v>profile proxy / manual review required</x:v>
      </x:c>
      <x:c r="E30" s="55" t="n">
        <x:f>IF('Analyst Review'!L30&lt;&gt;"",'Analyst Review'!L30,'Team Scoring'!C30)</x:f>
        <x:v>72</x:v>
      </x:c>
      <x:c r="F30" s="55" t="n">
        <x:f>'Team Scoring'!D30</x:f>
        <x:v>73</x:v>
      </x:c>
      <x:c r="G30" s="55" t="n">
        <x:f>'Team Scoring'!E30</x:f>
        <x:v>68</x:v>
      </x:c>
      <x:c r="H30" s="55" t="n">
        <x:f>IF('Analyst Review'!M30&lt;&gt;"",'Analyst Review'!M30,'Manager Profiles'!L30)</x:f>
        <x:v>56.89</x:v>
      </x:c>
      <x:c r="I30" s="55" t="n">
        <x:f>'Manager Profiles'!M30</x:f>
        <x:v>54.89</x:v>
      </x:c>
      <x:c r="J30" s="68" t="str">
        <x:f>IF('Analyst Review'!E30="Yes","verified/intake approved",IF('Team Scoring'!K30=0,"seed fallback - intake pending","partial intake - review required"))</x:f>
        <x:v>seed fallback - intake pending</x:v>
      </x:c>
      <x:c r="K30" s="68" t="str">
        <x:f>"Squad: "&amp;'Team Scoring'!L30&amp;"; Manager: "&amp;'Manager Profiles'!N30&amp;"; Tactical: "&amp;'Formation Profiles'!M30</x:f>
        <x:v>Squad: seed fallback - player ratings pending; Manager: seed fallback - analyst rubric pending; Tactical: manual tactical review pending</x:v>
      </x:c>
      <x:c r="L30" s="55" t="n">
        <x:f>'Team Scoring'!I30</x:f>
        <x:v>100</x:v>
      </x:c>
      <x:c r="M30" s="55" t="n">
        <x:f>IF('Analyst Review'!N30&lt;&gt;"",'Analyst Review'!N30,'Formation Profiles'!K30)</x:f>
        <x:v>50</x:v>
      </x:c>
      <x:c r="N30" s="55" t="n">
        <x:f>'Analyst Review'!F30</x:f>
        <x:v>0</x:v>
      </x:c>
      <x:c r="O30" s="51" t="str">
        <x:f>'Analyst Review'!E30</x:f>
        <x:v>No</x:v>
      </x:c>
    </x:row>
    <x:row r="31" ht="25.5" customHeight="1">
      <x:c r="A31" s="51" t="str">
        <x:f>'Seed Profiles'!A31</x:f>
        <x:v>Iran</x:v>
      </x:c>
      <x:c r="B31" s="51" t="str">
        <x:f>'Seed Profiles'!B31</x:f>
        <x:v>Iran</x:v>
      </x:c>
      <x:c r="C31" s="51" t="str">
        <x:f>'Manager Profiles'!C31</x:f>
        <x:v>manual_required</x:v>
      </x:c>
      <x:c r="D31" s="51" t="str">
        <x:f>'Formation Profiles'!C31</x:f>
        <x:v>profile proxy / manual review required</x:v>
      </x:c>
      <x:c r="E31" s="55" t="n">
        <x:f>IF('Analyst Review'!L31&lt;&gt;"",'Analyst Review'!L31,'Team Scoring'!C31)</x:f>
        <x:v>71</x:v>
      </x:c>
      <x:c r="F31" s="55" t="n">
        <x:f>'Team Scoring'!D31</x:f>
        <x:v>72</x:v>
      </x:c>
      <x:c r="G31" s="55" t="n">
        <x:f>'Team Scoring'!E31</x:f>
        <x:v>68</x:v>
      </x:c>
      <x:c r="H31" s="55" t="n">
        <x:f>IF('Analyst Review'!M31&lt;&gt;"",'Analyst Review'!M31,'Manager Profiles'!L31)</x:f>
        <x:v>61.66</x:v>
      </x:c>
      <x:c r="I31" s="55" t="n">
        <x:f>'Manager Profiles'!M31</x:f>
        <x:v>59.66</x:v>
      </x:c>
      <x:c r="J31" s="68" t="str">
        <x:f>IF('Analyst Review'!E31="Yes","verified/intake approved",IF('Team Scoring'!K31=0,"seed fallback - intake pending","partial intake - review required"))</x:f>
        <x:v>seed fallback - intake pending</x:v>
      </x:c>
      <x:c r="K31" s="68" t="str">
        <x:f>"Squad: "&amp;'Team Scoring'!L31&amp;"; Manager: "&amp;'Manager Profiles'!N31&amp;"; Tactical: "&amp;'Formation Profiles'!M31</x:f>
        <x:v>Squad: seed fallback - player ratings pending; Manager: seed fallback - analyst rubric pending; Tactical: manual tactical review pending</x:v>
      </x:c>
      <x:c r="L31" s="55" t="n">
        <x:f>'Team Scoring'!I31</x:f>
        <x:v>100</x:v>
      </x:c>
      <x:c r="M31" s="55" t="n">
        <x:f>IF('Analyst Review'!N31&lt;&gt;"",'Analyst Review'!N31,'Formation Profiles'!K31)</x:f>
        <x:v>50</x:v>
      </x:c>
      <x:c r="N31" s="55" t="n">
        <x:f>'Analyst Review'!F31</x:f>
        <x:v>0</x:v>
      </x:c>
      <x:c r="O31" s="51" t="str">
        <x:f>'Analyst Review'!E31</x:f>
        <x:v>No</x:v>
      </x:c>
    </x:row>
    <x:row r="32" ht="25.5" customHeight="1">
      <x:c r="A32" s="51" t="str">
        <x:f>'Seed Profiles'!A32</x:f>
        <x:v>New Zealand</x:v>
      </x:c>
      <x:c r="B32" s="51" t="str">
        <x:f>'Seed Profiles'!B32</x:f>
        <x:v>New Zealand</x:v>
      </x:c>
      <x:c r="C32" s="51" t="str">
        <x:f>'Manager Profiles'!C32</x:f>
        <x:v>Darren Bazeley</x:v>
      </x:c>
      <x:c r="D32" s="51" t="str">
        <x:f>'Formation Profiles'!C32</x:f>
        <x:v>compact / direct play</x:v>
      </x:c>
      <x:c r="E32" s="55" t="n">
        <x:f>IF('Analyst Review'!L32&lt;&gt;"",'Analyst Review'!L32,'Team Scoring'!C32)</x:f>
        <x:v>42</x:v>
      </x:c>
      <x:c r="F32" s="55" t="n">
        <x:f>'Team Scoring'!D32</x:f>
        <x:v>43</x:v>
      </x:c>
      <x:c r="G32" s="55" t="n">
        <x:f>'Team Scoring'!E32</x:f>
        <x:v>38</x:v>
      </x:c>
      <x:c r="H32" s="55" t="n">
        <x:f>IF('Analyst Review'!M32&lt;&gt;"",'Analyst Review'!M32,'Manager Profiles'!L32)</x:f>
        <x:v>62</x:v>
      </x:c>
      <x:c r="I32" s="55" t="n">
        <x:f>'Manager Profiles'!M32</x:f>
        <x:v>62</x:v>
      </x:c>
      <x:c r="J32" s="68" t="str">
        <x:f>IF('Analyst Review'!E32="Yes","verified/intake approved",IF('Team Scoring'!K32=0,"seed fallback - intake pending","partial intake - review required"))</x:f>
        <x:v>seed fallback - intake pending</x:v>
      </x:c>
      <x:c r="K32" s="68" t="str">
        <x:f>"Squad: "&amp;'Team Scoring'!L32&amp;"; Manager: "&amp;'Manager Profiles'!N32&amp;"; Tactical: "&amp;'Formation Profiles'!M32</x:f>
        <x:v>Squad: seed fallback - player ratings pending; Manager: seed fallback - analyst rubric pending; Tactical: manual tactical review pending</x:v>
      </x:c>
      <x:c r="L32" s="55" t="n">
        <x:f>'Team Scoring'!I32</x:f>
        <x:v>100</x:v>
      </x:c>
      <x:c r="M32" s="55" t="n">
        <x:f>IF('Analyst Review'!N32&lt;&gt;"",'Analyst Review'!N32,'Formation Profiles'!K32)</x:f>
        <x:v>50</x:v>
      </x:c>
      <x:c r="N32" s="55" t="n">
        <x:f>'Analyst Review'!F32</x:f>
        <x:v>0</x:v>
      </x:c>
      <x:c r="O32" s="51" t="str">
        <x:f>'Analyst Review'!E32</x:f>
        <x:v>No</x:v>
      </x:c>
    </x:row>
    <x:row r="33" ht="25.5" customHeight="1">
      <x:c r="A33" s="51" t="str">
        <x:f>'Seed Profiles'!A33</x:f>
        <x:v>Cape Verde</x:v>
      </x:c>
      <x:c r="B33" s="51" t="str">
        <x:f>'Seed Profiles'!B33</x:f>
        <x:v>Cape Verde</x:v>
      </x:c>
      <x:c r="C33" s="51" t="str">
        <x:f>'Manager Profiles'!C33</x:f>
        <x:v>manual_required</x:v>
      </x:c>
      <x:c r="D33" s="51" t="str">
        <x:f>'Formation Profiles'!C33</x:f>
        <x:v>profile proxy / manual review required</x:v>
      </x:c>
      <x:c r="E33" s="55" t="n">
        <x:f>IF('Analyst Review'!L33&lt;&gt;"",'Analyst Review'!L33,'Team Scoring'!C33)</x:f>
        <x:v>38</x:v>
      </x:c>
      <x:c r="F33" s="55" t="n">
        <x:f>'Team Scoring'!D33</x:f>
        <x:v>39</x:v>
      </x:c>
      <x:c r="G33" s="55" t="n">
        <x:f>'Team Scoring'!E33</x:f>
        <x:v>34</x:v>
      </x:c>
      <x:c r="H33" s="55" t="n">
        <x:f>IF('Analyst Review'!M33&lt;&gt;"",'Analyst Review'!M33,'Manager Profiles'!L33)</x:f>
        <x:v>45</x:v>
      </x:c>
      <x:c r="I33" s="55" t="n">
        <x:f>'Manager Profiles'!M33</x:f>
        <x:v>42</x:v>
      </x:c>
      <x:c r="J33" s="68" t="str">
        <x:f>IF('Analyst Review'!E33="Yes","verified/intake approved",IF('Team Scoring'!K33=0,"seed fallback - intake pending","partial intake - review required"))</x:f>
        <x:v>seed fallback - intake pending</x:v>
      </x:c>
      <x:c r="K33" s="68" t="str">
        <x:f>"Squad: "&amp;'Team Scoring'!L33&amp;"; Manager: "&amp;'Manager Profiles'!N33&amp;"; Tactical: "&amp;'Formation Profiles'!M33</x:f>
        <x:v>Squad: seed fallback - player ratings pending; Manager: seed fallback - analyst rubric pending; Tactical: manual tactical review pending</x:v>
      </x:c>
      <x:c r="L33" s="55" t="n">
        <x:f>'Team Scoring'!I33</x:f>
        <x:v>100</x:v>
      </x:c>
      <x:c r="M33" s="55" t="n">
        <x:f>IF('Analyst Review'!N33&lt;&gt;"",'Analyst Review'!N33,'Formation Profiles'!K33)</x:f>
        <x:v>50</x:v>
      </x:c>
      <x:c r="N33" s="55" t="n">
        <x:f>'Analyst Review'!F33</x:f>
        <x:v>0</x:v>
      </x:c>
      <x:c r="O33" s="51" t="str">
        <x:f>'Analyst Review'!E33</x:f>
        <x:v>No</x:v>
      </x:c>
    </x:row>
    <x:row r="34" ht="25.5" customHeight="1">
      <x:c r="A34" s="51" t="str">
        <x:f>'Seed Profiles'!A34</x:f>
        <x:v>Saudi Arabia</x:v>
      </x:c>
      <x:c r="B34" s="51" t="str">
        <x:f>'Seed Profiles'!B34</x:f>
        <x:v>Saudi Arabia</x:v>
      </x:c>
      <x:c r="C34" s="51" t="str">
        <x:f>'Manager Profiles'!C34</x:f>
        <x:v>manual_required</x:v>
      </x:c>
      <x:c r="D34" s="51" t="str">
        <x:f>'Formation Profiles'!C34</x:f>
        <x:v>profile proxy / manual review required</x:v>
      </x:c>
      <x:c r="E34" s="55" t="n">
        <x:f>IF('Analyst Review'!L34&lt;&gt;"",'Analyst Review'!L34,'Team Scoring'!C34)</x:f>
        <x:v>39</x:v>
      </x:c>
      <x:c r="F34" s="55" t="n">
        <x:f>'Team Scoring'!D34</x:f>
        <x:v>40</x:v>
      </x:c>
      <x:c r="G34" s="55" t="n">
        <x:f>'Team Scoring'!E34</x:f>
        <x:v>35</x:v>
      </x:c>
      <x:c r="H34" s="55" t="n">
        <x:f>IF('Analyst Review'!M34&lt;&gt;"",'Analyst Review'!M34,'Manager Profiles'!L34)</x:f>
        <x:v>45</x:v>
      </x:c>
      <x:c r="I34" s="55" t="n">
        <x:f>'Manager Profiles'!M34</x:f>
        <x:v>42.09</x:v>
      </x:c>
      <x:c r="J34" s="68" t="str">
        <x:f>IF('Analyst Review'!E34="Yes","verified/intake approved",IF('Team Scoring'!K34=0,"seed fallback - intake pending","partial intake - review required"))</x:f>
        <x:v>seed fallback - intake pending</x:v>
      </x:c>
      <x:c r="K34" s="68" t="str">
        <x:f>"Squad: "&amp;'Team Scoring'!L34&amp;"; Manager: "&amp;'Manager Profiles'!N34&amp;"; Tactical: "&amp;'Formation Profiles'!M34</x:f>
        <x:v>Squad: seed fallback - player ratings pending; Manager: seed fallback - analyst rubric pending; Tactical: manual tactical review pending</x:v>
      </x:c>
      <x:c r="L34" s="55" t="n">
        <x:f>'Team Scoring'!I34</x:f>
        <x:v>100</x:v>
      </x:c>
      <x:c r="M34" s="55" t="n">
        <x:f>IF('Analyst Review'!N34&lt;&gt;"",'Analyst Review'!N34,'Formation Profiles'!K34)</x:f>
        <x:v>50</x:v>
      </x:c>
      <x:c r="N34" s="55" t="n">
        <x:f>'Analyst Review'!F34</x:f>
        <x:v>0</x:v>
      </x:c>
      <x:c r="O34" s="51" t="str">
        <x:f>'Analyst Review'!E34</x:f>
        <x:v>No</x:v>
      </x:c>
    </x:row>
    <x:row r="35" ht="25.5" customHeight="1">
      <x:c r="A35" s="51" t="str">
        <x:f>'Seed Profiles'!A35</x:f>
        <x:v>Spain</x:v>
      </x:c>
      <x:c r="B35" s="51" t="str">
        <x:f>'Seed Profiles'!B35</x:f>
        <x:v>Spain</x:v>
      </x:c>
      <x:c r="C35" s="51" t="str">
        <x:f>'Manager Profiles'!C35</x:f>
        <x:v>Luis de la Fuente</x:v>
      </x:c>
      <x:c r="D35" s="51" t="str">
        <x:f>'Formation Profiles'!C35</x:f>
        <x:v>possession / high technical control</x:v>
      </x:c>
      <x:c r="E35" s="55" t="n">
        <x:f>IF('Analyst Review'!L35&lt;&gt;"",'Analyst Review'!L35,'Team Scoring'!C35)</x:f>
        <x:v>91</x:v>
      </x:c>
      <x:c r="F35" s="55" t="n">
        <x:f>'Team Scoring'!D35</x:f>
        <x:v>92</x:v>
      </x:c>
      <x:c r="G35" s="55" t="n">
        <x:f>'Team Scoring'!E35</x:f>
        <x:v>88</x:v>
      </x:c>
      <x:c r="H35" s="55" t="n">
        <x:f>IF('Analyst Review'!M35&lt;&gt;"",'Analyst Review'!M35,'Manager Profiles'!L35)</x:f>
        <x:v>86</x:v>
      </x:c>
      <x:c r="I35" s="55" t="n">
        <x:f>'Manager Profiles'!M35</x:f>
        <x:v>84</x:v>
      </x:c>
      <x:c r="J35" s="68" t="str">
        <x:f>IF('Analyst Review'!E35="Yes","verified/intake approved",IF('Team Scoring'!K35=0,"seed fallback - intake pending","partial intake - review required"))</x:f>
        <x:v>seed fallback - intake pending</x:v>
      </x:c>
      <x:c r="K35" s="68" t="str">
        <x:f>"Squad: "&amp;'Team Scoring'!L35&amp;"; Manager: "&amp;'Manager Profiles'!N35&amp;"; Tactical: "&amp;'Formation Profiles'!M35</x:f>
        <x:v>Squad: seed fallback - player ratings pending; Manager: seed fallback - analyst rubric pending; Tactical: manual tactical review pending</x:v>
      </x:c>
      <x:c r="L35" s="55" t="n">
        <x:f>'Team Scoring'!I35</x:f>
        <x:v>100</x:v>
      </x:c>
      <x:c r="M35" s="55" t="n">
        <x:f>IF('Analyst Review'!N35&lt;&gt;"",'Analyst Review'!N35,'Formation Profiles'!K35)</x:f>
        <x:v>50</x:v>
      </x:c>
      <x:c r="N35" s="55" t="n">
        <x:f>'Analyst Review'!F35</x:f>
        <x:v>0</x:v>
      </x:c>
      <x:c r="O35" s="51" t="str">
        <x:f>'Analyst Review'!E35</x:f>
        <x:v>No</x:v>
      </x:c>
    </x:row>
    <x:row r="36" ht="25.5" customHeight="1">
      <x:c r="A36" s="51" t="str">
        <x:f>'Seed Profiles'!A36</x:f>
        <x:v>Uruguay</x:v>
      </x:c>
      <x:c r="B36" s="51" t="str">
        <x:f>'Seed Profiles'!B36</x:f>
        <x:v>Uruguay</x:v>
      </x:c>
      <x:c r="C36" s="51" t="str">
        <x:f>'Manager Profiles'!C36</x:f>
        <x:v>Marcelo Bielsa</x:v>
      </x:c>
      <x:c r="D36" s="51" t="str">
        <x:f>'Formation Profiles'!C36</x:f>
        <x:v>high press / direct verticality</x:v>
      </x:c>
      <x:c r="E36" s="55" t="n">
        <x:f>IF('Analyst Review'!L36&lt;&gt;"",'Analyst Review'!L36,'Team Scoring'!C36)</x:f>
        <x:v>83</x:v>
      </x:c>
      <x:c r="F36" s="55" t="n">
        <x:f>'Team Scoring'!D36</x:f>
        <x:v>84</x:v>
      </x:c>
      <x:c r="G36" s="55" t="n">
        <x:f>'Team Scoring'!E36</x:f>
        <x:v>79</x:v>
      </x:c>
      <x:c r="H36" s="55" t="n">
        <x:f>IF('Analyst Review'!M36&lt;&gt;"",'Analyst Review'!M36,'Manager Profiles'!L36)</x:f>
        <x:v>82</x:v>
      </x:c>
      <x:c r="I36" s="55" t="n">
        <x:f>'Manager Profiles'!M36</x:f>
        <x:v>88</x:v>
      </x:c>
      <x:c r="J36" s="68" t="str">
        <x:f>IF('Analyst Review'!E36="Yes","verified/intake approved",IF('Team Scoring'!K36=0,"seed fallback - intake pending","partial intake - review required"))</x:f>
        <x:v>seed fallback - intake pending</x:v>
      </x:c>
      <x:c r="K36" s="68" t="str">
        <x:f>"Squad: "&amp;'Team Scoring'!L36&amp;"; Manager: "&amp;'Manager Profiles'!N36&amp;"; Tactical: "&amp;'Formation Profiles'!M36</x:f>
        <x:v>Squad: seed fallback - player ratings pending; Manager: seed fallback - analyst rubric pending; Tactical: manual tactical review pending</x:v>
      </x:c>
      <x:c r="L36" s="55" t="n">
        <x:f>'Team Scoring'!I36</x:f>
        <x:v>100</x:v>
      </x:c>
      <x:c r="M36" s="55" t="n">
        <x:f>IF('Analyst Review'!N36&lt;&gt;"",'Analyst Review'!N36,'Formation Profiles'!K36)</x:f>
        <x:v>50</x:v>
      </x:c>
      <x:c r="N36" s="55" t="n">
        <x:f>'Analyst Review'!F36</x:f>
        <x:v>0</x:v>
      </x:c>
      <x:c r="O36" s="51" t="str">
        <x:f>'Analyst Review'!E36</x:f>
        <x:v>No</x:v>
      </x:c>
    </x:row>
    <x:row r="37" ht="25.5" customHeight="1">
      <x:c r="A37" s="51" t="str">
        <x:f>'Seed Profiles'!A37</x:f>
        <x:v>France</x:v>
      </x:c>
      <x:c r="B37" s="51" t="str">
        <x:f>'Seed Profiles'!B37</x:f>
        <x:v>France</x:v>
      </x:c>
      <x:c r="C37" s="51" t="str">
        <x:f>'Manager Profiles'!C37</x:f>
        <x:v>Didier Deschamps</x:v>
      </x:c>
      <x:c r="D37" s="51" t="str">
        <x:f>'Formation Profiles'!C37</x:f>
        <x:v>pragmatic elite-transition</x:v>
      </x:c>
      <x:c r="E37" s="55" t="n">
        <x:f>IF('Analyst Review'!L37&lt;&gt;"",'Analyst Review'!L37,'Team Scoring'!C37)</x:f>
        <x:v>94</x:v>
      </x:c>
      <x:c r="F37" s="55" t="n">
        <x:f>'Team Scoring'!D37</x:f>
        <x:v>93</x:v>
      </x:c>
      <x:c r="G37" s="55" t="n">
        <x:f>'Team Scoring'!E37</x:f>
        <x:v>96</x:v>
      </x:c>
      <x:c r="H37" s="55" t="n">
        <x:f>IF('Analyst Review'!M37&lt;&gt;"",'Analyst Review'!M37,'Manager Profiles'!L37)</x:f>
        <x:v>94</x:v>
      </x:c>
      <x:c r="I37" s="55" t="n">
        <x:f>'Manager Profiles'!M37</x:f>
        <x:v>82</x:v>
      </x:c>
      <x:c r="J37" s="68" t="str">
        <x:f>IF('Analyst Review'!E37="Yes","verified/intake approved",IF('Team Scoring'!K37=0,"seed fallback - intake pending","partial intake - review required"))</x:f>
        <x:v>seed fallback - intake pending</x:v>
      </x:c>
      <x:c r="K37" s="68" t="str">
        <x:f>"Squad: "&amp;'Team Scoring'!L37&amp;"; Manager: "&amp;'Manager Profiles'!N37&amp;"; Tactical: "&amp;'Formation Profiles'!M37</x:f>
        <x:v>Squad: seed fallback - player ratings pending; Manager: seed fallback - analyst rubric pending; Tactical: manual tactical review pending</x:v>
      </x:c>
      <x:c r="L37" s="55" t="n">
        <x:f>'Team Scoring'!I37</x:f>
        <x:v>100</x:v>
      </x:c>
      <x:c r="M37" s="55" t="n">
        <x:f>IF('Analyst Review'!N37&lt;&gt;"",'Analyst Review'!N37,'Formation Profiles'!K37)</x:f>
        <x:v>50</x:v>
      </x:c>
      <x:c r="N37" s="55" t="n">
        <x:f>'Analyst Review'!F37</x:f>
        <x:v>0</x:v>
      </x:c>
      <x:c r="O37" s="51" t="str">
        <x:f>'Analyst Review'!E37</x:f>
        <x:v>No</x:v>
      </x:c>
    </x:row>
    <x:row r="38" ht="25.5" customHeight="1">
      <x:c r="A38" s="51" t="str">
        <x:f>'Seed Profiles'!A38</x:f>
        <x:v>Iraq</x:v>
      </x:c>
      <x:c r="B38" s="51" t="str">
        <x:f>'Seed Profiles'!B38</x:f>
        <x:v>Iraq</x:v>
      </x:c>
      <x:c r="C38" s="51" t="str">
        <x:f>'Manager Profiles'!C38</x:f>
        <x:v>manual_required</x:v>
      </x:c>
      <x:c r="D38" s="51" t="str">
        <x:f>'Formation Profiles'!C38</x:f>
        <x:v>profile proxy / manual review required</x:v>
      </x:c>
      <x:c r="E38" s="55" t="n">
        <x:f>IF('Analyst Review'!L38&lt;&gt;"",'Analyst Review'!L38,'Team Scoring'!C38)</x:f>
        <x:v>43</x:v>
      </x:c>
      <x:c r="F38" s="55" t="n">
        <x:f>'Team Scoring'!D38</x:f>
        <x:v>44</x:v>
      </x:c>
      <x:c r="G38" s="55" t="n">
        <x:f>'Team Scoring'!E38</x:f>
        <x:v>39</x:v>
      </x:c>
      <x:c r="H38" s="55" t="n">
        <x:f>IF('Analyst Review'!M38&lt;&gt;"",'Analyst Review'!M38,'Manager Profiles'!L38)</x:f>
        <x:v>46.81</x:v>
      </x:c>
      <x:c r="I38" s="55" t="n">
        <x:f>'Manager Profiles'!M38</x:f>
        <x:v>44.81</x:v>
      </x:c>
      <x:c r="J38" s="68" t="str">
        <x:f>IF('Analyst Review'!E38="Yes","verified/intake approved",IF('Team Scoring'!K38=0,"seed fallback - intake pending","partial intake - review required"))</x:f>
        <x:v>seed fallback - intake pending</x:v>
      </x:c>
      <x:c r="K38" s="68" t="str">
        <x:f>"Squad: "&amp;'Team Scoring'!L38&amp;"; Manager: "&amp;'Manager Profiles'!N38&amp;"; Tactical: "&amp;'Formation Profiles'!M38</x:f>
        <x:v>Squad: seed fallback - player ratings pending; Manager: seed fallback - analyst rubric pending; Tactical: manual tactical review pending</x:v>
      </x:c>
      <x:c r="L38" s="55" t="n">
        <x:f>'Team Scoring'!I38</x:f>
        <x:v>100</x:v>
      </x:c>
      <x:c r="M38" s="55" t="n">
        <x:f>IF('Analyst Review'!N38&lt;&gt;"",'Analyst Review'!N38,'Formation Profiles'!K38)</x:f>
        <x:v>50</x:v>
      </x:c>
      <x:c r="N38" s="55" t="n">
        <x:f>'Analyst Review'!F38</x:f>
        <x:v>0</x:v>
      </x:c>
      <x:c r="O38" s="51" t="str">
        <x:f>'Analyst Review'!E38</x:f>
        <x:v>No</x:v>
      </x:c>
    </x:row>
    <x:row r="39" ht="25.5" customHeight="1">
      <x:c r="A39" s="51" t="str">
        <x:f>'Seed Profiles'!A39</x:f>
        <x:v>Norway</x:v>
      </x:c>
      <x:c r="B39" s="51" t="str">
        <x:f>'Seed Profiles'!B39</x:f>
        <x:v>Norway</x:v>
      </x:c>
      <x:c r="C39" s="51" t="str">
        <x:f>'Manager Profiles'!C39</x:f>
        <x:v>Stale Solbakken</x:v>
      </x:c>
      <x:c r="D39" s="51" t="str">
        <x:f>'Formation Profiles'!C39</x:f>
        <x:v>direct attack / star focal points</x:v>
      </x:c>
      <x:c r="E39" s="55" t="n">
        <x:f>IF('Analyst Review'!L39&lt;&gt;"",'Analyst Review'!L39,'Team Scoring'!C39)</x:f>
        <x:v>76</x:v>
      </x:c>
      <x:c r="F39" s="55" t="n">
        <x:f>'Team Scoring'!D39</x:f>
        <x:v>78</x:v>
      </x:c>
      <x:c r="G39" s="55" t="n">
        <x:f>'Team Scoring'!E39</x:f>
        <x:v>70</x:v>
      </x:c>
      <x:c r="H39" s="55" t="n">
        <x:f>IF('Analyst Review'!M39&lt;&gt;"",'Analyst Review'!M39,'Manager Profiles'!L39)</x:f>
        <x:v>68</x:v>
      </x:c>
      <x:c r="I39" s="55" t="n">
        <x:f>'Manager Profiles'!M39</x:f>
        <x:v>70</x:v>
      </x:c>
      <x:c r="J39" s="68" t="str">
        <x:f>IF('Analyst Review'!E39="Yes","verified/intake approved",IF('Team Scoring'!K39=0,"seed fallback - intake pending","partial intake - review required"))</x:f>
        <x:v>seed fallback - intake pending</x:v>
      </x:c>
      <x:c r="K39" s="68" t="str">
        <x:f>"Squad: "&amp;'Team Scoring'!L39&amp;"; Manager: "&amp;'Manager Profiles'!N39&amp;"; Tactical: "&amp;'Formation Profiles'!M39</x:f>
        <x:v>Squad: seed fallback - player ratings pending; Manager: seed fallback - analyst rubric pending; Tactical: manual tactical review pending</x:v>
      </x:c>
      <x:c r="L39" s="55" t="n">
        <x:f>'Team Scoring'!I39</x:f>
        <x:v>100</x:v>
      </x:c>
      <x:c r="M39" s="55" t="n">
        <x:f>IF('Analyst Review'!N39&lt;&gt;"",'Analyst Review'!N39,'Formation Profiles'!K39)</x:f>
        <x:v>50</x:v>
      </x:c>
      <x:c r="N39" s="55" t="n">
        <x:f>'Analyst Review'!F39</x:f>
        <x:v>0</x:v>
      </x:c>
      <x:c r="O39" s="51" t="str">
        <x:f>'Analyst Review'!E39</x:f>
        <x:v>No</x:v>
      </x:c>
    </x:row>
    <x:row r="40" ht="25.5" customHeight="1">
      <x:c r="A40" s="51" t="str">
        <x:f>'Seed Profiles'!A40</x:f>
        <x:v>Senegal</x:v>
      </x:c>
      <x:c r="B40" s="51" t="str">
        <x:f>'Seed Profiles'!B40</x:f>
        <x:v>Senegal</x:v>
      </x:c>
      <x:c r="C40" s="51" t="str">
        <x:f>'Manager Profiles'!C40</x:f>
        <x:v>Pape Thiaw</x:v>
      </x:c>
      <x:c r="D40" s="51" t="str">
        <x:f>'Formation Profiles'!C40</x:f>
        <x:v>athletic transitions</x:v>
      </x:c>
      <x:c r="E40" s="55" t="n">
        <x:f>IF('Analyst Review'!L40&lt;&gt;"",'Analyst Review'!L40,'Team Scoring'!C40)</x:f>
        <x:v>76</x:v>
      </x:c>
      <x:c r="F40" s="55" t="n">
        <x:f>'Team Scoring'!D40</x:f>
        <x:v>76</x:v>
      </x:c>
      <x:c r="G40" s="55" t="n">
        <x:f>'Team Scoring'!E40</x:f>
        <x:v>73</x:v>
      </x:c>
      <x:c r="H40" s="55" t="n">
        <x:f>IF('Analyst Review'!M40&lt;&gt;"",'Analyst Review'!M40,'Manager Profiles'!L40)</x:f>
        <x:v>70</x:v>
      </x:c>
      <x:c r="I40" s="55" t="n">
        <x:f>'Manager Profiles'!M40</x:f>
        <x:v>68</x:v>
      </x:c>
      <x:c r="J40" s="68" t="str">
        <x:f>IF('Analyst Review'!E40="Yes","verified/intake approved",IF('Team Scoring'!K40=0,"seed fallback - intake pending","partial intake - review required"))</x:f>
        <x:v>seed fallback - intake pending</x:v>
      </x:c>
      <x:c r="K40" s="68" t="str">
        <x:f>"Squad: "&amp;'Team Scoring'!L40&amp;"; Manager: "&amp;'Manager Profiles'!N40&amp;"; Tactical: "&amp;'Formation Profiles'!M40</x:f>
        <x:v>Squad: seed fallback - player ratings pending; Manager: seed fallback - analyst rubric pending; Tactical: manual tactical review pending</x:v>
      </x:c>
      <x:c r="L40" s="55" t="n">
        <x:f>'Team Scoring'!I40</x:f>
        <x:v>100</x:v>
      </x:c>
      <x:c r="M40" s="55" t="n">
        <x:f>IF('Analyst Review'!N40&lt;&gt;"",'Analyst Review'!N40,'Formation Profiles'!K40)</x:f>
        <x:v>50</x:v>
      </x:c>
      <x:c r="N40" s="55" t="n">
        <x:f>'Analyst Review'!F40</x:f>
        <x:v>0</x:v>
      </x:c>
      <x:c r="O40" s="51" t="str">
        <x:f>'Analyst Review'!E40</x:f>
        <x:v>No</x:v>
      </x:c>
    </x:row>
    <x:row r="41" ht="25.5" customHeight="1">
      <x:c r="A41" s="51" t="str">
        <x:f>'Seed Profiles'!A41</x:f>
        <x:v>Algeria</x:v>
      </x:c>
      <x:c r="B41" s="51" t="str">
        <x:f>'Seed Profiles'!B41</x:f>
        <x:v>Algeria</x:v>
      </x:c>
      <x:c r="C41" s="51" t="str">
        <x:f>'Manager Profiles'!C41</x:f>
        <x:v>Vladimir Petkovic</x:v>
      </x:c>
      <x:c r="D41" s="51" t="str">
        <x:f>'Formation Profiles'!C41</x:f>
        <x:v>balanced / experienced setup</x:v>
      </x:c>
      <x:c r="E41" s="55" t="n">
        <x:f>IF('Analyst Review'!L41&lt;&gt;"",'Analyst Review'!L41,'Team Scoring'!C41)</x:f>
        <x:v>73</x:v>
      </x:c>
      <x:c r="F41" s="55" t="n">
        <x:f>'Team Scoring'!D41</x:f>
        <x:v>73</x:v>
      </x:c>
      <x:c r="G41" s="55" t="n">
        <x:f>'Team Scoring'!E41</x:f>
        <x:v>70</x:v>
      </x:c>
      <x:c r="H41" s="55" t="n">
        <x:f>IF('Analyst Review'!M41&lt;&gt;"",'Analyst Review'!M41,'Manager Profiles'!L41)</x:f>
        <x:v>74</x:v>
      </x:c>
      <x:c r="I41" s="55" t="n">
        <x:f>'Manager Profiles'!M41</x:f>
        <x:v>72</x:v>
      </x:c>
      <x:c r="J41" s="68" t="str">
        <x:f>IF('Analyst Review'!E41="Yes","verified/intake approved",IF('Team Scoring'!K41=0,"seed fallback - intake pending","partial intake - review required"))</x:f>
        <x:v>seed fallback - intake pending</x:v>
      </x:c>
      <x:c r="K41" s="68" t="str">
        <x:f>"Squad: "&amp;'Team Scoring'!L41&amp;"; Manager: "&amp;'Manager Profiles'!N41&amp;"; Tactical: "&amp;'Formation Profiles'!M41</x:f>
        <x:v>Squad: seed fallback - player ratings pending; Manager: seed fallback - analyst rubric pending; Tactical: manual tactical review pending</x:v>
      </x:c>
      <x:c r="L41" s="55" t="n">
        <x:f>'Team Scoring'!I41</x:f>
        <x:v>100</x:v>
      </x:c>
      <x:c r="M41" s="55" t="n">
        <x:f>IF('Analyst Review'!N41&lt;&gt;"",'Analyst Review'!N41,'Formation Profiles'!K41)</x:f>
        <x:v>50</x:v>
      </x:c>
      <x:c r="N41" s="55" t="n">
        <x:f>'Analyst Review'!F41</x:f>
        <x:v>0</x:v>
      </x:c>
      <x:c r="O41" s="51" t="str">
        <x:f>'Analyst Review'!E41</x:f>
        <x:v>No</x:v>
      </x:c>
    </x:row>
    <x:row r="42" ht="25.5" customHeight="1">
      <x:c r="A42" s="51" t="str">
        <x:f>'Seed Profiles'!A42</x:f>
        <x:v>Argentina</x:v>
      </x:c>
      <x:c r="B42" s="51" t="str">
        <x:f>'Seed Profiles'!B42</x:f>
        <x:v>Argentina</x:v>
      </x:c>
      <x:c r="C42" s="51" t="str">
        <x:f>'Manager Profiles'!C42</x:f>
        <x:v>Lionel Scaloni</x:v>
      </x:c>
      <x:c r="D42" s="51" t="str">
        <x:f>'Formation Profiles'!C42</x:f>
        <x:v>balanced possession / transition</x:v>
      </x:c>
      <x:c r="E42" s="55" t="n">
        <x:f>IF('Analyst Review'!L42&lt;&gt;"",'Analyst Review'!L42,'Team Scoring'!C42)</x:f>
        <x:v>90</x:v>
      </x:c>
      <x:c r="F42" s="55" t="n">
        <x:f>'Team Scoring'!D42</x:f>
        <x:v>91</x:v>
      </x:c>
      <x:c r="G42" s="55" t="n">
        <x:f>'Team Scoring'!E42</x:f>
        <x:v>86</x:v>
      </x:c>
      <x:c r="H42" s="55" t="n">
        <x:f>IF('Analyst Review'!M42&lt;&gt;"",'Analyst Review'!M42,'Manager Profiles'!L42)</x:f>
        <x:v>91</x:v>
      </x:c>
      <x:c r="I42" s="55" t="n">
        <x:f>'Manager Profiles'!M42</x:f>
        <x:v>84</x:v>
      </x:c>
      <x:c r="J42" s="68" t="str">
        <x:f>IF('Analyst Review'!E42="Yes","verified/intake approved",IF('Team Scoring'!K42=0,"seed fallback - intake pending","partial intake - review required"))</x:f>
        <x:v>seed fallback - intake pending</x:v>
      </x:c>
      <x:c r="K42" s="68" t="str">
        <x:f>"Squad: "&amp;'Team Scoring'!L42&amp;"; Manager: "&amp;'Manager Profiles'!N42&amp;"; Tactical: "&amp;'Formation Profiles'!M42</x:f>
        <x:v>Squad: seed fallback - player ratings pending; Manager: seed fallback - analyst rubric pending; Tactical: manual tactical review pending</x:v>
      </x:c>
      <x:c r="L42" s="55" t="n">
        <x:f>'Team Scoring'!I42</x:f>
        <x:v>100</x:v>
      </x:c>
      <x:c r="M42" s="55" t="n">
        <x:f>IF('Analyst Review'!N42&lt;&gt;"",'Analyst Review'!N42,'Formation Profiles'!K42)</x:f>
        <x:v>50</x:v>
      </x:c>
      <x:c r="N42" s="55" t="n">
        <x:f>'Analyst Review'!F42</x:f>
        <x:v>0</x:v>
      </x:c>
      <x:c r="O42" s="51" t="str">
        <x:f>'Analyst Review'!E42</x:f>
        <x:v>No</x:v>
      </x:c>
    </x:row>
    <x:row r="43" ht="25.5" customHeight="1">
      <x:c r="A43" s="51" t="str">
        <x:f>'Seed Profiles'!A43</x:f>
        <x:v>Austria</x:v>
      </x:c>
      <x:c r="B43" s="51" t="str">
        <x:f>'Seed Profiles'!B43</x:f>
        <x:v>Austria</x:v>
      </x:c>
      <x:c r="C43" s="51" t="str">
        <x:f>'Manager Profiles'!C43</x:f>
        <x:v>Ralf Rangnick</x:v>
      </x:c>
      <x:c r="D43" s="51" t="str">
        <x:f>'Formation Profiles'!C43</x:f>
        <x:v>pressing / vertical attacks</x:v>
      </x:c>
      <x:c r="E43" s="55" t="n">
        <x:f>IF('Analyst Review'!L43&lt;&gt;"",'Analyst Review'!L43,'Team Scoring'!C43)</x:f>
        <x:v>77</x:v>
      </x:c>
      <x:c r="F43" s="55" t="n">
        <x:f>'Team Scoring'!D43</x:f>
        <x:v>77</x:v>
      </x:c>
      <x:c r="G43" s="55" t="n">
        <x:f>'Team Scoring'!E43</x:f>
        <x:v>74</x:v>
      </x:c>
      <x:c r="H43" s="55" t="n">
        <x:f>IF('Analyst Review'!M43&lt;&gt;"",'Analyst Review'!M43,'Manager Profiles'!L43)</x:f>
        <x:v>84</x:v>
      </x:c>
      <x:c r="I43" s="55" t="n">
        <x:f>'Manager Profiles'!M43</x:f>
        <x:v>88</x:v>
      </x:c>
      <x:c r="J43" s="68" t="str">
        <x:f>IF('Analyst Review'!E43="Yes","verified/intake approved",IF('Team Scoring'!K43=0,"seed fallback - intake pending","partial intake - review required"))</x:f>
        <x:v>seed fallback - intake pending</x:v>
      </x:c>
      <x:c r="K43" s="68" t="str">
        <x:f>"Squad: "&amp;'Team Scoring'!L43&amp;"; Manager: "&amp;'Manager Profiles'!N43&amp;"; Tactical: "&amp;'Formation Profiles'!M43</x:f>
        <x:v>Squad: seed fallback - player ratings pending; Manager: seed fallback - analyst rubric pending; Tactical: manual tactical review pending</x:v>
      </x:c>
      <x:c r="L43" s="55" t="n">
        <x:f>'Team Scoring'!I43</x:f>
        <x:v>100</x:v>
      </x:c>
      <x:c r="M43" s="55" t="n">
        <x:f>IF('Analyst Review'!N43&lt;&gt;"",'Analyst Review'!N43,'Formation Profiles'!K43)</x:f>
        <x:v>50</x:v>
      </x:c>
      <x:c r="N43" s="55" t="n">
        <x:f>'Analyst Review'!F43</x:f>
        <x:v>0</x:v>
      </x:c>
      <x:c r="O43" s="51" t="str">
        <x:f>'Analyst Review'!E43</x:f>
        <x:v>No</x:v>
      </x:c>
    </x:row>
    <x:row r="44" ht="25.5" customHeight="1">
      <x:c r="A44" s="51" t="str">
        <x:f>'Seed Profiles'!A44</x:f>
        <x:v>Jordan</x:v>
      </x:c>
      <x:c r="B44" s="51" t="str">
        <x:f>'Seed Profiles'!B44</x:f>
        <x:v>Jordan</x:v>
      </x:c>
      <x:c r="C44" s="51" t="str">
        <x:f>'Manager Profiles'!C44</x:f>
        <x:v>manual_required</x:v>
      </x:c>
      <x:c r="D44" s="51" t="str">
        <x:f>'Formation Profiles'!C44</x:f>
        <x:v>profile proxy / manual review required</x:v>
      </x:c>
      <x:c r="E44" s="55" t="n">
        <x:f>IF('Analyst Review'!L44&lt;&gt;"",'Analyst Review'!L44,'Team Scoring'!C44)</x:f>
        <x:v>46</x:v>
      </x:c>
      <x:c r="F44" s="55" t="n">
        <x:f>'Team Scoring'!D44</x:f>
        <x:v>47</x:v>
      </x:c>
      <x:c r="G44" s="55" t="n">
        <x:f>'Team Scoring'!E44</x:f>
        <x:v>42</x:v>
      </x:c>
      <x:c r="H44" s="55" t="n">
        <x:f>IF('Analyst Review'!M44&lt;&gt;"",'Analyst Review'!M44,'Manager Profiles'!L44)</x:f>
        <x:v>48.85</x:v>
      </x:c>
      <x:c r="I44" s="55" t="n">
        <x:f>'Manager Profiles'!M44</x:f>
        <x:v>46.85</x:v>
      </x:c>
      <x:c r="J44" s="68" t="str">
        <x:f>IF('Analyst Review'!E44="Yes","verified/intake approved",IF('Team Scoring'!K44=0,"seed fallback - intake pending","partial intake - review required"))</x:f>
        <x:v>seed fallback - intake pending</x:v>
      </x:c>
      <x:c r="K44" s="68" t="str">
        <x:f>"Squad: "&amp;'Team Scoring'!L44&amp;"; Manager: "&amp;'Manager Profiles'!N44&amp;"; Tactical: "&amp;'Formation Profiles'!M44</x:f>
        <x:v>Squad: seed fallback - player ratings pending; Manager: seed fallback - analyst rubric pending; Tactical: manual tactical review pending</x:v>
      </x:c>
      <x:c r="L44" s="55" t="n">
        <x:f>'Team Scoring'!I44</x:f>
        <x:v>100</x:v>
      </x:c>
      <x:c r="M44" s="55" t="n">
        <x:f>IF('Analyst Review'!N44&lt;&gt;"",'Analyst Review'!N44,'Formation Profiles'!K44)</x:f>
        <x:v>50</x:v>
      </x:c>
      <x:c r="N44" s="55" t="n">
        <x:f>'Analyst Review'!F44</x:f>
        <x:v>0</x:v>
      </x:c>
      <x:c r="O44" s="51" t="str">
        <x:f>'Analyst Review'!E44</x:f>
        <x:v>No</x:v>
      </x:c>
    </x:row>
    <x:row r="45" ht="25.5" customHeight="1">
      <x:c r="A45" s="51" t="str">
        <x:f>'Seed Profiles'!A45</x:f>
        <x:v>Colombia</x:v>
      </x:c>
      <x:c r="B45" s="51" t="str">
        <x:f>'Seed Profiles'!B45</x:f>
        <x:v>Colombia</x:v>
      </x:c>
      <x:c r="C45" s="51" t="str">
        <x:f>'Manager Profiles'!C45</x:f>
        <x:v>Nestor Lorenzo</x:v>
      </x:c>
      <x:c r="D45" s="51" t="str">
        <x:f>'Formation Profiles'!C45</x:f>
        <x:v>balanced possession / counters</x:v>
      </x:c>
      <x:c r="E45" s="55" t="n">
        <x:f>IF('Analyst Review'!L45&lt;&gt;"",'Analyst Review'!L45,'Team Scoring'!C45)</x:f>
        <x:v>84</x:v>
      </x:c>
      <x:c r="F45" s="55" t="n">
        <x:f>'Team Scoring'!D45</x:f>
        <x:v>84</x:v>
      </x:c>
      <x:c r="G45" s="55" t="n">
        <x:f>'Team Scoring'!E45</x:f>
        <x:v>81</x:v>
      </x:c>
      <x:c r="H45" s="55" t="n">
        <x:f>IF('Analyst Review'!M45&lt;&gt;"",'Analyst Review'!M45,'Manager Profiles'!L45)</x:f>
        <x:v>78</x:v>
      </x:c>
      <x:c r="I45" s="55" t="n">
        <x:f>'Manager Profiles'!M45</x:f>
        <x:v>78</x:v>
      </x:c>
      <x:c r="J45" s="68" t="str">
        <x:f>IF('Analyst Review'!E45="Yes","verified/intake approved",IF('Team Scoring'!K45=0,"seed fallback - intake pending","partial intake - review required"))</x:f>
        <x:v>seed fallback - intake pending</x:v>
      </x:c>
      <x:c r="K45" s="68" t="str">
        <x:f>"Squad: "&amp;'Team Scoring'!L45&amp;"; Manager: "&amp;'Manager Profiles'!N45&amp;"; Tactical: "&amp;'Formation Profiles'!M45</x:f>
        <x:v>Squad: seed fallback - player ratings pending; Manager: seed fallback - analyst rubric pending; Tactical: manual tactical review pending</x:v>
      </x:c>
      <x:c r="L45" s="55" t="n">
        <x:f>'Team Scoring'!I45</x:f>
        <x:v>100</x:v>
      </x:c>
      <x:c r="M45" s="55" t="n">
        <x:f>IF('Analyst Review'!N45&lt;&gt;"",'Analyst Review'!N45,'Formation Profiles'!K45)</x:f>
        <x:v>50</x:v>
      </x:c>
      <x:c r="N45" s="55" t="n">
        <x:f>'Analyst Review'!F45</x:f>
        <x:v>0</x:v>
      </x:c>
      <x:c r="O45" s="51" t="str">
        <x:f>'Analyst Review'!E45</x:f>
        <x:v>No</x:v>
      </x:c>
    </x:row>
    <x:row r="46" ht="25.5" customHeight="1">
      <x:c r="A46" s="51" t="str">
        <x:f>'Seed Profiles'!A46</x:f>
        <x:v>DR Congo</x:v>
      </x:c>
      <x:c r="B46" s="51" t="str">
        <x:f>'Seed Profiles'!B46</x:f>
        <x:v>DR Congo</x:v>
      </x:c>
      <x:c r="C46" s="51" t="str">
        <x:f>'Manager Profiles'!C46</x:f>
        <x:v>Sebastien Desabre</x:v>
      </x:c>
      <x:c r="D46" s="51" t="str">
        <x:f>'Formation Profiles'!C46</x:f>
        <x:v>transition / athletic structure</x:v>
      </x:c>
      <x:c r="E46" s="55" t="n">
        <x:f>IF('Analyst Review'!L46&lt;&gt;"",'Analyst Review'!L46,'Team Scoring'!C46)</x:f>
        <x:v>44</x:v>
      </x:c>
      <x:c r="F46" s="55" t="n">
        <x:f>'Team Scoring'!D46</x:f>
        <x:v>45</x:v>
      </x:c>
      <x:c r="G46" s="55" t="n">
        <x:f>'Team Scoring'!E46</x:f>
        <x:v>40</x:v>
      </x:c>
      <x:c r="H46" s="55" t="n">
        <x:f>IF('Analyst Review'!M46&lt;&gt;"",'Analyst Review'!M46,'Manager Profiles'!L46)</x:f>
        <x:v>70</x:v>
      </x:c>
      <x:c r="I46" s="55" t="n">
        <x:f>'Manager Profiles'!M46</x:f>
        <x:v>72</x:v>
      </x:c>
      <x:c r="J46" s="68" t="str">
        <x:f>IF('Analyst Review'!E46="Yes","verified/intake approved",IF('Team Scoring'!K46=0,"seed fallback - intake pending","partial intake - review required"))</x:f>
        <x:v>seed fallback - intake pending</x:v>
      </x:c>
      <x:c r="K46" s="68" t="str">
        <x:f>"Squad: "&amp;'Team Scoring'!L46&amp;"; Manager: "&amp;'Manager Profiles'!N46&amp;"; Tactical: "&amp;'Formation Profiles'!M46</x:f>
        <x:v>Squad: seed fallback - player ratings pending; Manager: seed fallback - analyst rubric pending; Tactical: manual tactical review pending</x:v>
      </x:c>
      <x:c r="L46" s="55" t="n">
        <x:f>'Team Scoring'!I46</x:f>
        <x:v>100</x:v>
      </x:c>
      <x:c r="M46" s="55" t="n">
        <x:f>IF('Analyst Review'!N46&lt;&gt;"",'Analyst Review'!N46,'Formation Profiles'!K46)</x:f>
        <x:v>50</x:v>
      </x:c>
      <x:c r="N46" s="55" t="n">
        <x:f>'Analyst Review'!F46</x:f>
        <x:v>0</x:v>
      </x:c>
      <x:c r="O46" s="51" t="str">
        <x:f>'Analyst Review'!E46</x:f>
        <x:v>No</x:v>
      </x:c>
    </x:row>
    <x:row r="47" ht="25.5" customHeight="1">
      <x:c r="A47" s="51" t="str">
        <x:f>'Seed Profiles'!A47</x:f>
        <x:v>Portugal</x:v>
      </x:c>
      <x:c r="B47" s="51" t="str">
        <x:f>'Seed Profiles'!B47</x:f>
        <x:v>Portugal</x:v>
      </x:c>
      <x:c r="C47" s="51" t="str">
        <x:f>'Manager Profiles'!C47</x:f>
        <x:v>Roberto Martinez</x:v>
      </x:c>
      <x:c r="D47" s="51" t="str">
        <x:f>'Formation Profiles'!C47</x:f>
        <x:v>possession / attacking width</x:v>
      </x:c>
      <x:c r="E47" s="55" t="n">
        <x:f>IF('Analyst Review'!L47&lt;&gt;"",'Analyst Review'!L47,'Team Scoring'!C47)</x:f>
        <x:v>89</x:v>
      </x:c>
      <x:c r="F47" s="55" t="n">
        <x:f>'Team Scoring'!D47</x:f>
        <x:v>89</x:v>
      </x:c>
      <x:c r="G47" s="55" t="n">
        <x:f>'Team Scoring'!E47</x:f>
        <x:v>88</x:v>
      </x:c>
      <x:c r="H47" s="55" t="n">
        <x:f>IF('Analyst Review'!M47&lt;&gt;"",'Analyst Review'!M47,'Manager Profiles'!L47)</x:f>
        <x:v>78</x:v>
      </x:c>
      <x:c r="I47" s="55" t="n">
        <x:f>'Manager Profiles'!M47</x:f>
        <x:v>76</x:v>
      </x:c>
      <x:c r="J47" s="68" t="str">
        <x:f>IF('Analyst Review'!E47="Yes","verified/intake approved",IF('Team Scoring'!K47=0,"seed fallback - intake pending","partial intake - review required"))</x:f>
        <x:v>seed fallback - intake pending</x:v>
      </x:c>
      <x:c r="K47" s="68" t="str">
        <x:f>"Squad: "&amp;'Team Scoring'!L47&amp;"; Manager: "&amp;'Manager Profiles'!N47&amp;"; Tactical: "&amp;'Formation Profiles'!M47</x:f>
        <x:v>Squad: seed fallback - player ratings pending; Manager: seed fallback - analyst rubric pending; Tactical: manual tactical review pending</x:v>
      </x:c>
      <x:c r="L47" s="55" t="n">
        <x:f>'Team Scoring'!I47</x:f>
        <x:v>100</x:v>
      </x:c>
      <x:c r="M47" s="55" t="n">
        <x:f>IF('Analyst Review'!N47&lt;&gt;"",'Analyst Review'!N47,'Formation Profiles'!K47)</x:f>
        <x:v>50</x:v>
      </x:c>
      <x:c r="N47" s="55" t="n">
        <x:f>'Analyst Review'!F47</x:f>
        <x:v>0</x:v>
      </x:c>
      <x:c r="O47" s="51" t="str">
        <x:f>'Analyst Review'!E47</x:f>
        <x:v>No</x:v>
      </x:c>
    </x:row>
    <x:row r="48" ht="25.5" customHeight="1">
      <x:c r="A48" s="51" t="str">
        <x:f>'Seed Profiles'!A48</x:f>
        <x:v>Uzbekistan</x:v>
      </x:c>
      <x:c r="B48" s="51" t="str">
        <x:f>'Seed Profiles'!B48</x:f>
        <x:v>Uzbekistan</x:v>
      </x:c>
      <x:c r="C48" s="51" t="str">
        <x:f>'Manager Profiles'!C48</x:f>
        <x:v>Timur Kapadze</x:v>
      </x:c>
      <x:c r="D48" s="51" t="str">
        <x:f>'Formation Profiles'!C48</x:f>
        <x:v>compact / fast transitions</x:v>
      </x:c>
      <x:c r="E48" s="55" t="n">
        <x:f>IF('Analyst Review'!L48&lt;&gt;"",'Analyst Review'!L48,'Team Scoring'!C48)</x:f>
        <x:v>56</x:v>
      </x:c>
      <x:c r="F48" s="55" t="n">
        <x:f>'Team Scoring'!D48</x:f>
        <x:v>57</x:v>
      </x:c>
      <x:c r="G48" s="55" t="n">
        <x:f>'Team Scoring'!E48</x:f>
        <x:v>52</x:v>
      </x:c>
      <x:c r="H48" s="55" t="n">
        <x:f>IF('Analyst Review'!M48&lt;&gt;"",'Analyst Review'!M48,'Manager Profiles'!L48)</x:f>
        <x:v>66</x:v>
      </x:c>
      <x:c r="I48" s="55" t="n">
        <x:f>'Manager Profiles'!M48</x:f>
        <x:v>68</x:v>
      </x:c>
      <x:c r="J48" s="68" t="str">
        <x:f>IF('Analyst Review'!E48="Yes","verified/intake approved",IF('Team Scoring'!K48=0,"seed fallback - intake pending","partial intake - review required"))</x:f>
        <x:v>seed fallback - intake pending</x:v>
      </x:c>
      <x:c r="K48" s="68" t="str">
        <x:f>"Squad: "&amp;'Team Scoring'!L48&amp;"; Manager: "&amp;'Manager Profiles'!N48&amp;"; Tactical: "&amp;'Formation Profiles'!M48</x:f>
        <x:v>Squad: seed fallback - player ratings pending; Manager: seed fallback - analyst rubric pending; Tactical: manual tactical review pending</x:v>
      </x:c>
      <x:c r="L48" s="55" t="n">
        <x:f>'Team Scoring'!I48</x:f>
        <x:v>100</x:v>
      </x:c>
      <x:c r="M48" s="55" t="n">
        <x:f>IF('Analyst Review'!N48&lt;&gt;"",'Analyst Review'!N48,'Formation Profiles'!K48)</x:f>
        <x:v>50</x:v>
      </x:c>
      <x:c r="N48" s="55" t="n">
        <x:f>'Analyst Review'!F48</x:f>
        <x:v>0</x:v>
      </x:c>
      <x:c r="O48" s="51" t="str">
        <x:f>'Analyst Review'!E48</x:f>
        <x:v>No</x:v>
      </x:c>
    </x:row>
    <x:row r="49" ht="25.5" customHeight="1">
      <x:c r="A49" s="51" t="str">
        <x:f>'Seed Profiles'!A49</x:f>
        <x:v>Croatia</x:v>
      </x:c>
      <x:c r="B49" s="51" t="str">
        <x:f>'Seed Profiles'!B49</x:f>
        <x:v>Croatia</x:v>
      </x:c>
      <x:c r="C49" s="51" t="str">
        <x:f>'Manager Profiles'!C49</x:f>
        <x:v>Zlatko Dalic</x:v>
      </x:c>
      <x:c r="D49" s="51" t="str">
        <x:f>'Formation Profiles'!C49</x:f>
        <x:v>midfield control / tournament management</x:v>
      </x:c>
      <x:c r="E49" s="55" t="n">
        <x:f>IF('Analyst Review'!L49&lt;&gt;"",'Analyst Review'!L49,'Team Scoring'!C49)</x:f>
        <x:v>82</x:v>
      </x:c>
      <x:c r="F49" s="55" t="n">
        <x:f>'Team Scoring'!D49</x:f>
        <x:v>82</x:v>
      </x:c>
      <x:c r="G49" s="55" t="n">
        <x:f>'Team Scoring'!E49</x:f>
        <x:v>78</x:v>
      </x:c>
      <x:c r="H49" s="55" t="n">
        <x:f>IF('Analyst Review'!M49&lt;&gt;"",'Analyst Review'!M49,'Manager Profiles'!L49)</x:f>
        <x:v>87</x:v>
      </x:c>
      <x:c r="I49" s="55" t="n">
        <x:f>'Manager Profiles'!M49</x:f>
        <x:v>78</x:v>
      </x:c>
      <x:c r="J49" s="68" t="str">
        <x:f>IF('Analyst Review'!E49="Yes","verified/intake approved",IF('Team Scoring'!K49=0,"seed fallback - intake pending","partial intake - review required"))</x:f>
        <x:v>seed fallback - intake pending</x:v>
      </x:c>
      <x:c r="K49" s="68" t="str">
        <x:f>"Squad: "&amp;'Team Scoring'!L49&amp;"; Manager: "&amp;'Manager Profiles'!N49&amp;"; Tactical: "&amp;'Formation Profiles'!M49</x:f>
        <x:v>Squad: seed fallback - player ratings pending; Manager: seed fallback - analyst rubric pending; Tactical: manual tactical review pending</x:v>
      </x:c>
      <x:c r="L49" s="55" t="n">
        <x:f>'Team Scoring'!I49</x:f>
        <x:v>100</x:v>
      </x:c>
      <x:c r="M49" s="55" t="n">
        <x:f>IF('Analyst Review'!N49&lt;&gt;"",'Analyst Review'!N49,'Formation Profiles'!K49)</x:f>
        <x:v>50</x:v>
      </x:c>
      <x:c r="N49" s="55" t="n">
        <x:f>'Analyst Review'!F49</x:f>
        <x:v>0</x:v>
      </x:c>
      <x:c r="O49" s="51" t="str">
        <x:f>'Analyst Review'!E49</x:f>
        <x:v>No</x:v>
      </x:c>
    </x:row>
    <x:row r="50" ht="25.5" customHeight="1">
      <x:c r="A50" s="51" t="str">
        <x:f>'Seed Profiles'!A50</x:f>
        <x:v>England</x:v>
      </x:c>
      <x:c r="B50" s="51" t="str">
        <x:f>'Seed Profiles'!B50</x:f>
        <x:v>England</x:v>
      </x:c>
      <x:c r="C50" s="51" t="str">
        <x:f>'Manager Profiles'!C50</x:f>
        <x:v>Thomas Tuchel</x:v>
      </x:c>
      <x:c r="D50" s="51" t="str">
        <x:f>'Formation Profiles'!C50</x:f>
        <x:v>structured possession / pressing</x:v>
      </x:c>
      <x:c r="E50" s="55" t="n">
        <x:f>IF('Analyst Review'!L50&lt;&gt;"",'Analyst Review'!L50,'Team Scoring'!C50)</x:f>
        <x:v>92</x:v>
      </x:c>
      <x:c r="F50" s="55" t="n">
        <x:f>'Team Scoring'!D50</x:f>
        <x:v>91</x:v>
      </x:c>
      <x:c r="G50" s="55" t="n">
        <x:f>'Team Scoring'!E50</x:f>
        <x:v>93</x:v>
      </x:c>
      <x:c r="H50" s="55" t="n">
        <x:f>IF('Analyst Review'!M50&lt;&gt;"",'Analyst Review'!M50,'Manager Profiles'!L50)</x:f>
        <x:v>86</x:v>
      </x:c>
      <x:c r="I50" s="55" t="n">
        <x:f>'Manager Profiles'!M50</x:f>
        <x:v>88</x:v>
      </x:c>
      <x:c r="J50" s="68" t="str">
        <x:f>IF('Analyst Review'!E50="Yes","verified/intake approved",IF('Team Scoring'!K50=0,"seed fallback - intake pending","partial intake - review required"))</x:f>
        <x:v>seed fallback - intake pending</x:v>
      </x:c>
      <x:c r="K50" s="68" t="str">
        <x:f>"Squad: "&amp;'Team Scoring'!L50&amp;"; Manager: "&amp;'Manager Profiles'!N50&amp;"; Tactical: "&amp;'Formation Profiles'!M50</x:f>
        <x:v>Squad: seed fallback - player ratings pending; Manager: seed fallback - analyst rubric pending; Tactical: manual tactical review pending</x:v>
      </x:c>
      <x:c r="L50" s="55" t="n">
        <x:f>'Team Scoring'!I50</x:f>
        <x:v>100</x:v>
      </x:c>
      <x:c r="M50" s="55" t="n">
        <x:f>IF('Analyst Review'!N50&lt;&gt;"",'Analyst Review'!N50,'Formation Profiles'!K50)</x:f>
        <x:v>50</x:v>
      </x:c>
      <x:c r="N50" s="55" t="n">
        <x:f>'Analyst Review'!F50</x:f>
        <x:v>0</x:v>
      </x:c>
      <x:c r="O50" s="51" t="str">
        <x:f>'Analyst Review'!E50</x:f>
        <x:v>No</x:v>
      </x:c>
    </x:row>
    <x:row r="51" ht="25.5" customHeight="1">
      <x:c r="A51" s="51" t="str">
        <x:f>'Seed Profiles'!A51</x:f>
        <x:v>Ghana</x:v>
      </x:c>
      <x:c r="B51" s="51" t="str">
        <x:f>'Seed Profiles'!B51</x:f>
        <x:v>Ghana</x:v>
      </x:c>
      <x:c r="C51" s="51" t="str">
        <x:f>'Manager Profiles'!C51</x:f>
        <x:v>Carlos Queiroz</x:v>
      </x:c>
      <x:c r="D51" s="51" t="str">
        <x:f>'Formation Profiles'!C51</x:f>
        <x:v>defensive structure / tournament experience</x:v>
      </x:c>
      <x:c r="E51" s="55" t="n">
        <x:f>IF('Analyst Review'!L51&lt;&gt;"",'Analyst Review'!L51,'Team Scoring'!C51)</x:f>
        <x:v>72</x:v>
      </x:c>
      <x:c r="F51" s="55" t="n">
        <x:f>'Team Scoring'!D51</x:f>
        <x:v>72</x:v>
      </x:c>
      <x:c r="G51" s="55" t="n">
        <x:f>'Team Scoring'!E51</x:f>
        <x:v>69</x:v>
      </x:c>
      <x:c r="H51" s="55" t="n">
        <x:f>IF('Analyst Review'!M51&lt;&gt;"",'Analyst Review'!M51,'Manager Profiles'!L51)</x:f>
        <x:v>86</x:v>
      </x:c>
      <x:c r="I51" s="55" t="n">
        <x:f>'Manager Profiles'!M51</x:f>
        <x:v>78</x:v>
      </x:c>
      <x:c r="J51" s="68" t="str">
        <x:f>IF('Analyst Review'!E51="Yes","verified/intake approved",IF('Team Scoring'!K51=0,"seed fallback - intake pending","partial intake - review required"))</x:f>
        <x:v>seed fallback - intake pending</x:v>
      </x:c>
      <x:c r="K51" s="68" t="str">
        <x:f>"Squad: "&amp;'Team Scoring'!L51&amp;"; Manager: "&amp;'Manager Profiles'!N51&amp;"; Tactical: "&amp;'Formation Profiles'!M51</x:f>
        <x:v>Squad: seed fallback - player ratings pending; Manager: seed fallback - analyst rubric pending; Tactical: manual tactical review pending</x:v>
      </x:c>
      <x:c r="L51" s="55" t="n">
        <x:f>'Team Scoring'!I51</x:f>
        <x:v>100</x:v>
      </x:c>
      <x:c r="M51" s="55" t="n">
        <x:f>IF('Analyst Review'!N51&lt;&gt;"",'Analyst Review'!N51,'Formation Profiles'!K51)</x:f>
        <x:v>50</x:v>
      </x:c>
      <x:c r="N51" s="55" t="n">
        <x:f>'Analyst Review'!F51</x:f>
        <x:v>0</x:v>
      </x:c>
      <x:c r="O51" s="51" t="str">
        <x:f>'Analyst Review'!E51</x:f>
        <x:v>No</x:v>
      </x:c>
    </x:row>
    <x:row r="52" ht="25.5" customHeight="1">
      <x:c r="A52" s="51" t="str">
        <x:f>'Seed Profiles'!A52</x:f>
        <x:v>Panama</x:v>
      </x:c>
      <x:c r="B52" s="51" t="str">
        <x:f>'Seed Profiles'!B52</x:f>
        <x:v>Panama</x:v>
      </x:c>
      <x:c r="C52" s="51" t="str">
        <x:f>'Manager Profiles'!C52</x:f>
        <x:v>Thomas Christiansen</x:v>
      </x:c>
      <x:c r="D52" s="51" t="str">
        <x:f>'Formation Profiles'!C52</x:f>
        <x:v>compact / direct transitions</x:v>
      </x:c>
      <x:c r="E52" s="55" t="n">
        <x:f>IF('Analyst Review'!L52&lt;&gt;"",'Analyst Review'!L52,'Team Scoring'!C52)</x:f>
        <x:v>57</x:v>
      </x:c>
      <x:c r="F52" s="55" t="n">
        <x:f>'Team Scoring'!D52</x:f>
        <x:v>58</x:v>
      </x:c>
      <x:c r="G52" s="55" t="n">
        <x:f>'Team Scoring'!E52</x:f>
        <x:v>53</x:v>
      </x:c>
      <x:c r="H52" s="55" t="n">
        <x:f>IF('Analyst Review'!M52&lt;&gt;"",'Analyst Review'!M52,'Manager Profiles'!L52)</x:f>
        <x:v>72</x:v>
      </x:c>
      <x:c r="I52" s="55" t="n">
        <x:f>'Manager Profiles'!M52</x:f>
        <x:v>70</x:v>
      </x:c>
      <x:c r="J52" s="68" t="str">
        <x:f>IF('Analyst Review'!E52="Yes","verified/intake approved",IF('Team Scoring'!K52=0,"seed fallback - intake pending","partial intake - review required"))</x:f>
        <x:v>seed fallback - intake pending</x:v>
      </x:c>
      <x:c r="K52" s="68" t="str">
        <x:f>"Squad: "&amp;'Team Scoring'!L52&amp;"; Manager: "&amp;'Manager Profiles'!N52&amp;"; Tactical: "&amp;'Formation Profiles'!M52</x:f>
        <x:v>Squad: seed fallback - player ratings pending; Manager: seed fallback - analyst rubric pending; Tactical: manual tactical review pending</x:v>
      </x:c>
      <x:c r="L52" s="55" t="n">
        <x:f>'Team Scoring'!I52</x:f>
        <x:v>100</x:v>
      </x:c>
      <x:c r="M52" s="55" t="n">
        <x:f>IF('Analyst Review'!N52&lt;&gt;"",'Analyst Review'!N52,'Formation Profiles'!K52)</x:f>
        <x:v>50</x:v>
      </x:c>
      <x:c r="N52" s="55" t="n">
        <x:f>'Analyst Review'!F52</x:f>
        <x:v>0</x:v>
      </x:c>
      <x:c r="O52" s="51" t="str">
        <x:f>'Analyst Review'!E52</x:f>
        <x:v>No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39c6232b493049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329999923706055" hidden="0" customWidth="1"/>
    <x:col min="2" max="2" width="15.779999732971191" hidden="0" customWidth="1"/>
    <x:col min="3" max="3" width="39" hidden="0" customWidth="1"/>
    <x:col min="4" max="4" width="57" hidden="0" customWidth="1"/>
    <x:col min="5" max="5" width="35.88999938964844" hidden="0" customWidth="1"/>
    <x:col min="6" max="6" width="29.329999923706055" hidden="0" customWidth="1"/>
    <x:col min="7" max="7" width="13.4399995803833" hidden="0" customWidth="1"/>
    <x:col min="8" max="8" width="7.889999866485596" hidden="0" customWidth="1"/>
    <x:col min="9" max="9" width="43.88999938964844" hidden="0" customWidth="1"/>
  </x:cols>
  <x:sheetData>
    <x:row r="1" ht="25.5" customHeight="1">
      <x:c r="A1" s="47" t="str">
        <x:v>Source Log</x:v>
      </x:c>
      <x:c r="B1" s="48"/>
      <x:c r="C1" s="48"/>
      <x:c r="D1" s="48"/>
      <x:c r="E1" s="48"/>
      <x:c r="F1" s="48"/>
      <x:c r="G1" s="48"/>
      <x:c r="H1" s="48"/>
      <x:c r="I1" s="48"/>
    </x:row>
    <x:row r="2" ht="36" customHeight="1">
      <x:c r="A2" s="49" t="str">
        <x:v>Audit trail for the workbook. A sellable model needs this just as much as the actual math.</x:v>
      </x:c>
      <x:c r="B2" s="48"/>
      <x:c r="C2" s="48"/>
      <x:c r="D2" s="48"/>
      <x:c r="E2" s="48"/>
      <x:c r="F2" s="48"/>
      <x:c r="G2" s="48"/>
      <x:c r="H2" s="48"/>
      <x:c r="I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>
      <x:c r="A4" s="52" t="str">
        <x:v>Source ID</x:v>
      </x:c>
      <x:c r="B4" s="52" t="str">
        <x:v>Data Area</x:v>
      </x:c>
      <x:c r="C4" s="52" t="str">
        <x:v>Provider / Source</x:v>
      </x:c>
      <x:c r="D4" s="52" t="str">
        <x:v>URL or File</x:v>
      </x:c>
      <x:c r="E4" s="52" t="str">
        <x:v>License / Terms</x:v>
      </x:c>
      <x:c r="F4" s="52" t="str">
        <x:v>Coverage</x:v>
      </x:c>
      <x:c r="G4" s="52" t="str">
        <x:v>Last Checked</x:v>
      </x:c>
      <x:c r="H4" s="52" t="str">
        <x:v>Owner</x:v>
      </x:c>
      <x:c r="I4" s="52" t="str">
        <x:v>Notes</x:v>
      </x:c>
    </x:row>
    <x:row r="5">
      <x:c r="A5" s="51" t="str">
        <x:v>SRC-001</x:v>
      </x:c>
      <x:c r="B5" s="51" t="str">
        <x:v>Official squads</x:v>
      </x:c>
      <x:c r="C5" s="51" t="str">
        <x:v>FIFA</x:v>
      </x:c>
      <x:c r="D5" s="68" t="str">
        <x:v>https://www.fifa.com/en/tournaments/mens/worldcup/canadamexicousa2026</x:v>
      </x:c>
      <x:c r="E5" s="68" t="str">
        <x:v>Official public reference; check reuse terms</x:v>
      </x:c>
      <x:c r="F5" s="68" t="str">
        <x:v>Final squad list and updates</x:v>
      </x:c>
      <x:c r="G5" s="68" t="str"/>
      <x:c r="H5" s="68" t="str"/>
      <x:c r="I5" s="68" t="str">
        <x:v>Use as squad source of truth.</x:v>
      </x:c>
    </x:row>
    <x:row r="6">
      <x:c r="A6" s="51" t="str">
        <x:v>SRC-002</x:v>
      </x:c>
      <x:c r="B6" s="51" t="str">
        <x:v>Player ratings</x:v>
      </x:c>
      <x:c r="C6" s="51" t="str">
        <x:v>Wyscout / StatsBomb / Sportradar / chosen provider</x:v>
      </x:c>
      <x:c r="D6" s="68" t="str">
        <x:v>provider API or licensed export</x:v>
      </x:c>
      <x:c r="E6" s="68" t="str">
        <x:v>Commercial license required for sellable product</x:v>
      </x:c>
      <x:c r="F6" s="68" t="str">
        <x:v>Player quality, minutes, position, events</x:v>
      </x:c>
      <x:c r="G6" s="68" t="str"/>
      <x:c r="H6" s="68" t="str"/>
      <x:c r="I6" s="68" t="str">
        <x:v>Do not scrape paid ratings into a commercial product.</x:v>
      </x:c>
    </x:row>
    <x:row r="7">
      <x:c r="A7" s="51" t="str">
        <x:v>SRC-003</x:v>
      </x:c>
      <x:c r="B7" s="51" t="str">
        <x:v>Manager rubric</x:v>
      </x:c>
      <x:c r="C7" s="51" t="str">
        <x:v>Internal analyst review</x:v>
      </x:c>
      <x:c r="D7" s="68" t="str">
        <x:v>Manager Profiles + Analyst Review tabs</x:v>
      </x:c>
      <x:c r="E7" s="68" t="str">
        <x:v>Internal</x:v>
      </x:c>
      <x:c r="F7" s="68" t="str">
        <x:v>48 teams</x:v>
      </x:c>
      <x:c r="G7" s="68" t="str"/>
      <x:c r="H7" s="68" t="str"/>
      <x:c r="I7" s="68" t="str">
        <x:v>Analyst must be named before production use.</x:v>
      </x:c>
    </x:row>
    <x:row r="8">
      <x:c r="A8" s="51" t="str">
        <x:v>SRC-004</x:v>
      </x:c>
      <x:c r="B8" s="51" t="str">
        <x:v>Tactical event history</x:v>
      </x:c>
      <x:c r="C8" s="51" t="str">
        <x:v>StatsBomb Open Data</x:v>
      </x:c>
      <x:c r="D8" s="68" t="str">
        <x:v>https://github.com/statsbomb/open-data</x:v>
      </x:c>
      <x:c r="E8" s="68" t="str">
        <x:v>Open data license; comply with attribution terms</x:v>
      </x:c>
      <x:c r="F8" s="68" t="str">
        <x:v>2018 and 2022 World Cup event history</x:v>
      </x:c>
      <x:c r="G8" s="68" t="str"/>
      <x:c r="H8" s="68" t="str"/>
      <x:c r="I8" s="68" t="str">
        <x:v>Backward-looking tactical prior only.</x:v>
      </x:c>
    </x:row>
    <x:row r="9">
      <x:c r="A9" s="51" t="str">
        <x:v>SRC-005</x:v>
      </x:c>
      <x:c r="B9" s="51" t="str">
        <x:v>Availability</x:v>
      </x:c>
      <x:c r="C9" s="51" t="str">
        <x:v>Team reports / provider injury feed</x:v>
      </x:c>
      <x:c r="D9" s="68" t="str">
        <x:v>provider API, federation releases, trusted news</x:v>
      </x:c>
      <x:c r="E9" s="68" t="str">
        <x:v>Depends on source</x:v>
      </x:c>
      <x:c r="F9" s="68" t="str">
        <x:v>Player injury/suspension/news</x:v>
      </x:c>
      <x:c r="G9" s="68" t="str"/>
      <x:c r="H9" s="68" t="str"/>
      <x:c r="I9" s="68" t="str">
        <x:v>Important during tournament, lower weight pre-tournament.</x:v>
      </x:c>
    </x:row>
    <x:row r="10">
      <x:c r="D10" s="70"/>
      <x:c r="E10" s="70"/>
      <x:c r="F10" s="70"/>
      <x:c r="G10" s="70"/>
      <x:c r="H10" s="70"/>
      <x:c r="I10" s="70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1299600b20074c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.780000686645508" hidden="0" customWidth="1"/>
    <x:col min="3" max="3" width="33.33000183105469" hidden="0" customWidth="1"/>
    <x:col min="4" max="4" width="50.220001220703125" hidden="0" customWidth="1"/>
    <x:col min="5" max="5" width="48.220001220703125" hidden="0" customWidth="1"/>
  </x:cols>
  <x:sheetData>
    <x:row r="1" ht="25.5" customHeight="1">
      <x:c r="A1" s="47" t="str">
        <x:v>Model Layer Map</x:v>
      </x:c>
      <x:c r="B1" s="48"/>
      <x:c r="C1" s="48"/>
      <x:c r="D1" s="48"/>
      <x:c r="E1" s="48"/>
    </x:row>
    <x:row r="2" ht="36" customHeight="1">
      <x:c r="A2" s="49" t="str">
        <x:v>How this workbook feeds the V2 weighted power model.</x:v>
      </x:c>
      <x:c r="B2" s="48"/>
      <x:c r="C2" s="48"/>
      <x:c r="D2" s="48"/>
      <x:c r="E2" s="48"/>
    </x:row>
    <x:row r="3">
      <x:c r="A3" s="48"/>
      <x:c r="B3" s="48"/>
      <x:c r="C3" s="48"/>
      <x:c r="D3" s="48"/>
      <x:c r="E3" s="48"/>
    </x:row>
    <x:row r="4">
      <x:c r="A4" s="60" t="str">
        <x:v>Layer</x:v>
      </x:c>
      <x:c r="B4" s="60" t="str">
        <x:v>Current V2 Weight</x:v>
      </x:c>
      <x:c r="C4" s="60" t="str">
        <x:v>Workbook source</x:v>
      </x:c>
      <x:c r="D4" s="60" t="str">
        <x:v>Why it exists</x:v>
      </x:c>
      <x:c r="E4" s="60" t="str">
        <x:v>Production check</x:v>
      </x:c>
    </x:row>
    <x:row r="5">
      <x:c r="A5" s="51" t="str">
        <x:v>elo_score</x:v>
      </x:c>
      <x:c r="B5" s="61" t="n">
        <x:v>0.3</x:v>
      </x:c>
      <x:c r="C5" s="68" t="str">
        <x:v>Existing processed Elo table</x:v>
      </x:c>
      <x:c r="D5" s="68" t="str">
        <x:v>Long-term team strength.</x:v>
      </x:c>
      <x:c r="E5" s="68" t="str">
        <x:v>Use leak-free Elo cutoffs for backtests.</x:v>
      </x:c>
    </x:row>
    <x:row r="6">
      <x:c r="A6" s="51" t="str">
        <x:v>squad_score</x:v>
      </x:c>
      <x:c r="B6" s="61" t="n">
        <x:v>0.25</x:v>
      </x:c>
      <x:c r="C6" s="68" t="str">
        <x:v>Team Scoring</x:v>
      </x:c>
      <x:c r="D6" s="68" t="str">
        <x:v>Current player quality, XI strength, bench depth.</x:v>
      </x:c>
      <x:c r="E6" s="68" t="str">
        <x:v>Verified player feed and expected roles.</x:v>
      </x:c>
    </x:row>
    <x:row r="7">
      <x:c r="A7" s="51" t="str">
        <x:v>manager_score</x:v>
      </x:c>
      <x:c r="B7" s="61" t="n">
        <x:v>0.15</x:v>
      </x:c>
      <x:c r="C7" s="68" t="str">
        <x:v>Manager Profiles</x:v>
      </x:c>
      <x:c r="D7" s="68" t="str">
        <x:v>Tournament and tactical manager effect.</x:v>
      </x:c>
      <x:c r="E7" s="68" t="str">
        <x:v>Analyst rubric signed off.</x:v>
      </x:c>
    </x:row>
    <x:row r="8">
      <x:c r="A8" s="51" t="str">
        <x:v>recent_form_score</x:v>
      </x:c>
      <x:c r="B8" s="61" t="n">
        <x:v>0.1</x:v>
      </x:c>
      <x:c r="C8" s="68" t="str">
        <x:v>Existing processed recent form table</x:v>
      </x:c>
      <x:c r="D8" s="68" t="str">
        <x:v>Short-term team trend.</x:v>
      </x:c>
      <x:c r="E8" s="68" t="str">
        <x:v>Keep recency windows fixed before backtests.</x:v>
      </x:c>
    </x:row>
    <x:row r="9">
      <x:c r="A9" s="51" t="str">
        <x:v>tactical_score</x:v>
      </x:c>
      <x:c r="B9" s="61" t="n">
        <x:v>0.1</x:v>
      </x:c>
      <x:c r="C9" s="68" t="str">
        <x:v>Formation Profiles + StatsBomb tactical prior</x:v>
      </x:c>
      <x:c r="D9" s="68" t="str">
        <x:v>Style and matchup tendencies.</x:v>
      </x:c>
      <x:c r="E9" s="68" t="str">
        <x:v>Separate backward-looking event data from analyst forward view.</x:v>
      </x:c>
    </x:row>
    <x:row r="10">
      <x:c r="A10" s="51" t="str">
        <x:v>ceiling_score</x:v>
      </x:c>
      <x:c r="B10" s="61" t="n">
        <x:v>0.05</x:v>
      </x:c>
      <x:c r="C10" s="68" t="str">
        <x:v>Existing title tier logic</x:v>
      </x:c>
      <x:c r="D10" s="68" t="str">
        <x:v>Prevents impossible champions from being over-promoted by noise.</x:v>
      </x:c>
      <x:c r="E10" s="68" t="str">
        <x:v>Review tiers after squad/player scoring improves.</x:v>
      </x:c>
    </x:row>
    <x:row r="11">
      <x:c r="A11" s="51" t="str">
        <x:v>availability_score</x:v>
      </x:c>
      <x:c r="B11" s="61" t="n">
        <x:v>0.05</x:v>
      </x:c>
      <x:c r="C11" s="68" t="str">
        <x:v>Player Ratings availability penalty</x:v>
      </x:c>
      <x:c r="D11" s="68" t="str">
        <x:v>Injuries/suspensions and replacement gap.</x:v>
      </x:c>
      <x:c r="E11" s="68" t="str">
        <x:v>Update dynamically during tournament.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00440eb9a97433c"/>
  </x:tableParts>
</x:worksheet>
</file>